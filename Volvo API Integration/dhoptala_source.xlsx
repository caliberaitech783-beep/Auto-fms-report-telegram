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sus\OneDrive\Desktop\Dob Avg Report\2026\"/>
    </mc:Choice>
  </mc:AlternateContent>
  <xr:revisionPtr revIDLastSave="0" documentId="13_ncr:1_{9370C60C-B754-4AE5-ABE9-F779F45F2D76}" xr6:coauthVersionLast="47" xr6:coauthVersionMax="47" xr10:uidLastSave="{00000000-0000-0000-0000-000000000000}"/>
  <bookViews>
    <workbookView xWindow="-108" yWindow="-108" windowWidth="23256" windowHeight="12456" firstSheet="8" activeTab="25" xr2:uid="{00000000-000D-0000-FFFF-FFFF00000000}"/>
  </bookViews>
  <sheets>
    <sheet name="01" sheetId="3" r:id="rId1"/>
    <sheet name="02" sheetId="4" r:id="rId2"/>
    <sheet name="03" sheetId="5" r:id="rId3"/>
    <sheet name="04" sheetId="6" r:id="rId4"/>
    <sheet name="05" sheetId="7" r:id="rId5"/>
    <sheet name="06" sheetId="8" r:id="rId6"/>
    <sheet name="07" sheetId="9" r:id="rId7"/>
    <sheet name="08" sheetId="10" r:id="rId8"/>
    <sheet name="09" sheetId="11" r:id="rId9"/>
    <sheet name="10" sheetId="12" r:id="rId10"/>
    <sheet name="11" sheetId="13" r:id="rId11"/>
    <sheet name="12" sheetId="14" r:id="rId12"/>
    <sheet name="13" sheetId="15" r:id="rId13"/>
    <sheet name="14" sheetId="16" r:id="rId14"/>
    <sheet name="15" sheetId="17" r:id="rId15"/>
    <sheet name="16" sheetId="18" r:id="rId16"/>
    <sheet name="17" sheetId="19" r:id="rId17"/>
    <sheet name="18" sheetId="20" r:id="rId18"/>
    <sheet name="19" sheetId="21" r:id="rId19"/>
    <sheet name="20" sheetId="23" r:id="rId20"/>
    <sheet name="21" sheetId="24" r:id="rId21"/>
    <sheet name="22" sheetId="25" r:id="rId22"/>
    <sheet name="23" sheetId="26" r:id="rId23"/>
    <sheet name="24" sheetId="27" r:id="rId24"/>
    <sheet name="25" sheetId="28" r:id="rId25"/>
    <sheet name="26" sheetId="29" r:id="rId2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117" i="29" l="1"/>
  <c r="M46" i="29"/>
  <c r="M45" i="29"/>
  <c r="M47" i="29" s="1"/>
  <c r="H86" i="29"/>
  <c r="H15" i="29"/>
  <c r="H16" i="29"/>
  <c r="H17" i="29"/>
  <c r="H18" i="29"/>
  <c r="O145" i="29"/>
  <c r="M143" i="29"/>
  <c r="I143" i="29"/>
  <c r="P142" i="29"/>
  <c r="N142" i="29"/>
  <c r="H142" i="29"/>
  <c r="P141" i="29"/>
  <c r="L141" i="29"/>
  <c r="N141" i="29" s="1"/>
  <c r="H141" i="29"/>
  <c r="J141" i="29" s="1"/>
  <c r="P140" i="29"/>
  <c r="L140" i="29"/>
  <c r="H140" i="29"/>
  <c r="J140" i="29" s="1"/>
  <c r="P139" i="29"/>
  <c r="L139" i="29"/>
  <c r="N139" i="29" s="1"/>
  <c r="H139" i="29"/>
  <c r="O139" i="29" s="1"/>
  <c r="Q139" i="29" s="1"/>
  <c r="P138" i="29"/>
  <c r="L138" i="29"/>
  <c r="N138" i="29" s="1"/>
  <c r="H138" i="29"/>
  <c r="J138" i="29" s="1"/>
  <c r="P137" i="29"/>
  <c r="L137" i="29"/>
  <c r="N137" i="29" s="1"/>
  <c r="H137" i="29"/>
  <c r="J137" i="29" s="1"/>
  <c r="P136" i="29"/>
  <c r="L136" i="29"/>
  <c r="N136" i="29" s="1"/>
  <c r="H136" i="29"/>
  <c r="P135" i="29"/>
  <c r="L135" i="29"/>
  <c r="H135" i="29"/>
  <c r="J135" i="29" s="1"/>
  <c r="P134" i="29"/>
  <c r="L134" i="29"/>
  <c r="N134" i="29" s="1"/>
  <c r="H134" i="29"/>
  <c r="J134" i="29" s="1"/>
  <c r="P133" i="29"/>
  <c r="L133" i="29"/>
  <c r="N133" i="29" s="1"/>
  <c r="H133" i="29"/>
  <c r="P132" i="29"/>
  <c r="L132" i="29"/>
  <c r="N132" i="29" s="1"/>
  <c r="H132" i="29"/>
  <c r="J132" i="29" s="1"/>
  <c r="P131" i="29"/>
  <c r="L131" i="29"/>
  <c r="N131" i="29" s="1"/>
  <c r="H131" i="29"/>
  <c r="P130" i="29"/>
  <c r="L130" i="29"/>
  <c r="N130" i="29" s="1"/>
  <c r="H130" i="29"/>
  <c r="P129" i="29"/>
  <c r="L129" i="29"/>
  <c r="H129" i="29"/>
  <c r="J129" i="29" s="1"/>
  <c r="P128" i="29"/>
  <c r="L128" i="29"/>
  <c r="H128" i="29"/>
  <c r="J128" i="29" s="1"/>
  <c r="P127" i="29"/>
  <c r="L127" i="29"/>
  <c r="H127" i="29"/>
  <c r="J127" i="29" s="1"/>
  <c r="P126" i="29"/>
  <c r="L126" i="29"/>
  <c r="N126" i="29" s="1"/>
  <c r="H126" i="29"/>
  <c r="P125" i="29"/>
  <c r="L125" i="29"/>
  <c r="N125" i="29" s="1"/>
  <c r="H125" i="29"/>
  <c r="J125" i="29" s="1"/>
  <c r="P124" i="29"/>
  <c r="L124" i="29"/>
  <c r="N124" i="29" s="1"/>
  <c r="H124" i="29"/>
  <c r="O124" i="29" s="1"/>
  <c r="P123" i="29"/>
  <c r="L123" i="29"/>
  <c r="H123" i="29"/>
  <c r="J123" i="29" s="1"/>
  <c r="P122" i="29"/>
  <c r="L122" i="29"/>
  <c r="H122" i="29"/>
  <c r="P121" i="29"/>
  <c r="L121" i="29"/>
  <c r="O121" i="29" s="1"/>
  <c r="H121" i="29"/>
  <c r="J121" i="29" s="1"/>
  <c r="P117" i="29"/>
  <c r="J117" i="29"/>
  <c r="S116" i="29"/>
  <c r="O116" i="29"/>
  <c r="M116" i="29"/>
  <c r="H116" i="29"/>
  <c r="K116" i="29" s="1"/>
  <c r="S115" i="29"/>
  <c r="O115" i="29"/>
  <c r="M115" i="29"/>
  <c r="Q115" i="29" s="1"/>
  <c r="H115" i="29"/>
  <c r="K115" i="29" s="1"/>
  <c r="S114" i="29"/>
  <c r="O114" i="29"/>
  <c r="M114" i="29"/>
  <c r="Q114" i="29" s="1"/>
  <c r="H114" i="29"/>
  <c r="K114" i="29" s="1"/>
  <c r="S113" i="29"/>
  <c r="O113" i="29"/>
  <c r="M113" i="29"/>
  <c r="H113" i="29"/>
  <c r="K113" i="29" s="1"/>
  <c r="S112" i="29"/>
  <c r="O112" i="29"/>
  <c r="M112" i="29"/>
  <c r="Q112" i="29" s="1"/>
  <c r="H112" i="29"/>
  <c r="K112" i="29" s="1"/>
  <c r="S111" i="29"/>
  <c r="O111" i="29"/>
  <c r="M111" i="29"/>
  <c r="Q111" i="29" s="1"/>
  <c r="H111" i="29"/>
  <c r="K111" i="29" s="1"/>
  <c r="S110" i="29"/>
  <c r="O110" i="29"/>
  <c r="M110" i="29"/>
  <c r="Q110" i="29" s="1"/>
  <c r="H110" i="29"/>
  <c r="K110" i="29" s="1"/>
  <c r="S109" i="29"/>
  <c r="O109" i="29"/>
  <c r="M109" i="29"/>
  <c r="Q109" i="29" s="1"/>
  <c r="H109" i="29"/>
  <c r="K109" i="29" s="1"/>
  <c r="S108" i="29"/>
  <c r="O108" i="29"/>
  <c r="M108" i="29"/>
  <c r="Q108" i="29" s="1"/>
  <c r="H108" i="29"/>
  <c r="K108" i="29" s="1"/>
  <c r="S107" i="29"/>
  <c r="O107" i="29"/>
  <c r="M107" i="29"/>
  <c r="H107" i="29"/>
  <c r="K107" i="29" s="1"/>
  <c r="S106" i="29"/>
  <c r="O106" i="29"/>
  <c r="M106" i="29"/>
  <c r="Q106" i="29" s="1"/>
  <c r="H106" i="29"/>
  <c r="K106" i="29" s="1"/>
  <c r="S105" i="29"/>
  <c r="O105" i="29"/>
  <c r="M105" i="29"/>
  <c r="Q105" i="29" s="1"/>
  <c r="H105" i="29"/>
  <c r="K105" i="29" s="1"/>
  <c r="S104" i="29"/>
  <c r="O104" i="29"/>
  <c r="M104" i="29"/>
  <c r="H104" i="29"/>
  <c r="K104" i="29" s="1"/>
  <c r="S103" i="29"/>
  <c r="O103" i="29"/>
  <c r="M103" i="29"/>
  <c r="Q103" i="29" s="1"/>
  <c r="H103" i="29"/>
  <c r="K103" i="29" s="1"/>
  <c r="S102" i="29"/>
  <c r="O102" i="29"/>
  <c r="M102" i="29"/>
  <c r="Q102" i="29" s="1"/>
  <c r="H102" i="29"/>
  <c r="K102" i="29" s="1"/>
  <c r="S101" i="29"/>
  <c r="O101" i="29"/>
  <c r="M101" i="29"/>
  <c r="H101" i="29"/>
  <c r="K101" i="29" s="1"/>
  <c r="S100" i="29"/>
  <c r="O100" i="29"/>
  <c r="M100" i="29"/>
  <c r="Q100" i="29" s="1"/>
  <c r="H100" i="29"/>
  <c r="K100" i="29" s="1"/>
  <c r="S99" i="29"/>
  <c r="O99" i="29"/>
  <c r="M99" i="29"/>
  <c r="Q99" i="29" s="1"/>
  <c r="H99" i="29"/>
  <c r="K99" i="29" s="1"/>
  <c r="S98" i="29"/>
  <c r="O98" i="29"/>
  <c r="M98" i="29"/>
  <c r="H98" i="29"/>
  <c r="K98" i="29" s="1"/>
  <c r="S97" i="29"/>
  <c r="O97" i="29"/>
  <c r="M97" i="29"/>
  <c r="Q97" i="29" s="1"/>
  <c r="H97" i="29"/>
  <c r="K97" i="29" s="1"/>
  <c r="S96" i="29"/>
  <c r="O96" i="29"/>
  <c r="M96" i="29"/>
  <c r="Q96" i="29" s="1"/>
  <c r="H96" i="29"/>
  <c r="K96" i="29" s="1"/>
  <c r="S95" i="29"/>
  <c r="O95" i="29"/>
  <c r="M95" i="29"/>
  <c r="H95" i="29"/>
  <c r="K95" i="29" s="1"/>
  <c r="S94" i="29"/>
  <c r="O94" i="29"/>
  <c r="M94" i="29"/>
  <c r="H94" i="29"/>
  <c r="K94" i="29" s="1"/>
  <c r="S93" i="29"/>
  <c r="O93" i="29"/>
  <c r="M93" i="29"/>
  <c r="Q93" i="29" s="1"/>
  <c r="H93" i="29"/>
  <c r="K93" i="29" s="1"/>
  <c r="S92" i="29"/>
  <c r="O92" i="29"/>
  <c r="M92" i="29"/>
  <c r="H92" i="29"/>
  <c r="K92" i="29" s="1"/>
  <c r="S91" i="29"/>
  <c r="O91" i="29"/>
  <c r="M91" i="29"/>
  <c r="Q91" i="29" s="1"/>
  <c r="H91" i="29"/>
  <c r="K91" i="29" s="1"/>
  <c r="S90" i="29"/>
  <c r="O90" i="29"/>
  <c r="M90" i="29"/>
  <c r="Q90" i="29" s="1"/>
  <c r="H90" i="29"/>
  <c r="K90" i="29" s="1"/>
  <c r="S89" i="29"/>
  <c r="O89" i="29"/>
  <c r="M89" i="29"/>
  <c r="H89" i="29"/>
  <c r="K89" i="29" s="1"/>
  <c r="S88" i="29"/>
  <c r="O88" i="29"/>
  <c r="M88" i="29"/>
  <c r="Q88" i="29" s="1"/>
  <c r="H88" i="29"/>
  <c r="K88" i="29" s="1"/>
  <c r="S87" i="29"/>
  <c r="O87" i="29"/>
  <c r="M87" i="29"/>
  <c r="Q87" i="29" s="1"/>
  <c r="H87" i="29"/>
  <c r="K87" i="29" s="1"/>
  <c r="S86" i="29"/>
  <c r="O86" i="29"/>
  <c r="M86" i="29"/>
  <c r="K86" i="29"/>
  <c r="S85" i="29"/>
  <c r="O85" i="29"/>
  <c r="M85" i="29"/>
  <c r="Q85" i="29" s="1"/>
  <c r="H85" i="29"/>
  <c r="K85" i="29" s="1"/>
  <c r="S84" i="29"/>
  <c r="O84" i="29"/>
  <c r="M84" i="29"/>
  <c r="Q84" i="29" s="1"/>
  <c r="H84" i="29"/>
  <c r="K84" i="29" s="1"/>
  <c r="S83" i="29"/>
  <c r="O83" i="29"/>
  <c r="M83" i="29"/>
  <c r="H83" i="29"/>
  <c r="K83" i="29" s="1"/>
  <c r="S82" i="29"/>
  <c r="O82" i="29"/>
  <c r="M82" i="29"/>
  <c r="Q82" i="29" s="1"/>
  <c r="H82" i="29"/>
  <c r="K82" i="29" s="1"/>
  <c r="S81" i="29"/>
  <c r="O81" i="29"/>
  <c r="M81" i="29"/>
  <c r="Q81" i="29" s="1"/>
  <c r="H81" i="29"/>
  <c r="K81" i="29" s="1"/>
  <c r="S80" i="29"/>
  <c r="O80" i="29"/>
  <c r="M80" i="29"/>
  <c r="H80" i="29"/>
  <c r="K80" i="29" s="1"/>
  <c r="S79" i="29"/>
  <c r="O79" i="29"/>
  <c r="M79" i="29"/>
  <c r="Q79" i="29" s="1"/>
  <c r="H79" i="29"/>
  <c r="K79" i="29" s="1"/>
  <c r="S78" i="29"/>
  <c r="O78" i="29"/>
  <c r="M78" i="29"/>
  <c r="Q78" i="29" s="1"/>
  <c r="H78" i="29"/>
  <c r="K78" i="29" s="1"/>
  <c r="S77" i="29"/>
  <c r="O77" i="29"/>
  <c r="M77" i="29"/>
  <c r="H77" i="29"/>
  <c r="K77" i="29" s="1"/>
  <c r="S76" i="29"/>
  <c r="O76" i="29"/>
  <c r="M76" i="29"/>
  <c r="Q76" i="29" s="1"/>
  <c r="H76" i="29"/>
  <c r="K76" i="29" s="1"/>
  <c r="S75" i="29"/>
  <c r="O75" i="29"/>
  <c r="M75" i="29"/>
  <c r="Q75" i="29" s="1"/>
  <c r="H75" i="29"/>
  <c r="K75" i="29" s="1"/>
  <c r="S74" i="29"/>
  <c r="O74" i="29"/>
  <c r="M74" i="29"/>
  <c r="H74" i="29"/>
  <c r="K74" i="29" s="1"/>
  <c r="S73" i="29"/>
  <c r="O73" i="29"/>
  <c r="M73" i="29"/>
  <c r="Q73" i="29" s="1"/>
  <c r="H73" i="29"/>
  <c r="K73" i="29" s="1"/>
  <c r="S72" i="29"/>
  <c r="O72" i="29"/>
  <c r="M72" i="29"/>
  <c r="Q72" i="29" s="1"/>
  <c r="H72" i="29"/>
  <c r="K72" i="29" s="1"/>
  <c r="S71" i="29"/>
  <c r="O71" i="29"/>
  <c r="M71" i="29"/>
  <c r="H71" i="29"/>
  <c r="K71" i="29" s="1"/>
  <c r="S70" i="29"/>
  <c r="O70" i="29"/>
  <c r="M70" i="29"/>
  <c r="Q70" i="29" s="1"/>
  <c r="H70" i="29"/>
  <c r="K70" i="29" s="1"/>
  <c r="S69" i="29"/>
  <c r="O69" i="29"/>
  <c r="M69" i="29"/>
  <c r="Q69" i="29" s="1"/>
  <c r="H69" i="29"/>
  <c r="K69" i="29" s="1"/>
  <c r="S68" i="29"/>
  <c r="O68" i="29"/>
  <c r="M68" i="29"/>
  <c r="H68" i="29"/>
  <c r="K68" i="29" s="1"/>
  <c r="S67" i="29"/>
  <c r="O67" i="29"/>
  <c r="M67" i="29"/>
  <c r="Q67" i="29" s="1"/>
  <c r="H67" i="29"/>
  <c r="K67" i="29" s="1"/>
  <c r="S66" i="29"/>
  <c r="O66" i="29"/>
  <c r="M66" i="29"/>
  <c r="Q66" i="29" s="1"/>
  <c r="H66" i="29"/>
  <c r="K66" i="29" s="1"/>
  <c r="S65" i="29"/>
  <c r="O65" i="29"/>
  <c r="M65" i="29"/>
  <c r="H65" i="29"/>
  <c r="K65" i="29" s="1"/>
  <c r="S64" i="29"/>
  <c r="O64" i="29"/>
  <c r="M64" i="29"/>
  <c r="Q64" i="29" s="1"/>
  <c r="H64" i="29"/>
  <c r="K64" i="29" s="1"/>
  <c r="S63" i="29"/>
  <c r="O63" i="29"/>
  <c r="M63" i="29"/>
  <c r="Q63" i="29" s="1"/>
  <c r="H63" i="29"/>
  <c r="K63" i="29" s="1"/>
  <c r="S62" i="29"/>
  <c r="O62" i="29"/>
  <c r="M62" i="29"/>
  <c r="H62" i="29"/>
  <c r="K62" i="29" s="1"/>
  <c r="S61" i="29"/>
  <c r="O61" i="29"/>
  <c r="M61" i="29"/>
  <c r="Q61" i="29" s="1"/>
  <c r="H61" i="29"/>
  <c r="K61" i="29" s="1"/>
  <c r="S60" i="29"/>
  <c r="O60" i="29"/>
  <c r="M60" i="29"/>
  <c r="Q60" i="29" s="1"/>
  <c r="H60" i="29"/>
  <c r="K60" i="29" s="1"/>
  <c r="S59" i="29"/>
  <c r="O59" i="29"/>
  <c r="M59" i="29"/>
  <c r="H59" i="29"/>
  <c r="K59" i="29" s="1"/>
  <c r="S58" i="29"/>
  <c r="O58" i="29"/>
  <c r="M58" i="29"/>
  <c r="Q58" i="29" s="1"/>
  <c r="H58" i="29"/>
  <c r="K58" i="29" s="1"/>
  <c r="S57" i="29"/>
  <c r="O57" i="29"/>
  <c r="M57" i="29"/>
  <c r="Q57" i="29" s="1"/>
  <c r="H57" i="29"/>
  <c r="K57" i="29" s="1"/>
  <c r="S56" i="29"/>
  <c r="O56" i="29"/>
  <c r="M56" i="29"/>
  <c r="H56" i="29"/>
  <c r="K56" i="29" s="1"/>
  <c r="S55" i="29"/>
  <c r="O55" i="29"/>
  <c r="M55" i="29"/>
  <c r="Q55" i="29" s="1"/>
  <c r="H55" i="29"/>
  <c r="K55" i="29" s="1"/>
  <c r="S54" i="29"/>
  <c r="O54" i="29"/>
  <c r="M54" i="29"/>
  <c r="Q54" i="29" s="1"/>
  <c r="H54" i="29"/>
  <c r="K54" i="29" s="1"/>
  <c r="S53" i="29"/>
  <c r="O53" i="29"/>
  <c r="M53" i="29"/>
  <c r="H53" i="29"/>
  <c r="K53" i="29" s="1"/>
  <c r="S52" i="29"/>
  <c r="O52" i="29"/>
  <c r="M52" i="29"/>
  <c r="Q52" i="29" s="1"/>
  <c r="H52" i="29"/>
  <c r="K52" i="29" s="1"/>
  <c r="S51" i="29"/>
  <c r="O51" i="29"/>
  <c r="M51" i="29"/>
  <c r="Q51" i="29" s="1"/>
  <c r="H51" i="29"/>
  <c r="I47" i="29"/>
  <c r="P46" i="29"/>
  <c r="L46" i="29"/>
  <c r="H46" i="29"/>
  <c r="J46" i="29" s="1"/>
  <c r="P45" i="29"/>
  <c r="L45" i="29"/>
  <c r="H45" i="29"/>
  <c r="P44" i="29"/>
  <c r="L44" i="29"/>
  <c r="N44" i="29" s="1"/>
  <c r="H44" i="29"/>
  <c r="J44" i="29" s="1"/>
  <c r="M40" i="29"/>
  <c r="I40" i="29"/>
  <c r="P39" i="29"/>
  <c r="L39" i="29"/>
  <c r="H39" i="29"/>
  <c r="J39" i="29" s="1"/>
  <c r="P38" i="29"/>
  <c r="P40" i="29" s="1"/>
  <c r="Q149" i="29" s="1"/>
  <c r="L38" i="29"/>
  <c r="H38" i="29"/>
  <c r="M34" i="29"/>
  <c r="I34" i="29"/>
  <c r="P33" i="29"/>
  <c r="L33" i="29"/>
  <c r="N33" i="29" s="1"/>
  <c r="H33" i="29"/>
  <c r="P32" i="29"/>
  <c r="L32" i="29"/>
  <c r="N32" i="29" s="1"/>
  <c r="H32" i="29"/>
  <c r="J32" i="29" s="1"/>
  <c r="P31" i="29"/>
  <c r="L31" i="29"/>
  <c r="H31" i="29"/>
  <c r="J31" i="29" s="1"/>
  <c r="P30" i="29"/>
  <c r="L30" i="29"/>
  <c r="N30" i="29" s="1"/>
  <c r="H30" i="29"/>
  <c r="P29" i="29"/>
  <c r="L29" i="29"/>
  <c r="N29" i="29" s="1"/>
  <c r="H29" i="29"/>
  <c r="M25" i="29"/>
  <c r="I25" i="29"/>
  <c r="P24" i="29"/>
  <c r="L24" i="29"/>
  <c r="N24" i="29" s="1"/>
  <c r="H24" i="29"/>
  <c r="P23" i="29"/>
  <c r="L23" i="29"/>
  <c r="H23" i="29"/>
  <c r="J23" i="29" s="1"/>
  <c r="R19" i="29"/>
  <c r="M19" i="29"/>
  <c r="I19" i="29"/>
  <c r="P18" i="29"/>
  <c r="L18" i="29"/>
  <c r="J18" i="29"/>
  <c r="P17" i="29"/>
  <c r="L17" i="29"/>
  <c r="N17" i="29" s="1"/>
  <c r="O17" i="29"/>
  <c r="P16" i="29"/>
  <c r="L16" i="29"/>
  <c r="J16" i="29"/>
  <c r="P15" i="29"/>
  <c r="L15" i="29"/>
  <c r="N15" i="29" s="1"/>
  <c r="J15" i="29"/>
  <c r="P14" i="29"/>
  <c r="L14" i="29"/>
  <c r="N14" i="29" s="1"/>
  <c r="H14" i="29"/>
  <c r="P13" i="29"/>
  <c r="L13" i="29"/>
  <c r="N13" i="29" s="1"/>
  <c r="H13" i="29"/>
  <c r="J13" i="29" s="1"/>
  <c r="P12" i="29"/>
  <c r="L12" i="29"/>
  <c r="N12" i="29" s="1"/>
  <c r="H12" i="29"/>
  <c r="O12" i="29" s="1"/>
  <c r="P11" i="29"/>
  <c r="L11" i="29"/>
  <c r="N11" i="29" s="1"/>
  <c r="H11" i="29"/>
  <c r="P10" i="29"/>
  <c r="L10" i="29"/>
  <c r="H10" i="29"/>
  <c r="J10" i="29" s="1"/>
  <c r="P9" i="29"/>
  <c r="L9" i="29"/>
  <c r="N9" i="29" s="1"/>
  <c r="H9" i="29"/>
  <c r="J9" i="29" s="1"/>
  <c r="P8" i="29"/>
  <c r="L8" i="29"/>
  <c r="N8" i="29" s="1"/>
  <c r="H8" i="29"/>
  <c r="P7" i="29"/>
  <c r="L7" i="29"/>
  <c r="H7" i="29"/>
  <c r="J7" i="29" s="1"/>
  <c r="P6" i="29"/>
  <c r="L6" i="29"/>
  <c r="H6" i="29"/>
  <c r="J6" i="29" s="1"/>
  <c r="P5" i="29"/>
  <c r="L5" i="29"/>
  <c r="N5" i="29" s="1"/>
  <c r="H5" i="29"/>
  <c r="O5" i="29" s="1"/>
  <c r="M84" i="28"/>
  <c r="M46" i="28"/>
  <c r="O6" i="28"/>
  <c r="O145" i="28"/>
  <c r="M143" i="28"/>
  <c r="I143" i="28"/>
  <c r="P142" i="28"/>
  <c r="N142" i="28"/>
  <c r="H142" i="28"/>
  <c r="O142" i="28" s="1"/>
  <c r="Q142" i="28" s="1"/>
  <c r="P141" i="28"/>
  <c r="L141" i="28"/>
  <c r="H141" i="28"/>
  <c r="J141" i="28" s="1"/>
  <c r="P140" i="28"/>
  <c r="L140" i="28"/>
  <c r="N140" i="28" s="1"/>
  <c r="H140" i="28"/>
  <c r="J140" i="28" s="1"/>
  <c r="P139" i="28"/>
  <c r="L139" i="28"/>
  <c r="N139" i="28" s="1"/>
  <c r="H139" i="28"/>
  <c r="O139" i="28" s="1"/>
  <c r="P138" i="28"/>
  <c r="L138" i="28"/>
  <c r="N138" i="28" s="1"/>
  <c r="H138" i="28"/>
  <c r="P137" i="28"/>
  <c r="L137" i="28"/>
  <c r="H137" i="28"/>
  <c r="J137" i="28" s="1"/>
  <c r="P136" i="28"/>
  <c r="L136" i="28"/>
  <c r="N136" i="28" s="1"/>
  <c r="H136" i="28"/>
  <c r="P135" i="28"/>
  <c r="L135" i="28"/>
  <c r="N135" i="28" s="1"/>
  <c r="H135" i="28"/>
  <c r="P134" i="28"/>
  <c r="L134" i="28"/>
  <c r="H134" i="28"/>
  <c r="J134" i="28" s="1"/>
  <c r="P133" i="28"/>
  <c r="L133" i="28"/>
  <c r="N133" i="28" s="1"/>
  <c r="H133" i="28"/>
  <c r="O133" i="28" s="1"/>
  <c r="Q133" i="28" s="1"/>
  <c r="P132" i="28"/>
  <c r="L132" i="28"/>
  <c r="N132" i="28" s="1"/>
  <c r="H132" i="28"/>
  <c r="J132" i="28" s="1"/>
  <c r="P131" i="28"/>
  <c r="L131" i="28"/>
  <c r="N131" i="28" s="1"/>
  <c r="H131" i="28"/>
  <c r="P130" i="28"/>
  <c r="L130" i="28"/>
  <c r="N130" i="28" s="1"/>
  <c r="H130" i="28"/>
  <c r="J130" i="28" s="1"/>
  <c r="P129" i="28"/>
  <c r="L129" i="28"/>
  <c r="H129" i="28"/>
  <c r="J129" i="28" s="1"/>
  <c r="P128" i="28"/>
  <c r="L128" i="28"/>
  <c r="N128" i="28" s="1"/>
  <c r="H128" i="28"/>
  <c r="O128" i="28" s="1"/>
  <c r="Q128" i="28" s="1"/>
  <c r="P127" i="28"/>
  <c r="L127" i="28"/>
  <c r="N127" i="28" s="1"/>
  <c r="H127" i="28"/>
  <c r="O127" i="28" s="1"/>
  <c r="Q127" i="28" s="1"/>
  <c r="P126" i="28"/>
  <c r="L126" i="28"/>
  <c r="N126" i="28" s="1"/>
  <c r="H126" i="28"/>
  <c r="P125" i="28"/>
  <c r="L125" i="28"/>
  <c r="H125" i="28"/>
  <c r="J125" i="28" s="1"/>
  <c r="P124" i="28"/>
  <c r="L124" i="28"/>
  <c r="N124" i="28" s="1"/>
  <c r="H124" i="28"/>
  <c r="P123" i="28"/>
  <c r="L123" i="28"/>
  <c r="N123" i="28" s="1"/>
  <c r="H123" i="28"/>
  <c r="P122" i="28"/>
  <c r="L122" i="28"/>
  <c r="H122" i="28"/>
  <c r="J122" i="28" s="1"/>
  <c r="P121" i="28"/>
  <c r="L121" i="28"/>
  <c r="H121" i="28"/>
  <c r="U117" i="28"/>
  <c r="P117" i="28"/>
  <c r="J117" i="28"/>
  <c r="S117" i="28" s="1"/>
  <c r="Q146" i="28" s="1"/>
  <c r="S116" i="28"/>
  <c r="O116" i="28"/>
  <c r="M116" i="28"/>
  <c r="H116" i="28"/>
  <c r="K116" i="28" s="1"/>
  <c r="S115" i="28"/>
  <c r="O115" i="28"/>
  <c r="M115" i="28"/>
  <c r="Q115" i="28" s="1"/>
  <c r="H115" i="28"/>
  <c r="S114" i="28"/>
  <c r="O114" i="28"/>
  <c r="M114" i="28"/>
  <c r="Q114" i="28" s="1"/>
  <c r="H114" i="28"/>
  <c r="S113" i="28"/>
  <c r="O113" i="28"/>
  <c r="M113" i="28"/>
  <c r="H113" i="28"/>
  <c r="K113" i="28" s="1"/>
  <c r="S112" i="28"/>
  <c r="O112" i="28"/>
  <c r="M112" i="28"/>
  <c r="Q112" i="28" s="1"/>
  <c r="H112" i="28"/>
  <c r="S111" i="28"/>
  <c r="O111" i="28"/>
  <c r="M111" i="28"/>
  <c r="Q111" i="28" s="1"/>
  <c r="H111" i="28"/>
  <c r="S110" i="28"/>
  <c r="O110" i="28"/>
  <c r="M110" i="28"/>
  <c r="R110" i="28" s="1"/>
  <c r="H110" i="28"/>
  <c r="K110" i="28" s="1"/>
  <c r="S109" i="28"/>
  <c r="O109" i="28"/>
  <c r="M109" i="28"/>
  <c r="Q109" i="28" s="1"/>
  <c r="H109" i="28"/>
  <c r="S108" i="28"/>
  <c r="O108" i="28"/>
  <c r="M108" i="28"/>
  <c r="Q108" i="28" s="1"/>
  <c r="H108" i="28"/>
  <c r="S107" i="28"/>
  <c r="O107" i="28"/>
  <c r="M107" i="28"/>
  <c r="H107" i="28"/>
  <c r="K107" i="28" s="1"/>
  <c r="S106" i="28"/>
  <c r="O106" i="28"/>
  <c r="M106" i="28"/>
  <c r="Q106" i="28" s="1"/>
  <c r="H106" i="28"/>
  <c r="S105" i="28"/>
  <c r="O105" i="28"/>
  <c r="M105" i="28"/>
  <c r="Q105" i="28" s="1"/>
  <c r="H105" i="28"/>
  <c r="S104" i="28"/>
  <c r="O104" i="28"/>
  <c r="M104" i="28"/>
  <c r="H104" i="28"/>
  <c r="K104" i="28" s="1"/>
  <c r="S103" i="28"/>
  <c r="O103" i="28"/>
  <c r="M103" i="28"/>
  <c r="Q103" i="28" s="1"/>
  <c r="H103" i="28"/>
  <c r="S102" i="28"/>
  <c r="O102" i="28"/>
  <c r="M102" i="28"/>
  <c r="Q102" i="28" s="1"/>
  <c r="H102" i="28"/>
  <c r="S101" i="28"/>
  <c r="O101" i="28"/>
  <c r="M101" i="28"/>
  <c r="H101" i="28"/>
  <c r="K101" i="28" s="1"/>
  <c r="S100" i="28"/>
  <c r="O100" i="28"/>
  <c r="M100" i="28"/>
  <c r="Q100" i="28" s="1"/>
  <c r="H100" i="28"/>
  <c r="S99" i="28"/>
  <c r="O99" i="28"/>
  <c r="M99" i="28"/>
  <c r="Q99" i="28" s="1"/>
  <c r="H99" i="28"/>
  <c r="S98" i="28"/>
  <c r="O98" i="28"/>
  <c r="M98" i="28"/>
  <c r="H98" i="28"/>
  <c r="K98" i="28" s="1"/>
  <c r="S97" i="28"/>
  <c r="O97" i="28"/>
  <c r="M97" i="28"/>
  <c r="Q97" i="28" s="1"/>
  <c r="H97" i="28"/>
  <c r="S96" i="28"/>
  <c r="O96" i="28"/>
  <c r="M96" i="28"/>
  <c r="Q96" i="28" s="1"/>
  <c r="H96" i="28"/>
  <c r="S95" i="28"/>
  <c r="O95" i="28"/>
  <c r="M95" i="28"/>
  <c r="Q95" i="28" s="1"/>
  <c r="H95" i="28"/>
  <c r="K95" i="28" s="1"/>
  <c r="S94" i="28"/>
  <c r="O94" i="28"/>
  <c r="M94" i="28"/>
  <c r="Q94" i="28" s="1"/>
  <c r="H94" i="28"/>
  <c r="S93" i="28"/>
  <c r="O93" i="28"/>
  <c r="M93" i="28"/>
  <c r="Q93" i="28" s="1"/>
  <c r="H93" i="28"/>
  <c r="S92" i="28"/>
  <c r="O92" i="28"/>
  <c r="M92" i="28"/>
  <c r="H92" i="28"/>
  <c r="K92" i="28" s="1"/>
  <c r="S91" i="28"/>
  <c r="O91" i="28"/>
  <c r="M91" i="28"/>
  <c r="Q91" i="28" s="1"/>
  <c r="H91" i="28"/>
  <c r="R91" i="28" s="1"/>
  <c r="S90" i="28"/>
  <c r="O90" i="28"/>
  <c r="M90" i="28"/>
  <c r="Q90" i="28" s="1"/>
  <c r="H90" i="28"/>
  <c r="S89" i="28"/>
  <c r="O89" i="28"/>
  <c r="M89" i="28"/>
  <c r="Q89" i="28" s="1"/>
  <c r="H89" i="28"/>
  <c r="K89" i="28" s="1"/>
  <c r="S88" i="28"/>
  <c r="O88" i="28"/>
  <c r="M88" i="28"/>
  <c r="Q88" i="28" s="1"/>
  <c r="H88" i="28"/>
  <c r="R88" i="28" s="1"/>
  <c r="S87" i="28"/>
  <c r="O87" i="28"/>
  <c r="M87" i="28"/>
  <c r="Q87" i="28" s="1"/>
  <c r="H87" i="28"/>
  <c r="S86" i="28"/>
  <c r="O86" i="28"/>
  <c r="M86" i="28"/>
  <c r="H86" i="28"/>
  <c r="K86" i="28" s="1"/>
  <c r="S85" i="28"/>
  <c r="O85" i="28"/>
  <c r="M85" i="28"/>
  <c r="Q85" i="28" s="1"/>
  <c r="H85" i="28"/>
  <c r="S84" i="28"/>
  <c r="O84" i="28"/>
  <c r="Q84" i="28"/>
  <c r="H84" i="28"/>
  <c r="S83" i="28"/>
  <c r="O83" i="28"/>
  <c r="M83" i="28"/>
  <c r="H83" i="28"/>
  <c r="K83" i="28" s="1"/>
  <c r="S82" i="28"/>
  <c r="O82" i="28"/>
  <c r="M82" i="28"/>
  <c r="Q82" i="28" s="1"/>
  <c r="H82" i="28"/>
  <c r="R82" i="28" s="1"/>
  <c r="S81" i="28"/>
  <c r="O81" i="28"/>
  <c r="M81" i="28"/>
  <c r="Q81" i="28" s="1"/>
  <c r="H81" i="28"/>
  <c r="S80" i="28"/>
  <c r="O80" i="28"/>
  <c r="M80" i="28"/>
  <c r="H80" i="28"/>
  <c r="K80" i="28" s="1"/>
  <c r="S79" i="28"/>
  <c r="O79" i="28"/>
  <c r="M79" i="28"/>
  <c r="Q79" i="28" s="1"/>
  <c r="H79" i="28"/>
  <c r="R79" i="28" s="1"/>
  <c r="S78" i="28"/>
  <c r="O78" i="28"/>
  <c r="M78" i="28"/>
  <c r="Q78" i="28" s="1"/>
  <c r="H78" i="28"/>
  <c r="S77" i="28"/>
  <c r="O77" i="28"/>
  <c r="M77" i="28"/>
  <c r="H77" i="28"/>
  <c r="K77" i="28" s="1"/>
  <c r="S76" i="28"/>
  <c r="O76" i="28"/>
  <c r="M76" i="28"/>
  <c r="Q76" i="28" s="1"/>
  <c r="H76" i="28"/>
  <c r="R76" i="28" s="1"/>
  <c r="S75" i="28"/>
  <c r="O75" i="28"/>
  <c r="M75" i="28"/>
  <c r="Q75" i="28" s="1"/>
  <c r="H75" i="28"/>
  <c r="S74" i="28"/>
  <c r="O74" i="28"/>
  <c r="M74" i="28"/>
  <c r="Q74" i="28" s="1"/>
  <c r="H74" i="28"/>
  <c r="K74" i="28" s="1"/>
  <c r="S73" i="28"/>
  <c r="O73" i="28"/>
  <c r="M73" i="28"/>
  <c r="Q73" i="28" s="1"/>
  <c r="H73" i="28"/>
  <c r="S72" i="28"/>
  <c r="O72" i="28"/>
  <c r="M72" i="28"/>
  <c r="Q72" i="28" s="1"/>
  <c r="H72" i="28"/>
  <c r="S71" i="28"/>
  <c r="O71" i="28"/>
  <c r="M71" i="28"/>
  <c r="H71" i="28"/>
  <c r="K71" i="28" s="1"/>
  <c r="S70" i="28"/>
  <c r="O70" i="28"/>
  <c r="M70" i="28"/>
  <c r="Q70" i="28" s="1"/>
  <c r="H70" i="28"/>
  <c r="R70" i="28" s="1"/>
  <c r="T70" i="28" s="1"/>
  <c r="S69" i="28"/>
  <c r="O69" i="28"/>
  <c r="M69" i="28"/>
  <c r="Q69" i="28" s="1"/>
  <c r="H69" i="28"/>
  <c r="S68" i="28"/>
  <c r="O68" i="28"/>
  <c r="M68" i="28"/>
  <c r="R68" i="28" s="1"/>
  <c r="H68" i="28"/>
  <c r="K68" i="28" s="1"/>
  <c r="S67" i="28"/>
  <c r="O67" i="28"/>
  <c r="M67" i="28"/>
  <c r="Q67" i="28" s="1"/>
  <c r="H67" i="28"/>
  <c r="R67" i="28" s="1"/>
  <c r="T67" i="28" s="1"/>
  <c r="S66" i="28"/>
  <c r="O66" i="28"/>
  <c r="M66" i="28"/>
  <c r="Q66" i="28" s="1"/>
  <c r="H66" i="28"/>
  <c r="S65" i="28"/>
  <c r="O65" i="28"/>
  <c r="M65" i="28"/>
  <c r="R65" i="28" s="1"/>
  <c r="T65" i="28" s="1"/>
  <c r="H65" i="28"/>
  <c r="K65" i="28" s="1"/>
  <c r="S64" i="28"/>
  <c r="O64" i="28"/>
  <c r="M64" i="28"/>
  <c r="Q64" i="28" s="1"/>
  <c r="H64" i="28"/>
  <c r="S63" i="28"/>
  <c r="O63" i="28"/>
  <c r="M63" i="28"/>
  <c r="Q63" i="28" s="1"/>
  <c r="H63" i="28"/>
  <c r="S62" i="28"/>
  <c r="O62" i="28"/>
  <c r="M62" i="28"/>
  <c r="R62" i="28" s="1"/>
  <c r="T62" i="28" s="1"/>
  <c r="H62" i="28"/>
  <c r="K62" i="28" s="1"/>
  <c r="S61" i="28"/>
  <c r="O61" i="28"/>
  <c r="M61" i="28"/>
  <c r="Q61" i="28" s="1"/>
  <c r="H61" i="28"/>
  <c r="S60" i="28"/>
  <c r="O60" i="28"/>
  <c r="M60" i="28"/>
  <c r="Q60" i="28" s="1"/>
  <c r="H60" i="28"/>
  <c r="S59" i="28"/>
  <c r="O59" i="28"/>
  <c r="M59" i="28"/>
  <c r="H59" i="28"/>
  <c r="K59" i="28" s="1"/>
  <c r="S58" i="28"/>
  <c r="O58" i="28"/>
  <c r="M58" i="28"/>
  <c r="Q58" i="28" s="1"/>
  <c r="H58" i="28"/>
  <c r="S57" i="28"/>
  <c r="O57" i="28"/>
  <c r="M57" i="28"/>
  <c r="Q57" i="28" s="1"/>
  <c r="H57" i="28"/>
  <c r="S56" i="28"/>
  <c r="O56" i="28"/>
  <c r="M56" i="28"/>
  <c r="H56" i="28"/>
  <c r="K56" i="28" s="1"/>
  <c r="S55" i="28"/>
  <c r="O55" i="28"/>
  <c r="M55" i="28"/>
  <c r="Q55" i="28" s="1"/>
  <c r="H55" i="28"/>
  <c r="S54" i="28"/>
  <c r="O54" i="28"/>
  <c r="M54" i="28"/>
  <c r="Q54" i="28" s="1"/>
  <c r="H54" i="28"/>
  <c r="S53" i="28"/>
  <c r="R53" i="28"/>
  <c r="T53" i="28" s="1"/>
  <c r="O53" i="28"/>
  <c r="M53" i="28"/>
  <c r="Q53" i="28" s="1"/>
  <c r="H53" i="28"/>
  <c r="K53" i="28" s="1"/>
  <c r="S52" i="28"/>
  <c r="O52" i="28"/>
  <c r="M52" i="28"/>
  <c r="Q52" i="28" s="1"/>
  <c r="H52" i="28"/>
  <c r="R52" i="28" s="1"/>
  <c r="T52" i="28" s="1"/>
  <c r="S51" i="28"/>
  <c r="O51" i="28"/>
  <c r="M51" i="28"/>
  <c r="Q51" i="28" s="1"/>
  <c r="H51" i="28"/>
  <c r="M47" i="28"/>
  <c r="I47" i="28"/>
  <c r="P46" i="28"/>
  <c r="L46" i="28"/>
  <c r="N46" i="28" s="1"/>
  <c r="H46" i="28"/>
  <c r="O46" i="28" s="1"/>
  <c r="P45" i="28"/>
  <c r="L45" i="28"/>
  <c r="N45" i="28" s="1"/>
  <c r="H45" i="28"/>
  <c r="O45" i="28" s="1"/>
  <c r="Q45" i="28" s="1"/>
  <c r="P44" i="28"/>
  <c r="L44" i="28"/>
  <c r="H44" i="28"/>
  <c r="M40" i="28"/>
  <c r="I40" i="28"/>
  <c r="P39" i="28"/>
  <c r="L39" i="28"/>
  <c r="N39" i="28" s="1"/>
  <c r="H39" i="28"/>
  <c r="P38" i="28"/>
  <c r="L38" i="28"/>
  <c r="H38" i="28"/>
  <c r="J38" i="28" s="1"/>
  <c r="M34" i="28"/>
  <c r="I34" i="28"/>
  <c r="P33" i="28"/>
  <c r="L33" i="28"/>
  <c r="N33" i="28" s="1"/>
  <c r="H33" i="28"/>
  <c r="J33" i="28" s="1"/>
  <c r="P32" i="28"/>
  <c r="L32" i="28"/>
  <c r="N32" i="28" s="1"/>
  <c r="H32" i="28"/>
  <c r="P31" i="28"/>
  <c r="L31" i="28"/>
  <c r="N31" i="28" s="1"/>
  <c r="H31" i="28"/>
  <c r="J31" i="28" s="1"/>
  <c r="P30" i="28"/>
  <c r="L30" i="28"/>
  <c r="H30" i="28"/>
  <c r="J30" i="28" s="1"/>
  <c r="P29" i="28"/>
  <c r="P34" i="28" s="1"/>
  <c r="L29" i="28"/>
  <c r="N29" i="28" s="1"/>
  <c r="H29" i="28"/>
  <c r="M25" i="28"/>
  <c r="I25" i="28"/>
  <c r="P24" i="28"/>
  <c r="L24" i="28"/>
  <c r="N24" i="28" s="1"/>
  <c r="H24" i="28"/>
  <c r="P23" i="28"/>
  <c r="L23" i="28"/>
  <c r="H23" i="28"/>
  <c r="J23" i="28" s="1"/>
  <c r="R19" i="28"/>
  <c r="M19" i="28"/>
  <c r="I19" i="28"/>
  <c r="P18" i="28"/>
  <c r="L18" i="28"/>
  <c r="N18" i="28" s="1"/>
  <c r="H18" i="28"/>
  <c r="P17" i="28"/>
  <c r="L17" i="28"/>
  <c r="N17" i="28" s="1"/>
  <c r="H17" i="28"/>
  <c r="J17" i="28" s="1"/>
  <c r="P16" i="28"/>
  <c r="L16" i="28"/>
  <c r="N16" i="28" s="1"/>
  <c r="H16" i="28"/>
  <c r="J16" i="28" s="1"/>
  <c r="P15" i="28"/>
  <c r="O15" i="28"/>
  <c r="Q15" i="28" s="1"/>
  <c r="L15" i="28"/>
  <c r="N15" i="28" s="1"/>
  <c r="H15" i="28"/>
  <c r="J15" i="28" s="1"/>
  <c r="P14" i="28"/>
  <c r="L14" i="28"/>
  <c r="H14" i="28"/>
  <c r="J14" i="28" s="1"/>
  <c r="P13" i="28"/>
  <c r="L13" i="28"/>
  <c r="N13" i="28" s="1"/>
  <c r="H13" i="28"/>
  <c r="O13" i="28" s="1"/>
  <c r="P12" i="28"/>
  <c r="L12" i="28"/>
  <c r="N12" i="28" s="1"/>
  <c r="H12" i="28"/>
  <c r="O12" i="28" s="1"/>
  <c r="P11" i="28"/>
  <c r="L11" i="28"/>
  <c r="N11" i="28" s="1"/>
  <c r="H11" i="28"/>
  <c r="P10" i="28"/>
  <c r="L10" i="28"/>
  <c r="N10" i="28" s="1"/>
  <c r="H10" i="28"/>
  <c r="J10" i="28" s="1"/>
  <c r="P9" i="28"/>
  <c r="L9" i="28"/>
  <c r="N9" i="28" s="1"/>
  <c r="H9" i="28"/>
  <c r="O9" i="28" s="1"/>
  <c r="P8" i="28"/>
  <c r="L8" i="28"/>
  <c r="N8" i="28" s="1"/>
  <c r="H8" i="28"/>
  <c r="P7" i="28"/>
  <c r="L7" i="28"/>
  <c r="H7" i="28"/>
  <c r="J7" i="28" s="1"/>
  <c r="P6" i="28"/>
  <c r="L6" i="28"/>
  <c r="N6" i="28" s="1"/>
  <c r="H6" i="28"/>
  <c r="P5" i="28"/>
  <c r="L5" i="28"/>
  <c r="N5" i="28" s="1"/>
  <c r="H5" i="28"/>
  <c r="J5" i="28" s="1"/>
  <c r="M46" i="27"/>
  <c r="M44" i="27"/>
  <c r="I39" i="27"/>
  <c r="I40" i="27" s="1"/>
  <c r="O145" i="27"/>
  <c r="M143" i="27"/>
  <c r="I143" i="27"/>
  <c r="P142" i="27"/>
  <c r="N142" i="27"/>
  <c r="H142" i="27"/>
  <c r="O142" i="27" s="1"/>
  <c r="Q142" i="27" s="1"/>
  <c r="P141" i="27"/>
  <c r="L141" i="27"/>
  <c r="N141" i="27" s="1"/>
  <c r="H141" i="27"/>
  <c r="O141" i="27" s="1"/>
  <c r="Q141" i="27" s="1"/>
  <c r="P140" i="27"/>
  <c r="L140" i="27"/>
  <c r="N140" i="27" s="1"/>
  <c r="H140" i="27"/>
  <c r="P139" i="27"/>
  <c r="L139" i="27"/>
  <c r="H139" i="27"/>
  <c r="J139" i="27" s="1"/>
  <c r="P138" i="27"/>
  <c r="L138" i="27"/>
  <c r="H138" i="27"/>
  <c r="J138" i="27" s="1"/>
  <c r="P137" i="27"/>
  <c r="L137" i="27"/>
  <c r="N137" i="27" s="1"/>
  <c r="H137" i="27"/>
  <c r="P136" i="27"/>
  <c r="L136" i="27"/>
  <c r="N136" i="27" s="1"/>
  <c r="H136" i="27"/>
  <c r="P135" i="27"/>
  <c r="L135" i="27"/>
  <c r="N135" i="27" s="1"/>
  <c r="H135" i="27"/>
  <c r="J135" i="27" s="1"/>
  <c r="P134" i="27"/>
  <c r="L134" i="27"/>
  <c r="N134" i="27" s="1"/>
  <c r="H134" i="27"/>
  <c r="O134" i="27" s="1"/>
  <c r="Q134" i="27" s="1"/>
  <c r="P133" i="27"/>
  <c r="L133" i="27"/>
  <c r="H133" i="27"/>
  <c r="J133" i="27" s="1"/>
  <c r="P132" i="27"/>
  <c r="L132" i="27"/>
  <c r="H132" i="27"/>
  <c r="J132" i="27" s="1"/>
  <c r="P131" i="27"/>
  <c r="L131" i="27"/>
  <c r="N131" i="27" s="1"/>
  <c r="H131" i="27"/>
  <c r="P130" i="27"/>
  <c r="L130" i="27"/>
  <c r="H130" i="27"/>
  <c r="J130" i="27" s="1"/>
  <c r="P129" i="27"/>
  <c r="L129" i="27"/>
  <c r="N129" i="27" s="1"/>
  <c r="H129" i="27"/>
  <c r="P128" i="27"/>
  <c r="L128" i="27"/>
  <c r="H128" i="27"/>
  <c r="J128" i="27" s="1"/>
  <c r="P127" i="27"/>
  <c r="L127" i="27"/>
  <c r="H127" i="27"/>
  <c r="J127" i="27" s="1"/>
  <c r="P126" i="27"/>
  <c r="L126" i="27"/>
  <c r="N126" i="27" s="1"/>
  <c r="H126" i="27"/>
  <c r="J126" i="27" s="1"/>
  <c r="P125" i="27"/>
  <c r="L125" i="27"/>
  <c r="N125" i="27" s="1"/>
  <c r="H125" i="27"/>
  <c r="O125" i="27" s="1"/>
  <c r="Q125" i="27" s="1"/>
  <c r="P124" i="27"/>
  <c r="L124" i="27"/>
  <c r="N124" i="27" s="1"/>
  <c r="H124" i="27"/>
  <c r="P123" i="27"/>
  <c r="L123" i="27"/>
  <c r="N123" i="27" s="1"/>
  <c r="H123" i="27"/>
  <c r="P122" i="27"/>
  <c r="L122" i="27"/>
  <c r="N122" i="27" s="1"/>
  <c r="H122" i="27"/>
  <c r="P121" i="27"/>
  <c r="L121" i="27"/>
  <c r="H121" i="27"/>
  <c r="J121" i="27" s="1"/>
  <c r="U117" i="27"/>
  <c r="P117" i="27"/>
  <c r="J117" i="27"/>
  <c r="S116" i="27"/>
  <c r="O116" i="27"/>
  <c r="M116" i="27"/>
  <c r="H116" i="27"/>
  <c r="K116" i="27" s="1"/>
  <c r="S115" i="27"/>
  <c r="O115" i="27"/>
  <c r="M115" i="27"/>
  <c r="Q115" i="27" s="1"/>
  <c r="H115" i="27"/>
  <c r="R115" i="27" s="1"/>
  <c r="T115" i="27" s="1"/>
  <c r="S114" i="27"/>
  <c r="O114" i="27"/>
  <c r="M114" i="27"/>
  <c r="H114" i="27"/>
  <c r="K114" i="27" s="1"/>
  <c r="S113" i="27"/>
  <c r="O113" i="27"/>
  <c r="M113" i="27"/>
  <c r="H113" i="27"/>
  <c r="K113" i="27" s="1"/>
  <c r="S112" i="27"/>
  <c r="O112" i="27"/>
  <c r="M112" i="27"/>
  <c r="Q112" i="27" s="1"/>
  <c r="H112" i="27"/>
  <c r="R112" i="27" s="1"/>
  <c r="T112" i="27" s="1"/>
  <c r="S111" i="27"/>
  <c r="O111" i="27"/>
  <c r="M111" i="27"/>
  <c r="R111" i="27" s="1"/>
  <c r="H111" i="27"/>
  <c r="K111" i="27" s="1"/>
  <c r="S110" i="27"/>
  <c r="O110" i="27"/>
  <c r="M110" i="27"/>
  <c r="H110" i="27"/>
  <c r="K110" i="27" s="1"/>
  <c r="S109" i="27"/>
  <c r="O109" i="27"/>
  <c r="M109" i="27"/>
  <c r="Q109" i="27" s="1"/>
  <c r="H109" i="27"/>
  <c r="R109" i="27" s="1"/>
  <c r="T109" i="27" s="1"/>
  <c r="S108" i="27"/>
  <c r="O108" i="27"/>
  <c r="M108" i="27"/>
  <c r="H108" i="27"/>
  <c r="K108" i="27" s="1"/>
  <c r="S107" i="27"/>
  <c r="O107" i="27"/>
  <c r="M107" i="27"/>
  <c r="H107" i="27"/>
  <c r="K107" i="27" s="1"/>
  <c r="S106" i="27"/>
  <c r="O106" i="27"/>
  <c r="M106" i="27"/>
  <c r="Q106" i="27" s="1"/>
  <c r="H106" i="27"/>
  <c r="R106" i="27" s="1"/>
  <c r="T106" i="27" s="1"/>
  <c r="S105" i="27"/>
  <c r="O105" i="27"/>
  <c r="M105" i="27"/>
  <c r="Q105" i="27" s="1"/>
  <c r="H105" i="27"/>
  <c r="K105" i="27" s="1"/>
  <c r="S104" i="27"/>
  <c r="O104" i="27"/>
  <c r="M104" i="27"/>
  <c r="H104" i="27"/>
  <c r="K104" i="27" s="1"/>
  <c r="S103" i="27"/>
  <c r="O103" i="27"/>
  <c r="M103" i="27"/>
  <c r="Q103" i="27" s="1"/>
  <c r="H103" i="27"/>
  <c r="R103" i="27" s="1"/>
  <c r="T103" i="27" s="1"/>
  <c r="S102" i="27"/>
  <c r="O102" i="27"/>
  <c r="M102" i="27"/>
  <c r="H102" i="27"/>
  <c r="K102" i="27" s="1"/>
  <c r="S101" i="27"/>
  <c r="O101" i="27"/>
  <c r="M101" i="27"/>
  <c r="H101" i="27"/>
  <c r="K101" i="27" s="1"/>
  <c r="S100" i="27"/>
  <c r="O100" i="27"/>
  <c r="M100" i="27"/>
  <c r="Q100" i="27" s="1"/>
  <c r="H100" i="27"/>
  <c r="R100" i="27" s="1"/>
  <c r="T100" i="27" s="1"/>
  <c r="S99" i="27"/>
  <c r="O99" i="27"/>
  <c r="M99" i="27"/>
  <c r="Q99" i="27" s="1"/>
  <c r="H99" i="27"/>
  <c r="K99" i="27" s="1"/>
  <c r="S98" i="27"/>
  <c r="O98" i="27"/>
  <c r="M98" i="27"/>
  <c r="H98" i="27"/>
  <c r="K98" i="27" s="1"/>
  <c r="S97" i="27"/>
  <c r="O97" i="27"/>
  <c r="M97" i="27"/>
  <c r="Q97" i="27" s="1"/>
  <c r="H97" i="27"/>
  <c r="S96" i="27"/>
  <c r="O96" i="27"/>
  <c r="M96" i="27"/>
  <c r="H96" i="27"/>
  <c r="K96" i="27" s="1"/>
  <c r="S95" i="27"/>
  <c r="O95" i="27"/>
  <c r="M95" i="27"/>
  <c r="H95" i="27"/>
  <c r="K95" i="27" s="1"/>
  <c r="S94" i="27"/>
  <c r="O94" i="27"/>
  <c r="M94" i="27"/>
  <c r="Q94" i="27" s="1"/>
  <c r="H94" i="27"/>
  <c r="R94" i="27" s="1"/>
  <c r="S93" i="27"/>
  <c r="O93" i="27"/>
  <c r="M93" i="27"/>
  <c r="Q93" i="27" s="1"/>
  <c r="H93" i="27"/>
  <c r="K93" i="27" s="1"/>
  <c r="S92" i="27"/>
  <c r="O92" i="27"/>
  <c r="M92" i="27"/>
  <c r="H92" i="27"/>
  <c r="K92" i="27" s="1"/>
  <c r="S91" i="27"/>
  <c r="O91" i="27"/>
  <c r="M91" i="27"/>
  <c r="Q91" i="27" s="1"/>
  <c r="H91" i="27"/>
  <c r="S90" i="27"/>
  <c r="O90" i="27"/>
  <c r="M90" i="27"/>
  <c r="H90" i="27"/>
  <c r="K90" i="27" s="1"/>
  <c r="S89" i="27"/>
  <c r="O89" i="27"/>
  <c r="M89" i="27"/>
  <c r="H89" i="27"/>
  <c r="K89" i="27" s="1"/>
  <c r="S88" i="27"/>
  <c r="O88" i="27"/>
  <c r="M88" i="27"/>
  <c r="Q88" i="27" s="1"/>
  <c r="H88" i="27"/>
  <c r="R88" i="27" s="1"/>
  <c r="T88" i="27" s="1"/>
  <c r="S87" i="27"/>
  <c r="O87" i="27"/>
  <c r="M87" i="27"/>
  <c r="H87" i="27"/>
  <c r="K87" i="27" s="1"/>
  <c r="S86" i="27"/>
  <c r="O86" i="27"/>
  <c r="M86" i="27"/>
  <c r="H86" i="27"/>
  <c r="K86" i="27" s="1"/>
  <c r="S85" i="27"/>
  <c r="O85" i="27"/>
  <c r="M85" i="27"/>
  <c r="Q85" i="27" s="1"/>
  <c r="H85" i="27"/>
  <c r="R85" i="27" s="1"/>
  <c r="T85" i="27" s="1"/>
  <c r="S84" i="27"/>
  <c r="O84" i="27"/>
  <c r="M84" i="27"/>
  <c r="R84" i="27" s="1"/>
  <c r="H84" i="27"/>
  <c r="K84" i="27" s="1"/>
  <c r="S83" i="27"/>
  <c r="O83" i="27"/>
  <c r="M83" i="27"/>
  <c r="H83" i="27"/>
  <c r="K83" i="27" s="1"/>
  <c r="S82" i="27"/>
  <c r="O82" i="27"/>
  <c r="M82" i="27"/>
  <c r="Q82" i="27" s="1"/>
  <c r="H82" i="27"/>
  <c r="R82" i="27" s="1"/>
  <c r="T82" i="27" s="1"/>
  <c r="S81" i="27"/>
  <c r="O81" i="27"/>
  <c r="M81" i="27"/>
  <c r="H81" i="27"/>
  <c r="K81" i="27" s="1"/>
  <c r="S80" i="27"/>
  <c r="O80" i="27"/>
  <c r="M80" i="27"/>
  <c r="H80" i="27"/>
  <c r="K80" i="27" s="1"/>
  <c r="S79" i="27"/>
  <c r="O79" i="27"/>
  <c r="M79" i="27"/>
  <c r="Q79" i="27" s="1"/>
  <c r="H79" i="27"/>
  <c r="R79" i="27" s="1"/>
  <c r="T79" i="27" s="1"/>
  <c r="S78" i="27"/>
  <c r="O78" i="27"/>
  <c r="M78" i="27"/>
  <c r="H78" i="27"/>
  <c r="K78" i="27" s="1"/>
  <c r="S77" i="27"/>
  <c r="O77" i="27"/>
  <c r="M77" i="27"/>
  <c r="H77" i="27"/>
  <c r="K77" i="27" s="1"/>
  <c r="S76" i="27"/>
  <c r="O76" i="27"/>
  <c r="M76" i="27"/>
  <c r="Q76" i="27" s="1"/>
  <c r="H76" i="27"/>
  <c r="S75" i="27"/>
  <c r="O75" i="27"/>
  <c r="M75" i="27"/>
  <c r="R75" i="27" s="1"/>
  <c r="H75" i="27"/>
  <c r="K75" i="27" s="1"/>
  <c r="S74" i="27"/>
  <c r="O74" i="27"/>
  <c r="M74" i="27"/>
  <c r="H74" i="27"/>
  <c r="K74" i="27" s="1"/>
  <c r="S73" i="27"/>
  <c r="O73" i="27"/>
  <c r="M73" i="27"/>
  <c r="Q73" i="27" s="1"/>
  <c r="H73" i="27"/>
  <c r="R73" i="27" s="1"/>
  <c r="T73" i="27" s="1"/>
  <c r="S72" i="27"/>
  <c r="O72" i="27"/>
  <c r="M72" i="27"/>
  <c r="R72" i="27" s="1"/>
  <c r="H72" i="27"/>
  <c r="K72" i="27" s="1"/>
  <c r="S71" i="27"/>
  <c r="O71" i="27"/>
  <c r="M71" i="27"/>
  <c r="H71" i="27"/>
  <c r="K71" i="27" s="1"/>
  <c r="S70" i="27"/>
  <c r="O70" i="27"/>
  <c r="M70" i="27"/>
  <c r="Q70" i="27" s="1"/>
  <c r="H70" i="27"/>
  <c r="R70" i="27" s="1"/>
  <c r="S69" i="27"/>
  <c r="O69" i="27"/>
  <c r="M69" i="27"/>
  <c r="H69" i="27"/>
  <c r="K69" i="27" s="1"/>
  <c r="S68" i="27"/>
  <c r="O68" i="27"/>
  <c r="M68" i="27"/>
  <c r="K68" i="27"/>
  <c r="H68" i="27"/>
  <c r="S67" i="27"/>
  <c r="O67" i="27"/>
  <c r="M67" i="27"/>
  <c r="Q67" i="27" s="1"/>
  <c r="H67" i="27"/>
  <c r="R67" i="27" s="1"/>
  <c r="S66" i="27"/>
  <c r="O66" i="27"/>
  <c r="M66" i="27"/>
  <c r="H66" i="27"/>
  <c r="K66" i="27" s="1"/>
  <c r="S65" i="27"/>
  <c r="O65" i="27"/>
  <c r="M65" i="27"/>
  <c r="H65" i="27"/>
  <c r="K65" i="27" s="1"/>
  <c r="S64" i="27"/>
  <c r="O64" i="27"/>
  <c r="M64" i="27"/>
  <c r="Q64" i="27" s="1"/>
  <c r="H64" i="27"/>
  <c r="R64" i="27" s="1"/>
  <c r="S63" i="27"/>
  <c r="O63" i="27"/>
  <c r="M63" i="27"/>
  <c r="H63" i="27"/>
  <c r="K63" i="27" s="1"/>
  <c r="S62" i="27"/>
  <c r="O62" i="27"/>
  <c r="M62" i="27"/>
  <c r="H62" i="27"/>
  <c r="K62" i="27" s="1"/>
  <c r="S61" i="27"/>
  <c r="O61" i="27"/>
  <c r="M61" i="27"/>
  <c r="Q61" i="27" s="1"/>
  <c r="H61" i="27"/>
  <c r="R61" i="27" s="1"/>
  <c r="S60" i="27"/>
  <c r="O60" i="27"/>
  <c r="M60" i="27"/>
  <c r="H60" i="27"/>
  <c r="K60" i="27" s="1"/>
  <c r="S59" i="27"/>
  <c r="O59" i="27"/>
  <c r="M59" i="27"/>
  <c r="H59" i="27"/>
  <c r="K59" i="27" s="1"/>
  <c r="S58" i="27"/>
  <c r="O58" i="27"/>
  <c r="M58" i="27"/>
  <c r="Q58" i="27" s="1"/>
  <c r="H58" i="27"/>
  <c r="R58" i="27" s="1"/>
  <c r="S57" i="27"/>
  <c r="O57" i="27"/>
  <c r="M57" i="27"/>
  <c r="H57" i="27"/>
  <c r="K57" i="27" s="1"/>
  <c r="S56" i="27"/>
  <c r="O56" i="27"/>
  <c r="M56" i="27"/>
  <c r="H56" i="27"/>
  <c r="K56" i="27" s="1"/>
  <c r="S55" i="27"/>
  <c r="O55" i="27"/>
  <c r="M55" i="27"/>
  <c r="Q55" i="27" s="1"/>
  <c r="H55" i="27"/>
  <c r="R55" i="27" s="1"/>
  <c r="T55" i="27" s="1"/>
  <c r="S54" i="27"/>
  <c r="O54" i="27"/>
  <c r="M54" i="27"/>
  <c r="H54" i="27"/>
  <c r="K54" i="27" s="1"/>
  <c r="S53" i="27"/>
  <c r="O53" i="27"/>
  <c r="M53" i="27"/>
  <c r="H53" i="27"/>
  <c r="K53" i="27" s="1"/>
  <c r="S52" i="27"/>
  <c r="O52" i="27"/>
  <c r="M52" i="27"/>
  <c r="Q52" i="27" s="1"/>
  <c r="H52" i="27"/>
  <c r="R52" i="27" s="1"/>
  <c r="T52" i="27" s="1"/>
  <c r="S51" i="27"/>
  <c r="R51" i="27"/>
  <c r="T51" i="27" s="1"/>
  <c r="O51" i="27"/>
  <c r="M51" i="27"/>
  <c r="Q51" i="27" s="1"/>
  <c r="H51" i="27"/>
  <c r="I47" i="27"/>
  <c r="P46" i="27"/>
  <c r="L46" i="27"/>
  <c r="N46" i="27" s="1"/>
  <c r="H46" i="27"/>
  <c r="J46" i="27" s="1"/>
  <c r="P45" i="27"/>
  <c r="L45" i="27"/>
  <c r="N45" i="27" s="1"/>
  <c r="H45" i="27"/>
  <c r="O45" i="27" s="1"/>
  <c r="P44" i="27"/>
  <c r="L44" i="27"/>
  <c r="H44" i="27"/>
  <c r="M40" i="27"/>
  <c r="P39" i="27"/>
  <c r="L39" i="27"/>
  <c r="H39" i="27"/>
  <c r="P38" i="27"/>
  <c r="L38" i="27"/>
  <c r="N38" i="27" s="1"/>
  <c r="H38" i="27"/>
  <c r="J38" i="27" s="1"/>
  <c r="M34" i="27"/>
  <c r="I34" i="27"/>
  <c r="P33" i="27"/>
  <c r="L33" i="27"/>
  <c r="N33" i="27" s="1"/>
  <c r="H33" i="27"/>
  <c r="P32" i="27"/>
  <c r="L32" i="27"/>
  <c r="H32" i="27"/>
  <c r="J32" i="27" s="1"/>
  <c r="P31" i="27"/>
  <c r="L31" i="27"/>
  <c r="H31" i="27"/>
  <c r="J31" i="27" s="1"/>
  <c r="P30" i="27"/>
  <c r="L30" i="27"/>
  <c r="N30" i="27" s="1"/>
  <c r="H30" i="27"/>
  <c r="J30" i="27" s="1"/>
  <c r="P29" i="27"/>
  <c r="L29" i="27"/>
  <c r="N29" i="27" s="1"/>
  <c r="H29" i="27"/>
  <c r="J29" i="27" s="1"/>
  <c r="M25" i="27"/>
  <c r="I25" i="27"/>
  <c r="P24" i="27"/>
  <c r="L24" i="27"/>
  <c r="N24" i="27" s="1"/>
  <c r="H24" i="27"/>
  <c r="P23" i="27"/>
  <c r="L23" i="27"/>
  <c r="H23" i="27"/>
  <c r="J23" i="27" s="1"/>
  <c r="R19" i="27"/>
  <c r="M19" i="27"/>
  <c r="I19" i="27"/>
  <c r="P18" i="27"/>
  <c r="L18" i="27"/>
  <c r="N18" i="27" s="1"/>
  <c r="H18" i="27"/>
  <c r="J18" i="27" s="1"/>
  <c r="P17" i="27"/>
  <c r="L17" i="27"/>
  <c r="N17" i="27" s="1"/>
  <c r="H17" i="27"/>
  <c r="P16" i="27"/>
  <c r="L16" i="27"/>
  <c r="H16" i="27"/>
  <c r="J16" i="27" s="1"/>
  <c r="P15" i="27"/>
  <c r="L15" i="27"/>
  <c r="H15" i="27"/>
  <c r="J15" i="27" s="1"/>
  <c r="P14" i="27"/>
  <c r="L14" i="27"/>
  <c r="N14" i="27" s="1"/>
  <c r="H14" i="27"/>
  <c r="J14" i="27" s="1"/>
  <c r="P13" i="27"/>
  <c r="L13" i="27"/>
  <c r="N13" i="27" s="1"/>
  <c r="H13" i="27"/>
  <c r="P12" i="27"/>
  <c r="L12" i="27"/>
  <c r="N12" i="27" s="1"/>
  <c r="H12" i="27"/>
  <c r="P11" i="27"/>
  <c r="L11" i="27"/>
  <c r="N11" i="27" s="1"/>
  <c r="H11" i="27"/>
  <c r="O11" i="27" s="1"/>
  <c r="Q11" i="27" s="1"/>
  <c r="P10" i="27"/>
  <c r="L10" i="27"/>
  <c r="N10" i="27" s="1"/>
  <c r="H10" i="27"/>
  <c r="O10" i="27" s="1"/>
  <c r="P9" i="27"/>
  <c r="L9" i="27"/>
  <c r="O9" i="27" s="1"/>
  <c r="Q9" i="27" s="1"/>
  <c r="H9" i="27"/>
  <c r="J9" i="27" s="1"/>
  <c r="P8" i="27"/>
  <c r="L8" i="27"/>
  <c r="N8" i="27" s="1"/>
  <c r="H8" i="27"/>
  <c r="O8" i="27" s="1"/>
  <c r="P7" i="27"/>
  <c r="L7" i="27"/>
  <c r="N7" i="27" s="1"/>
  <c r="H7" i="27"/>
  <c r="P6" i="27"/>
  <c r="L6" i="27"/>
  <c r="N6" i="27" s="1"/>
  <c r="H6" i="27"/>
  <c r="J6" i="27" s="1"/>
  <c r="P5" i="27"/>
  <c r="L5" i="27"/>
  <c r="N5" i="27" s="1"/>
  <c r="H5" i="27"/>
  <c r="O5" i="27" s="1"/>
  <c r="O145" i="26"/>
  <c r="M143" i="26"/>
  <c r="I143" i="26"/>
  <c r="P142" i="26"/>
  <c r="Q142" i="26" s="1"/>
  <c r="O142" i="26"/>
  <c r="N142" i="26"/>
  <c r="H142" i="26"/>
  <c r="J142" i="26" s="1"/>
  <c r="P141" i="26"/>
  <c r="L141" i="26"/>
  <c r="N141" i="26" s="1"/>
  <c r="H141" i="26"/>
  <c r="O141" i="26" s="1"/>
  <c r="Q141" i="26" s="1"/>
  <c r="Q140" i="26"/>
  <c r="P140" i="26"/>
  <c r="O140" i="26"/>
  <c r="L140" i="26"/>
  <c r="N140" i="26" s="1"/>
  <c r="H140" i="26"/>
  <c r="J140" i="26" s="1"/>
  <c r="P139" i="26"/>
  <c r="O139" i="26"/>
  <c r="Q139" i="26" s="1"/>
  <c r="L139" i="26"/>
  <c r="N139" i="26" s="1"/>
  <c r="J139" i="26"/>
  <c r="H139" i="26"/>
  <c r="P138" i="26"/>
  <c r="L138" i="26"/>
  <c r="N138" i="26" s="1"/>
  <c r="H138" i="26"/>
  <c r="P137" i="26"/>
  <c r="O137" i="26"/>
  <c r="Q137" i="26" s="1"/>
  <c r="N137" i="26"/>
  <c r="L137" i="26"/>
  <c r="J137" i="26"/>
  <c r="H137" i="26"/>
  <c r="P136" i="26"/>
  <c r="L136" i="26"/>
  <c r="N136" i="26" s="1"/>
  <c r="H136" i="26"/>
  <c r="O136" i="26" s="1"/>
  <c r="Q136" i="26" s="1"/>
  <c r="P135" i="26"/>
  <c r="Q135" i="26" s="1"/>
  <c r="O135" i="26"/>
  <c r="N135" i="26"/>
  <c r="L135" i="26"/>
  <c r="J135" i="26"/>
  <c r="H135" i="26"/>
  <c r="P134" i="26"/>
  <c r="L134" i="26"/>
  <c r="N134" i="26" s="1"/>
  <c r="H134" i="26"/>
  <c r="O134" i="26" s="1"/>
  <c r="Q134" i="26" s="1"/>
  <c r="P133" i="26"/>
  <c r="N133" i="26"/>
  <c r="L133" i="26"/>
  <c r="H133" i="26"/>
  <c r="O133" i="26" s="1"/>
  <c r="Q133" i="26" s="1"/>
  <c r="P132" i="26"/>
  <c r="L132" i="26"/>
  <c r="N132" i="26" s="1"/>
  <c r="H132" i="26"/>
  <c r="J132" i="26" s="1"/>
  <c r="P131" i="26"/>
  <c r="L131" i="26"/>
  <c r="N131" i="26" s="1"/>
  <c r="H131" i="26"/>
  <c r="P130" i="26"/>
  <c r="L130" i="26"/>
  <c r="N130" i="26" s="1"/>
  <c r="H130" i="26"/>
  <c r="J130" i="26" s="1"/>
  <c r="P129" i="26"/>
  <c r="L129" i="26"/>
  <c r="N129" i="26" s="1"/>
  <c r="J129" i="26"/>
  <c r="H129" i="26"/>
  <c r="Q128" i="26"/>
  <c r="P128" i="26"/>
  <c r="O128" i="26"/>
  <c r="L128" i="26"/>
  <c r="N128" i="26" s="1"/>
  <c r="H128" i="26"/>
  <c r="J128" i="26" s="1"/>
  <c r="P127" i="26"/>
  <c r="L127" i="26"/>
  <c r="O127" i="26" s="1"/>
  <c r="Q127" i="26" s="1"/>
  <c r="J127" i="26"/>
  <c r="H127" i="26"/>
  <c r="P126" i="26"/>
  <c r="L126" i="26"/>
  <c r="N126" i="26" s="1"/>
  <c r="H126" i="26"/>
  <c r="O126" i="26" s="1"/>
  <c r="Q126" i="26" s="1"/>
  <c r="P125" i="26"/>
  <c r="Q151" i="26" s="1"/>
  <c r="O125" i="26"/>
  <c r="Q125" i="26" s="1"/>
  <c r="N125" i="26"/>
  <c r="L125" i="26"/>
  <c r="J125" i="26"/>
  <c r="H125" i="26"/>
  <c r="P124" i="26"/>
  <c r="L124" i="26"/>
  <c r="N124" i="26" s="1"/>
  <c r="H124" i="26"/>
  <c r="O124" i="26" s="1"/>
  <c r="P123" i="26"/>
  <c r="Q123" i="26" s="1"/>
  <c r="O123" i="26"/>
  <c r="N123" i="26"/>
  <c r="L123" i="26"/>
  <c r="J123" i="26"/>
  <c r="H123" i="26"/>
  <c r="P122" i="26"/>
  <c r="L122" i="26"/>
  <c r="H122" i="26"/>
  <c r="P121" i="26"/>
  <c r="L121" i="26"/>
  <c r="N121" i="26" s="1"/>
  <c r="H121" i="26"/>
  <c r="O121" i="26" s="1"/>
  <c r="U117" i="26"/>
  <c r="P117" i="26"/>
  <c r="J117" i="26"/>
  <c r="S117" i="26" s="1"/>
  <c r="Q146" i="26" s="1"/>
  <c r="S116" i="26"/>
  <c r="O116" i="26"/>
  <c r="M116" i="26"/>
  <c r="R116" i="26" s="1"/>
  <c r="T116" i="26" s="1"/>
  <c r="K116" i="26"/>
  <c r="H116" i="26"/>
  <c r="S115" i="26"/>
  <c r="O115" i="26"/>
  <c r="M115" i="26"/>
  <c r="R115" i="26" s="1"/>
  <c r="T115" i="26" s="1"/>
  <c r="H115" i="26"/>
  <c r="K115" i="26" s="1"/>
  <c r="S114" i="26"/>
  <c r="O114" i="26"/>
  <c r="M114" i="26"/>
  <c r="Q114" i="26" s="1"/>
  <c r="K114" i="26"/>
  <c r="H114" i="26"/>
  <c r="S113" i="26"/>
  <c r="O113" i="26"/>
  <c r="M113" i="26"/>
  <c r="R113" i="26" s="1"/>
  <c r="T113" i="26" s="1"/>
  <c r="K113" i="26"/>
  <c r="H113" i="26"/>
  <c r="S112" i="26"/>
  <c r="O112" i="26"/>
  <c r="M112" i="26"/>
  <c r="H112" i="26"/>
  <c r="K112" i="26" s="1"/>
  <c r="S111" i="26"/>
  <c r="O111" i="26"/>
  <c r="M111" i="26"/>
  <c r="R111" i="26" s="1"/>
  <c r="T111" i="26" s="1"/>
  <c r="K111" i="26"/>
  <c r="H111" i="26"/>
  <c r="S110" i="26"/>
  <c r="O110" i="26"/>
  <c r="M110" i="26"/>
  <c r="R110" i="26" s="1"/>
  <c r="T110" i="26" s="1"/>
  <c r="K110" i="26"/>
  <c r="H110" i="26"/>
  <c r="S109" i="26"/>
  <c r="O109" i="26"/>
  <c r="M109" i="26"/>
  <c r="R109" i="26" s="1"/>
  <c r="T109" i="26" s="1"/>
  <c r="H109" i="26"/>
  <c r="K109" i="26" s="1"/>
  <c r="S108" i="26"/>
  <c r="R108" i="26"/>
  <c r="T108" i="26" s="1"/>
  <c r="Q108" i="26"/>
  <c r="O108" i="26"/>
  <c r="M108" i="26"/>
  <c r="K108" i="26"/>
  <c r="H108" i="26"/>
  <c r="S107" i="26"/>
  <c r="O107" i="26"/>
  <c r="M107" i="26"/>
  <c r="R107" i="26" s="1"/>
  <c r="T107" i="26" s="1"/>
  <c r="K107" i="26"/>
  <c r="H107" i="26"/>
  <c r="S106" i="26"/>
  <c r="O106" i="26"/>
  <c r="M106" i="26"/>
  <c r="H106" i="26"/>
  <c r="K106" i="26" s="1"/>
  <c r="S105" i="26"/>
  <c r="O105" i="26"/>
  <c r="M105" i="26"/>
  <c r="R105" i="26" s="1"/>
  <c r="T105" i="26" s="1"/>
  <c r="K105" i="26"/>
  <c r="H105" i="26"/>
  <c r="S104" i="26"/>
  <c r="O104" i="26"/>
  <c r="M104" i="26"/>
  <c r="R104" i="26" s="1"/>
  <c r="T104" i="26" s="1"/>
  <c r="K104" i="26"/>
  <c r="H104" i="26"/>
  <c r="S103" i="26"/>
  <c r="O103" i="26"/>
  <c r="M103" i="26"/>
  <c r="R103" i="26" s="1"/>
  <c r="H103" i="26"/>
  <c r="K103" i="26" s="1"/>
  <c r="S102" i="26"/>
  <c r="O102" i="26"/>
  <c r="M102" i="26"/>
  <c r="R102" i="26" s="1"/>
  <c r="T102" i="26" s="1"/>
  <c r="K102" i="26"/>
  <c r="H102" i="26"/>
  <c r="S101" i="26"/>
  <c r="O101" i="26"/>
  <c r="M101" i="26"/>
  <c r="R101" i="26" s="1"/>
  <c r="T101" i="26" s="1"/>
  <c r="K101" i="26"/>
  <c r="H101" i="26"/>
  <c r="S100" i="26"/>
  <c r="O100" i="26"/>
  <c r="M100" i="26"/>
  <c r="H100" i="26"/>
  <c r="K100" i="26" s="1"/>
  <c r="S99" i="26"/>
  <c r="O99" i="26"/>
  <c r="M99" i="26"/>
  <c r="R99" i="26" s="1"/>
  <c r="T99" i="26" s="1"/>
  <c r="K99" i="26"/>
  <c r="H99" i="26"/>
  <c r="S98" i="26"/>
  <c r="O98" i="26"/>
  <c r="M98" i="26"/>
  <c r="R98" i="26" s="1"/>
  <c r="T98" i="26" s="1"/>
  <c r="K98" i="26"/>
  <c r="H98" i="26"/>
  <c r="S97" i="26"/>
  <c r="O97" i="26"/>
  <c r="M97" i="26"/>
  <c r="R97" i="26" s="1"/>
  <c r="T97" i="26" s="1"/>
  <c r="H97" i="26"/>
  <c r="K97" i="26" s="1"/>
  <c r="S96" i="26"/>
  <c r="O96" i="26"/>
  <c r="M96" i="26"/>
  <c r="R96" i="26" s="1"/>
  <c r="K96" i="26"/>
  <c r="H96" i="26"/>
  <c r="S95" i="26"/>
  <c r="O95" i="26"/>
  <c r="M95" i="26"/>
  <c r="R95" i="26" s="1"/>
  <c r="T95" i="26" s="1"/>
  <c r="K95" i="26"/>
  <c r="H95" i="26"/>
  <c r="S94" i="26"/>
  <c r="O94" i="26"/>
  <c r="M94" i="26"/>
  <c r="H94" i="26"/>
  <c r="K94" i="26" s="1"/>
  <c r="S93" i="26"/>
  <c r="O93" i="26"/>
  <c r="M93" i="26"/>
  <c r="R93" i="26" s="1"/>
  <c r="T93" i="26" s="1"/>
  <c r="K93" i="26"/>
  <c r="H93" i="26"/>
  <c r="S92" i="26"/>
  <c r="O92" i="26"/>
  <c r="M92" i="26"/>
  <c r="R92" i="26" s="1"/>
  <c r="T92" i="26" s="1"/>
  <c r="K92" i="26"/>
  <c r="H92" i="26"/>
  <c r="S91" i="26"/>
  <c r="O91" i="26"/>
  <c r="M91" i="26"/>
  <c r="R91" i="26" s="1"/>
  <c r="T91" i="26" s="1"/>
  <c r="H91" i="26"/>
  <c r="K91" i="26" s="1"/>
  <c r="S90" i="26"/>
  <c r="O90" i="26"/>
  <c r="M90" i="26"/>
  <c r="R90" i="26" s="1"/>
  <c r="T90" i="26" s="1"/>
  <c r="K90" i="26"/>
  <c r="H90" i="26"/>
  <c r="S89" i="26"/>
  <c r="O89" i="26"/>
  <c r="M89" i="26"/>
  <c r="R89" i="26" s="1"/>
  <c r="T89" i="26" s="1"/>
  <c r="K89" i="26"/>
  <c r="H89" i="26"/>
  <c r="S88" i="26"/>
  <c r="O88" i="26"/>
  <c r="M88" i="26"/>
  <c r="H88" i="26"/>
  <c r="K88" i="26" s="1"/>
  <c r="S87" i="26"/>
  <c r="O87" i="26"/>
  <c r="M87" i="26"/>
  <c r="Q87" i="26" s="1"/>
  <c r="K87" i="26"/>
  <c r="H87" i="26"/>
  <c r="S86" i="26"/>
  <c r="O86" i="26"/>
  <c r="M86" i="26"/>
  <c r="R86" i="26" s="1"/>
  <c r="T86" i="26" s="1"/>
  <c r="K86" i="26"/>
  <c r="H86" i="26"/>
  <c r="S85" i="26"/>
  <c r="O85" i="26"/>
  <c r="M85" i="26"/>
  <c r="R85" i="26" s="1"/>
  <c r="T85" i="26" s="1"/>
  <c r="K85" i="26"/>
  <c r="H85" i="26"/>
  <c r="S84" i="26"/>
  <c r="O84" i="26"/>
  <c r="M84" i="26"/>
  <c r="Q84" i="26" s="1"/>
  <c r="K84" i="26"/>
  <c r="H84" i="26"/>
  <c r="S83" i="26"/>
  <c r="O83" i="26"/>
  <c r="M83" i="26"/>
  <c r="R83" i="26" s="1"/>
  <c r="T83" i="26" s="1"/>
  <c r="K83" i="26"/>
  <c r="H83" i="26"/>
  <c r="S82" i="26"/>
  <c r="O82" i="26"/>
  <c r="M82" i="26"/>
  <c r="H82" i="26"/>
  <c r="K82" i="26" s="1"/>
  <c r="S81" i="26"/>
  <c r="O81" i="26"/>
  <c r="M81" i="26"/>
  <c r="Q81" i="26" s="1"/>
  <c r="K81" i="26"/>
  <c r="H81" i="26"/>
  <c r="S80" i="26"/>
  <c r="O80" i="26"/>
  <c r="M80" i="26"/>
  <c r="R80" i="26" s="1"/>
  <c r="T80" i="26" s="1"/>
  <c r="K80" i="26"/>
  <c r="H80" i="26"/>
  <c r="S79" i="26"/>
  <c r="O79" i="26"/>
  <c r="M79" i="26"/>
  <c r="H79" i="26"/>
  <c r="K79" i="26" s="1"/>
  <c r="S78" i="26"/>
  <c r="O78" i="26"/>
  <c r="M78" i="26"/>
  <c r="Q78" i="26" s="1"/>
  <c r="K78" i="26"/>
  <c r="H78" i="26"/>
  <c r="S77" i="26"/>
  <c r="O77" i="26"/>
  <c r="M77" i="26"/>
  <c r="R77" i="26" s="1"/>
  <c r="T77" i="26" s="1"/>
  <c r="K77" i="26"/>
  <c r="H77" i="26"/>
  <c r="S76" i="26"/>
  <c r="O76" i="26"/>
  <c r="M76" i="26"/>
  <c r="R76" i="26" s="1"/>
  <c r="K76" i="26"/>
  <c r="H76" i="26"/>
  <c r="S75" i="26"/>
  <c r="O75" i="26"/>
  <c r="M75" i="26"/>
  <c r="R75" i="26" s="1"/>
  <c r="T75" i="26" s="1"/>
  <c r="K75" i="26"/>
  <c r="H75" i="26"/>
  <c r="S74" i="26"/>
  <c r="O74" i="26"/>
  <c r="M74" i="26"/>
  <c r="Q74" i="26" s="1"/>
  <c r="K74" i="26"/>
  <c r="H74" i="26"/>
  <c r="S73" i="26"/>
  <c r="O73" i="26"/>
  <c r="M73" i="26"/>
  <c r="H73" i="26"/>
  <c r="K73" i="26" s="1"/>
  <c r="S72" i="26"/>
  <c r="O72" i="26"/>
  <c r="M72" i="26"/>
  <c r="Q72" i="26" s="1"/>
  <c r="K72" i="26"/>
  <c r="H72" i="26"/>
  <c r="S71" i="26"/>
  <c r="O71" i="26"/>
  <c r="M71" i="26"/>
  <c r="Q71" i="26" s="1"/>
  <c r="K71" i="26"/>
  <c r="H71" i="26"/>
  <c r="S70" i="26"/>
  <c r="O70" i="26"/>
  <c r="M70" i="26"/>
  <c r="H70" i="26"/>
  <c r="K70" i="26" s="1"/>
  <c r="S69" i="26"/>
  <c r="O69" i="26"/>
  <c r="M69" i="26"/>
  <c r="R69" i="26" s="1"/>
  <c r="T69" i="26" s="1"/>
  <c r="K69" i="26"/>
  <c r="H69" i="26"/>
  <c r="S68" i="26"/>
  <c r="O68" i="26"/>
  <c r="M68" i="26"/>
  <c r="R68" i="26" s="1"/>
  <c r="K68" i="26"/>
  <c r="H68" i="26"/>
  <c r="S67" i="26"/>
  <c r="O67" i="26"/>
  <c r="M67" i="26"/>
  <c r="R67" i="26" s="1"/>
  <c r="T67" i="26" s="1"/>
  <c r="K67" i="26"/>
  <c r="H67" i="26"/>
  <c r="S66" i="26"/>
  <c r="O66" i="26"/>
  <c r="M66" i="26"/>
  <c r="R66" i="26" s="1"/>
  <c r="T66" i="26" s="1"/>
  <c r="K66" i="26"/>
  <c r="H66" i="26"/>
  <c r="S65" i="26"/>
  <c r="O65" i="26"/>
  <c r="M65" i="26"/>
  <c r="R65" i="26" s="1"/>
  <c r="T65" i="26" s="1"/>
  <c r="K65" i="26"/>
  <c r="H65" i="26"/>
  <c r="S64" i="26"/>
  <c r="O64" i="26"/>
  <c r="M64" i="26"/>
  <c r="H64" i="26"/>
  <c r="K64" i="26" s="1"/>
  <c r="S63" i="26"/>
  <c r="O63" i="26"/>
  <c r="M63" i="26"/>
  <c r="R63" i="26" s="1"/>
  <c r="T63" i="26" s="1"/>
  <c r="K63" i="26"/>
  <c r="H63" i="26"/>
  <c r="S62" i="26"/>
  <c r="O62" i="26"/>
  <c r="M62" i="26"/>
  <c r="R62" i="26" s="1"/>
  <c r="T62" i="26" s="1"/>
  <c r="K62" i="26"/>
  <c r="H62" i="26"/>
  <c r="S61" i="26"/>
  <c r="O61" i="26"/>
  <c r="M61" i="26"/>
  <c r="H61" i="26"/>
  <c r="K61" i="26" s="1"/>
  <c r="S60" i="26"/>
  <c r="O60" i="26"/>
  <c r="M60" i="26"/>
  <c r="R60" i="26" s="1"/>
  <c r="T60" i="26" s="1"/>
  <c r="K60" i="26"/>
  <c r="H60" i="26"/>
  <c r="S59" i="26"/>
  <c r="O59" i="26"/>
  <c r="M59" i="26"/>
  <c r="R59" i="26" s="1"/>
  <c r="T59" i="26" s="1"/>
  <c r="K59" i="26"/>
  <c r="H59" i="26"/>
  <c r="S58" i="26"/>
  <c r="O58" i="26"/>
  <c r="M58" i="26"/>
  <c r="R58" i="26" s="1"/>
  <c r="T58" i="26" s="1"/>
  <c r="K58" i="26"/>
  <c r="H58" i="26"/>
  <c r="S57" i="26"/>
  <c r="O57" i="26"/>
  <c r="M57" i="26"/>
  <c r="R57" i="26" s="1"/>
  <c r="T57" i="26" s="1"/>
  <c r="K57" i="26"/>
  <c r="H57" i="26"/>
  <c r="S56" i="26"/>
  <c r="O56" i="26"/>
  <c r="M56" i="26"/>
  <c r="R56" i="26" s="1"/>
  <c r="K56" i="26"/>
  <c r="H56" i="26"/>
  <c r="S55" i="26"/>
  <c r="O55" i="26"/>
  <c r="M55" i="26"/>
  <c r="H55" i="26"/>
  <c r="K55" i="26" s="1"/>
  <c r="S54" i="26"/>
  <c r="R54" i="26"/>
  <c r="T54" i="26" s="1"/>
  <c r="O54" i="26"/>
  <c r="M54" i="26"/>
  <c r="Q54" i="26" s="1"/>
  <c r="K54" i="26"/>
  <c r="H54" i="26"/>
  <c r="S53" i="26"/>
  <c r="O53" i="26"/>
  <c r="M53" i="26"/>
  <c r="R53" i="26" s="1"/>
  <c r="T53" i="26" s="1"/>
  <c r="K53" i="26"/>
  <c r="H53" i="26"/>
  <c r="S52" i="26"/>
  <c r="O52" i="26"/>
  <c r="M52" i="26"/>
  <c r="H52" i="26"/>
  <c r="K52" i="26" s="1"/>
  <c r="S51" i="26"/>
  <c r="O51" i="26"/>
  <c r="M51" i="26"/>
  <c r="Q51" i="26" s="1"/>
  <c r="K51" i="26"/>
  <c r="H51" i="26"/>
  <c r="M47" i="26"/>
  <c r="I47" i="26"/>
  <c r="P46" i="26"/>
  <c r="L46" i="26"/>
  <c r="N46" i="26" s="1"/>
  <c r="H46" i="26"/>
  <c r="P45" i="26"/>
  <c r="P47" i="26" s="1"/>
  <c r="L45" i="26"/>
  <c r="O45" i="26" s="1"/>
  <c r="Q45" i="26" s="1"/>
  <c r="J45" i="26"/>
  <c r="H45" i="26"/>
  <c r="P44" i="26"/>
  <c r="L44" i="26"/>
  <c r="N44" i="26" s="1"/>
  <c r="H44" i="26"/>
  <c r="O44" i="26" s="1"/>
  <c r="Q44" i="26" s="1"/>
  <c r="P40" i="26"/>
  <c r="Q149" i="26" s="1"/>
  <c r="M40" i="26"/>
  <c r="I40" i="26"/>
  <c r="P39" i="26"/>
  <c r="L39" i="26"/>
  <c r="O39" i="26" s="1"/>
  <c r="J39" i="26"/>
  <c r="H39" i="26"/>
  <c r="P38" i="26"/>
  <c r="L38" i="26"/>
  <c r="H38" i="26"/>
  <c r="M34" i="26"/>
  <c r="I34" i="26"/>
  <c r="P33" i="26"/>
  <c r="L33" i="26"/>
  <c r="N33" i="26" s="1"/>
  <c r="H33" i="26"/>
  <c r="O33" i="26" s="1"/>
  <c r="P32" i="26"/>
  <c r="L32" i="26"/>
  <c r="N32" i="26" s="1"/>
  <c r="H32" i="26"/>
  <c r="J32" i="26" s="1"/>
  <c r="P31" i="26"/>
  <c r="L31" i="26"/>
  <c r="O31" i="26" s="1"/>
  <c r="J31" i="26"/>
  <c r="H31" i="26"/>
  <c r="P30" i="26"/>
  <c r="L30" i="26"/>
  <c r="N30" i="26" s="1"/>
  <c r="H30" i="26"/>
  <c r="P29" i="26"/>
  <c r="L29" i="26"/>
  <c r="O29" i="26" s="1"/>
  <c r="Q29" i="26" s="1"/>
  <c r="J29" i="26"/>
  <c r="H29" i="26"/>
  <c r="M25" i="26"/>
  <c r="I25" i="26"/>
  <c r="P24" i="26"/>
  <c r="O24" i="26"/>
  <c r="Q24" i="26" s="1"/>
  <c r="N24" i="26"/>
  <c r="L24" i="26"/>
  <c r="J24" i="26"/>
  <c r="H24" i="26"/>
  <c r="P23" i="26"/>
  <c r="L23" i="26"/>
  <c r="N23" i="26" s="1"/>
  <c r="H23" i="26"/>
  <c r="O23" i="26" s="1"/>
  <c r="R19" i="26"/>
  <c r="M19" i="26"/>
  <c r="I19" i="26"/>
  <c r="P18" i="26"/>
  <c r="L18" i="26"/>
  <c r="N18" i="26" s="1"/>
  <c r="H18" i="26"/>
  <c r="J18" i="26" s="1"/>
  <c r="P17" i="26"/>
  <c r="L17" i="26"/>
  <c r="N17" i="26" s="1"/>
  <c r="H17" i="26"/>
  <c r="J17" i="26" s="1"/>
  <c r="P16" i="26"/>
  <c r="L16" i="26"/>
  <c r="N16" i="26" s="1"/>
  <c r="H16" i="26"/>
  <c r="J16" i="26" s="1"/>
  <c r="P15" i="26"/>
  <c r="L15" i="26"/>
  <c r="H15" i="26"/>
  <c r="J15" i="26" s="1"/>
  <c r="P14" i="26"/>
  <c r="L14" i="26"/>
  <c r="N14" i="26" s="1"/>
  <c r="H14" i="26"/>
  <c r="P13" i="26"/>
  <c r="L13" i="26"/>
  <c r="N13" i="26" s="1"/>
  <c r="H13" i="26"/>
  <c r="J13" i="26" s="1"/>
  <c r="P12" i="26"/>
  <c r="L12" i="26"/>
  <c r="N12" i="26" s="1"/>
  <c r="H12" i="26"/>
  <c r="P11" i="26"/>
  <c r="L11" i="26"/>
  <c r="N11" i="26" s="1"/>
  <c r="H11" i="26"/>
  <c r="P10" i="26"/>
  <c r="L10" i="26"/>
  <c r="N10" i="26" s="1"/>
  <c r="H10" i="26"/>
  <c r="J10" i="26" s="1"/>
  <c r="P9" i="26"/>
  <c r="L9" i="26"/>
  <c r="N9" i="26" s="1"/>
  <c r="H9" i="26"/>
  <c r="O9" i="26" s="1"/>
  <c r="Q9" i="26" s="1"/>
  <c r="P8" i="26"/>
  <c r="L8" i="26"/>
  <c r="H8" i="26"/>
  <c r="J8" i="26" s="1"/>
  <c r="P7" i="26"/>
  <c r="L7" i="26"/>
  <c r="H7" i="26"/>
  <c r="P6" i="26"/>
  <c r="L6" i="26"/>
  <c r="N6" i="26" s="1"/>
  <c r="H6" i="26"/>
  <c r="J6" i="26" s="1"/>
  <c r="P5" i="26"/>
  <c r="L5" i="26"/>
  <c r="N5" i="26" s="1"/>
  <c r="H5" i="26"/>
  <c r="O145" i="25"/>
  <c r="M143" i="25"/>
  <c r="I143" i="25"/>
  <c r="P142" i="25"/>
  <c r="O142" i="25"/>
  <c r="Q142" i="25" s="1"/>
  <c r="N142" i="25"/>
  <c r="H142" i="25"/>
  <c r="J142" i="25" s="1"/>
  <c r="P141" i="25"/>
  <c r="L141" i="25"/>
  <c r="N141" i="25" s="1"/>
  <c r="H141" i="25"/>
  <c r="O141" i="25" s="1"/>
  <c r="Q141" i="25" s="1"/>
  <c r="P140" i="25"/>
  <c r="Q140" i="25" s="1"/>
  <c r="O140" i="25"/>
  <c r="L140" i="25"/>
  <c r="N140" i="25" s="1"/>
  <c r="H140" i="25"/>
  <c r="J140" i="25" s="1"/>
  <c r="P139" i="25"/>
  <c r="O139" i="25"/>
  <c r="Q139" i="25" s="1"/>
  <c r="L139" i="25"/>
  <c r="N139" i="25" s="1"/>
  <c r="H139" i="25"/>
  <c r="J139" i="25" s="1"/>
  <c r="P138" i="25"/>
  <c r="L138" i="25"/>
  <c r="N138" i="25" s="1"/>
  <c r="H138" i="25"/>
  <c r="O138" i="25" s="1"/>
  <c r="Q138" i="25" s="1"/>
  <c r="P137" i="25"/>
  <c r="L137" i="25"/>
  <c r="O137" i="25" s="1"/>
  <c r="Q137" i="25" s="1"/>
  <c r="J137" i="25"/>
  <c r="H137" i="25"/>
  <c r="P136" i="25"/>
  <c r="L136" i="25"/>
  <c r="N136" i="25" s="1"/>
  <c r="H136" i="25"/>
  <c r="P135" i="25"/>
  <c r="O135" i="25"/>
  <c r="Q135" i="25" s="1"/>
  <c r="N135" i="25"/>
  <c r="L135" i="25"/>
  <c r="J135" i="25"/>
  <c r="H135" i="25"/>
  <c r="P134" i="25"/>
  <c r="L134" i="25"/>
  <c r="N134" i="25" s="1"/>
  <c r="H134" i="25"/>
  <c r="O134" i="25" s="1"/>
  <c r="Q134" i="25" s="1"/>
  <c r="Q133" i="25"/>
  <c r="P133" i="25"/>
  <c r="O133" i="25"/>
  <c r="N133" i="25"/>
  <c r="L133" i="25"/>
  <c r="H133" i="25"/>
  <c r="J133" i="25" s="1"/>
  <c r="P132" i="25"/>
  <c r="O132" i="25"/>
  <c r="Q132" i="25" s="1"/>
  <c r="N132" i="25"/>
  <c r="L132" i="25"/>
  <c r="J132" i="25"/>
  <c r="H132" i="25"/>
  <c r="P131" i="25"/>
  <c r="L131" i="25"/>
  <c r="N131" i="25" s="1"/>
  <c r="H131" i="25"/>
  <c r="O131" i="25" s="1"/>
  <c r="Q131" i="25" s="1"/>
  <c r="P130" i="25"/>
  <c r="L130" i="25"/>
  <c r="N130" i="25" s="1"/>
  <c r="H130" i="25"/>
  <c r="J130" i="25" s="1"/>
  <c r="P129" i="25"/>
  <c r="L129" i="25"/>
  <c r="N129" i="25" s="1"/>
  <c r="H129" i="25"/>
  <c r="O129" i="25" s="1"/>
  <c r="Q129" i="25" s="1"/>
  <c r="P128" i="25"/>
  <c r="Q128" i="25" s="1"/>
  <c r="O128" i="25"/>
  <c r="L128" i="25"/>
  <c r="N128" i="25" s="1"/>
  <c r="H128" i="25"/>
  <c r="J128" i="25" s="1"/>
  <c r="P127" i="25"/>
  <c r="N127" i="25"/>
  <c r="L127" i="25"/>
  <c r="H127" i="25"/>
  <c r="P126" i="25"/>
  <c r="L126" i="25"/>
  <c r="N126" i="25" s="1"/>
  <c r="H126" i="25"/>
  <c r="O126" i="25" s="1"/>
  <c r="Q126" i="25" s="1"/>
  <c r="P125" i="25"/>
  <c r="Q151" i="25" s="1"/>
  <c r="O125" i="25"/>
  <c r="Q125" i="25" s="1"/>
  <c r="L125" i="25"/>
  <c r="N125" i="25" s="1"/>
  <c r="J125" i="25"/>
  <c r="H125" i="25"/>
  <c r="P124" i="25"/>
  <c r="L124" i="25"/>
  <c r="N124" i="25" s="1"/>
  <c r="H124" i="25"/>
  <c r="P123" i="25"/>
  <c r="O123" i="25"/>
  <c r="Q123" i="25" s="1"/>
  <c r="N123" i="25"/>
  <c r="L123" i="25"/>
  <c r="J123" i="25"/>
  <c r="H123" i="25"/>
  <c r="P122" i="25"/>
  <c r="L122" i="25"/>
  <c r="J122" i="25"/>
  <c r="H122" i="25"/>
  <c r="P121" i="25"/>
  <c r="L121" i="25"/>
  <c r="N121" i="25" s="1"/>
  <c r="H121" i="25"/>
  <c r="J121" i="25" s="1"/>
  <c r="U117" i="25"/>
  <c r="S117" i="25"/>
  <c r="Q146" i="25" s="1"/>
  <c r="P117" i="25"/>
  <c r="J117" i="25"/>
  <c r="S116" i="25"/>
  <c r="O116" i="25"/>
  <c r="M116" i="25"/>
  <c r="H116" i="25"/>
  <c r="K116" i="25" s="1"/>
  <c r="S115" i="25"/>
  <c r="O115" i="25"/>
  <c r="M115" i="25"/>
  <c r="Q115" i="25" s="1"/>
  <c r="H115" i="25"/>
  <c r="T114" i="25"/>
  <c r="S114" i="25"/>
  <c r="R114" i="25"/>
  <c r="Q114" i="25"/>
  <c r="O114" i="25"/>
  <c r="M114" i="25"/>
  <c r="K114" i="25"/>
  <c r="H114" i="25"/>
  <c r="S113" i="25"/>
  <c r="O113" i="25"/>
  <c r="M113" i="25"/>
  <c r="R113" i="25" s="1"/>
  <c r="T113" i="25" s="1"/>
  <c r="K113" i="25"/>
  <c r="H113" i="25"/>
  <c r="S112" i="25"/>
  <c r="O112" i="25"/>
  <c r="M112" i="25"/>
  <c r="Q112" i="25" s="1"/>
  <c r="H112" i="25"/>
  <c r="S111" i="25"/>
  <c r="T111" i="25" s="1"/>
  <c r="R111" i="25"/>
  <c r="Q111" i="25"/>
  <c r="O111" i="25"/>
  <c r="M111" i="25"/>
  <c r="K111" i="25"/>
  <c r="H111" i="25"/>
  <c r="S110" i="25"/>
  <c r="O110" i="25"/>
  <c r="M110" i="25"/>
  <c r="H110" i="25"/>
  <c r="K110" i="25" s="1"/>
  <c r="S109" i="25"/>
  <c r="O109" i="25"/>
  <c r="M109" i="25"/>
  <c r="Q109" i="25" s="1"/>
  <c r="H109" i="25"/>
  <c r="T108" i="25"/>
  <c r="S108" i="25"/>
  <c r="R108" i="25"/>
  <c r="Q108" i="25"/>
  <c r="O108" i="25"/>
  <c r="M108" i="25"/>
  <c r="K108" i="25"/>
  <c r="H108" i="25"/>
  <c r="S107" i="25"/>
  <c r="O107" i="25"/>
  <c r="M107" i="25"/>
  <c r="R107" i="25" s="1"/>
  <c r="T107" i="25" s="1"/>
  <c r="K107" i="25"/>
  <c r="H107" i="25"/>
  <c r="S106" i="25"/>
  <c r="O106" i="25"/>
  <c r="M106" i="25"/>
  <c r="Q106" i="25" s="1"/>
  <c r="H106" i="25"/>
  <c r="S105" i="25"/>
  <c r="T105" i="25" s="1"/>
  <c r="R105" i="25"/>
  <c r="Q105" i="25"/>
  <c r="O105" i="25"/>
  <c r="M105" i="25"/>
  <c r="K105" i="25"/>
  <c r="H105" i="25"/>
  <c r="S104" i="25"/>
  <c r="O104" i="25"/>
  <c r="M104" i="25"/>
  <c r="H104" i="25"/>
  <c r="K104" i="25" s="1"/>
  <c r="S103" i="25"/>
  <c r="O103" i="25"/>
  <c r="M103" i="25"/>
  <c r="Q103" i="25" s="1"/>
  <c r="H103" i="25"/>
  <c r="T102" i="25"/>
  <c r="S102" i="25"/>
  <c r="R102" i="25"/>
  <c r="Q102" i="25"/>
  <c r="O102" i="25"/>
  <c r="M102" i="25"/>
  <c r="K102" i="25"/>
  <c r="H102" i="25"/>
  <c r="S101" i="25"/>
  <c r="O101" i="25"/>
  <c r="M101" i="25"/>
  <c r="R101" i="25" s="1"/>
  <c r="T101" i="25" s="1"/>
  <c r="K101" i="25"/>
  <c r="H101" i="25"/>
  <c r="S100" i="25"/>
  <c r="O100" i="25"/>
  <c r="M100" i="25"/>
  <c r="Q100" i="25" s="1"/>
  <c r="H100" i="25"/>
  <c r="S99" i="25"/>
  <c r="T99" i="25" s="1"/>
  <c r="R99" i="25"/>
  <c r="Q99" i="25"/>
  <c r="O99" i="25"/>
  <c r="M99" i="25"/>
  <c r="K99" i="25"/>
  <c r="H99" i="25"/>
  <c r="S98" i="25"/>
  <c r="O98" i="25"/>
  <c r="M98" i="25"/>
  <c r="H98" i="25"/>
  <c r="K98" i="25" s="1"/>
  <c r="S97" i="25"/>
  <c r="O97" i="25"/>
  <c r="M97" i="25"/>
  <c r="Q97" i="25" s="1"/>
  <c r="H97" i="25"/>
  <c r="T96" i="25"/>
  <c r="S96" i="25"/>
  <c r="R96" i="25"/>
  <c r="Q96" i="25"/>
  <c r="O96" i="25"/>
  <c r="M96" i="25"/>
  <c r="K96" i="25"/>
  <c r="H96" i="25"/>
  <c r="S95" i="25"/>
  <c r="O95" i="25"/>
  <c r="M95" i="25"/>
  <c r="R95" i="25" s="1"/>
  <c r="T95" i="25" s="1"/>
  <c r="K95" i="25"/>
  <c r="H95" i="25"/>
  <c r="S94" i="25"/>
  <c r="O94" i="25"/>
  <c r="M94" i="25"/>
  <c r="Q94" i="25" s="1"/>
  <c r="H94" i="25"/>
  <c r="S93" i="25"/>
  <c r="T93" i="25" s="1"/>
  <c r="R93" i="25"/>
  <c r="Q93" i="25"/>
  <c r="O93" i="25"/>
  <c r="M93" i="25"/>
  <c r="K93" i="25"/>
  <c r="H93" i="25"/>
  <c r="S92" i="25"/>
  <c r="O92" i="25"/>
  <c r="M92" i="25"/>
  <c r="H92" i="25"/>
  <c r="K92" i="25" s="1"/>
  <c r="S91" i="25"/>
  <c r="O91" i="25"/>
  <c r="M91" i="25"/>
  <c r="Q91" i="25" s="1"/>
  <c r="H91" i="25"/>
  <c r="T90" i="25"/>
  <c r="S90" i="25"/>
  <c r="R90" i="25"/>
  <c r="Q90" i="25"/>
  <c r="O90" i="25"/>
  <c r="M90" i="25"/>
  <c r="K90" i="25"/>
  <c r="H90" i="25"/>
  <c r="S89" i="25"/>
  <c r="O89" i="25"/>
  <c r="M89" i="25"/>
  <c r="R89" i="25" s="1"/>
  <c r="T89" i="25" s="1"/>
  <c r="K89" i="25"/>
  <c r="H89" i="25"/>
  <c r="S88" i="25"/>
  <c r="O88" i="25"/>
  <c r="M88" i="25"/>
  <c r="Q88" i="25" s="1"/>
  <c r="H88" i="25"/>
  <c r="S87" i="25"/>
  <c r="T87" i="25" s="1"/>
  <c r="R87" i="25"/>
  <c r="Q87" i="25"/>
  <c r="O87" i="25"/>
  <c r="M87" i="25"/>
  <c r="K87" i="25"/>
  <c r="H87" i="25"/>
  <c r="S86" i="25"/>
  <c r="O86" i="25"/>
  <c r="M86" i="25"/>
  <c r="H86" i="25"/>
  <c r="K86" i="25" s="1"/>
  <c r="S85" i="25"/>
  <c r="O85" i="25"/>
  <c r="M85" i="25"/>
  <c r="Q85" i="25" s="1"/>
  <c r="H85" i="25"/>
  <c r="T84" i="25"/>
  <c r="S84" i="25"/>
  <c r="R84" i="25"/>
  <c r="Q84" i="25"/>
  <c r="O84" i="25"/>
  <c r="M84" i="25"/>
  <c r="K84" i="25"/>
  <c r="H84" i="25"/>
  <c r="S83" i="25"/>
  <c r="O83" i="25"/>
  <c r="M83" i="25"/>
  <c r="R83" i="25" s="1"/>
  <c r="T83" i="25" s="1"/>
  <c r="K83" i="25"/>
  <c r="H83" i="25"/>
  <c r="S82" i="25"/>
  <c r="O82" i="25"/>
  <c r="M82" i="25"/>
  <c r="Q82" i="25" s="1"/>
  <c r="H82" i="25"/>
  <c r="S81" i="25"/>
  <c r="T81" i="25" s="1"/>
  <c r="R81" i="25"/>
  <c r="Q81" i="25"/>
  <c r="O81" i="25"/>
  <c r="M81" i="25"/>
  <c r="K81" i="25"/>
  <c r="H81" i="25"/>
  <c r="S80" i="25"/>
  <c r="O80" i="25"/>
  <c r="M80" i="25"/>
  <c r="H80" i="25"/>
  <c r="K80" i="25" s="1"/>
  <c r="S79" i="25"/>
  <c r="O79" i="25"/>
  <c r="M79" i="25"/>
  <c r="Q79" i="25" s="1"/>
  <c r="H79" i="25"/>
  <c r="T78" i="25"/>
  <c r="S78" i="25"/>
  <c r="R78" i="25"/>
  <c r="Q78" i="25"/>
  <c r="O78" i="25"/>
  <c r="M78" i="25"/>
  <c r="K78" i="25"/>
  <c r="H78" i="25"/>
  <c r="S77" i="25"/>
  <c r="O77" i="25"/>
  <c r="M77" i="25"/>
  <c r="R77" i="25" s="1"/>
  <c r="T77" i="25" s="1"/>
  <c r="K77" i="25"/>
  <c r="H77" i="25"/>
  <c r="S76" i="25"/>
  <c r="O76" i="25"/>
  <c r="M76" i="25"/>
  <c r="Q76" i="25" s="1"/>
  <c r="H76" i="25"/>
  <c r="S75" i="25"/>
  <c r="T75" i="25" s="1"/>
  <c r="R75" i="25"/>
  <c r="Q75" i="25"/>
  <c r="O75" i="25"/>
  <c r="M75" i="25"/>
  <c r="K75" i="25"/>
  <c r="H75" i="25"/>
  <c r="S74" i="25"/>
  <c r="O74" i="25"/>
  <c r="M74" i="25"/>
  <c r="Q74" i="25" s="1"/>
  <c r="H74" i="25"/>
  <c r="K74" i="25" s="1"/>
  <c r="S73" i="25"/>
  <c r="O73" i="25"/>
  <c r="M73" i="25"/>
  <c r="Q73" i="25" s="1"/>
  <c r="H73" i="25"/>
  <c r="T72" i="25"/>
  <c r="S72" i="25"/>
  <c r="R72" i="25"/>
  <c r="Q72" i="25"/>
  <c r="O72" i="25"/>
  <c r="M72" i="25"/>
  <c r="K72" i="25"/>
  <c r="H72" i="25"/>
  <c r="S71" i="25"/>
  <c r="O71" i="25"/>
  <c r="M71" i="25"/>
  <c r="R71" i="25" s="1"/>
  <c r="T71" i="25" s="1"/>
  <c r="K71" i="25"/>
  <c r="H71" i="25"/>
  <c r="S70" i="25"/>
  <c r="O70" i="25"/>
  <c r="M70" i="25"/>
  <c r="Q70" i="25" s="1"/>
  <c r="H70" i="25"/>
  <c r="S69" i="25"/>
  <c r="T69" i="25" s="1"/>
  <c r="R69" i="25"/>
  <c r="Q69" i="25"/>
  <c r="O69" i="25"/>
  <c r="M69" i="25"/>
  <c r="K69" i="25"/>
  <c r="H69" i="25"/>
  <c r="S68" i="25"/>
  <c r="O68" i="25"/>
  <c r="M68" i="25"/>
  <c r="H68" i="25"/>
  <c r="K68" i="25" s="1"/>
  <c r="S67" i="25"/>
  <c r="O67" i="25"/>
  <c r="M67" i="25"/>
  <c r="Q67" i="25" s="1"/>
  <c r="H67" i="25"/>
  <c r="T66" i="25"/>
  <c r="S66" i="25"/>
  <c r="R66" i="25"/>
  <c r="Q66" i="25"/>
  <c r="O66" i="25"/>
  <c r="M66" i="25"/>
  <c r="K66" i="25"/>
  <c r="H66" i="25"/>
  <c r="S65" i="25"/>
  <c r="O65" i="25"/>
  <c r="M65" i="25"/>
  <c r="R65" i="25" s="1"/>
  <c r="T65" i="25" s="1"/>
  <c r="K65" i="25"/>
  <c r="H65" i="25"/>
  <c r="S64" i="25"/>
  <c r="O64" i="25"/>
  <c r="M64" i="25"/>
  <c r="Q64" i="25" s="1"/>
  <c r="H64" i="25"/>
  <c r="S63" i="25"/>
  <c r="T63" i="25" s="1"/>
  <c r="R63" i="25"/>
  <c r="Q63" i="25"/>
  <c r="O63" i="25"/>
  <c r="M63" i="25"/>
  <c r="K63" i="25"/>
  <c r="H63" i="25"/>
  <c r="S62" i="25"/>
  <c r="O62" i="25"/>
  <c r="M62" i="25"/>
  <c r="Q62" i="25" s="1"/>
  <c r="H62" i="25"/>
  <c r="K62" i="25" s="1"/>
  <c r="S61" i="25"/>
  <c r="O61" i="25"/>
  <c r="M61" i="25"/>
  <c r="Q61" i="25" s="1"/>
  <c r="H61" i="25"/>
  <c r="T60" i="25"/>
  <c r="S60" i="25"/>
  <c r="R60" i="25"/>
  <c r="Q60" i="25"/>
  <c r="O60" i="25"/>
  <c r="M60" i="25"/>
  <c r="K60" i="25"/>
  <c r="H60" i="25"/>
  <c r="S59" i="25"/>
  <c r="O59" i="25"/>
  <c r="M59" i="25"/>
  <c r="R59" i="25" s="1"/>
  <c r="T59" i="25" s="1"/>
  <c r="K59" i="25"/>
  <c r="H59" i="25"/>
  <c r="S58" i="25"/>
  <c r="O58" i="25"/>
  <c r="M58" i="25"/>
  <c r="Q58" i="25" s="1"/>
  <c r="H58" i="25"/>
  <c r="S57" i="25"/>
  <c r="T57" i="25" s="1"/>
  <c r="R57" i="25"/>
  <c r="Q57" i="25"/>
  <c r="O57" i="25"/>
  <c r="M57" i="25"/>
  <c r="K57" i="25"/>
  <c r="H57" i="25"/>
  <c r="S56" i="25"/>
  <c r="O56" i="25"/>
  <c r="M56" i="25"/>
  <c r="H56" i="25"/>
  <c r="K56" i="25" s="1"/>
  <c r="S55" i="25"/>
  <c r="O55" i="25"/>
  <c r="M55" i="25"/>
  <c r="Q55" i="25" s="1"/>
  <c r="H55" i="25"/>
  <c r="T54" i="25"/>
  <c r="S54" i="25"/>
  <c r="R54" i="25"/>
  <c r="Q54" i="25"/>
  <c r="O54" i="25"/>
  <c r="M54" i="25"/>
  <c r="K54" i="25"/>
  <c r="H54" i="25"/>
  <c r="S53" i="25"/>
  <c r="O53" i="25"/>
  <c r="M53" i="25"/>
  <c r="R53" i="25" s="1"/>
  <c r="T53" i="25" s="1"/>
  <c r="K53" i="25"/>
  <c r="H53" i="25"/>
  <c r="S52" i="25"/>
  <c r="O52" i="25"/>
  <c r="M52" i="25"/>
  <c r="Q52" i="25" s="1"/>
  <c r="H52" i="25"/>
  <c r="S51" i="25"/>
  <c r="T51" i="25" s="1"/>
  <c r="R51" i="25"/>
  <c r="Q51" i="25"/>
  <c r="O51" i="25"/>
  <c r="O117" i="25" s="1"/>
  <c r="M51" i="25"/>
  <c r="K51" i="25"/>
  <c r="H51" i="25"/>
  <c r="M47" i="25"/>
  <c r="L47" i="25"/>
  <c r="I47" i="25"/>
  <c r="H47" i="25"/>
  <c r="P46" i="25"/>
  <c r="L46" i="25"/>
  <c r="N46" i="25" s="1"/>
  <c r="H46" i="25"/>
  <c r="O46" i="25" s="1"/>
  <c r="Q46" i="25" s="1"/>
  <c r="P45" i="25"/>
  <c r="P47" i="25" s="1"/>
  <c r="O45" i="25"/>
  <c r="L45" i="25"/>
  <c r="N45" i="25" s="1"/>
  <c r="J45" i="25"/>
  <c r="H45" i="25"/>
  <c r="P44" i="25"/>
  <c r="L44" i="25"/>
  <c r="N44" i="25" s="1"/>
  <c r="N47" i="25" s="1"/>
  <c r="J44" i="25"/>
  <c r="H44" i="25"/>
  <c r="O44" i="25" s="1"/>
  <c r="P40" i="25"/>
  <c r="Q149" i="25" s="1"/>
  <c r="M40" i="25"/>
  <c r="I40" i="25"/>
  <c r="P39" i="25"/>
  <c r="L39" i="25"/>
  <c r="L40" i="25" s="1"/>
  <c r="H39" i="25"/>
  <c r="O39" i="25" s="1"/>
  <c r="P38" i="25"/>
  <c r="N38" i="25"/>
  <c r="L38" i="25"/>
  <c r="H38" i="25"/>
  <c r="O38" i="25" s="1"/>
  <c r="Q38" i="25" s="1"/>
  <c r="M34" i="25"/>
  <c r="I34" i="25"/>
  <c r="P33" i="25"/>
  <c r="L33" i="25"/>
  <c r="N33" i="25" s="1"/>
  <c r="H33" i="25"/>
  <c r="P32" i="25"/>
  <c r="Q32" i="25" s="1"/>
  <c r="L32" i="25"/>
  <c r="O32" i="25" s="1"/>
  <c r="J32" i="25"/>
  <c r="H32" i="25"/>
  <c r="P31" i="25"/>
  <c r="L31" i="25"/>
  <c r="N31" i="25" s="1"/>
  <c r="J31" i="25"/>
  <c r="H31" i="25"/>
  <c r="O31" i="25" s="1"/>
  <c r="P30" i="25"/>
  <c r="N30" i="25"/>
  <c r="L30" i="25"/>
  <c r="H30" i="25"/>
  <c r="P29" i="25"/>
  <c r="P34" i="25" s="1"/>
  <c r="L29" i="25"/>
  <c r="J29" i="25"/>
  <c r="H29" i="25"/>
  <c r="M25" i="25"/>
  <c r="I25" i="25"/>
  <c r="Q24" i="25"/>
  <c r="P24" i="25"/>
  <c r="P25" i="25" s="1"/>
  <c r="Q153" i="25" s="1"/>
  <c r="O24" i="25"/>
  <c r="N24" i="25"/>
  <c r="L24" i="25"/>
  <c r="J24" i="25"/>
  <c r="H24" i="25"/>
  <c r="P23" i="25"/>
  <c r="N23" i="25"/>
  <c r="N25" i="25" s="1"/>
  <c r="L23" i="25"/>
  <c r="L25" i="25" s="1"/>
  <c r="H23" i="25"/>
  <c r="O23" i="25" s="1"/>
  <c r="O25" i="25" s="1"/>
  <c r="R19" i="25"/>
  <c r="M19" i="25"/>
  <c r="I19" i="25"/>
  <c r="P18" i="25"/>
  <c r="Q18" i="25" s="1"/>
  <c r="O18" i="25"/>
  <c r="N18" i="25"/>
  <c r="L18" i="25"/>
  <c r="H18" i="25"/>
  <c r="J18" i="25" s="1"/>
  <c r="P17" i="25"/>
  <c r="L17" i="25"/>
  <c r="N17" i="25" s="1"/>
  <c r="H17" i="25"/>
  <c r="J17" i="25" s="1"/>
  <c r="P16" i="25"/>
  <c r="Q16" i="25" s="1"/>
  <c r="L16" i="25"/>
  <c r="O16" i="25" s="1"/>
  <c r="J16" i="25"/>
  <c r="H16" i="25"/>
  <c r="P15" i="25"/>
  <c r="L15" i="25"/>
  <c r="N15" i="25" s="1"/>
  <c r="H15" i="25"/>
  <c r="O15" i="25" s="1"/>
  <c r="P14" i="25"/>
  <c r="N14" i="25"/>
  <c r="L14" i="25"/>
  <c r="H14" i="25"/>
  <c r="O14" i="25" s="1"/>
  <c r="Q14" i="25" s="1"/>
  <c r="P13" i="25"/>
  <c r="Q13" i="25" s="1"/>
  <c r="O13" i="25"/>
  <c r="N13" i="25"/>
  <c r="L13" i="25"/>
  <c r="J13" i="25"/>
  <c r="H13" i="25"/>
  <c r="P12" i="25"/>
  <c r="L12" i="25"/>
  <c r="N12" i="25" s="1"/>
  <c r="H12" i="25"/>
  <c r="O12" i="25" s="1"/>
  <c r="Q12" i="25" s="1"/>
  <c r="P11" i="25"/>
  <c r="Q11" i="25" s="1"/>
  <c r="O11" i="25"/>
  <c r="N11" i="25"/>
  <c r="L11" i="25"/>
  <c r="J11" i="25"/>
  <c r="H11" i="25"/>
  <c r="P10" i="25"/>
  <c r="N10" i="25"/>
  <c r="L10" i="25"/>
  <c r="H10" i="25"/>
  <c r="Q9" i="25"/>
  <c r="P9" i="25"/>
  <c r="O9" i="25"/>
  <c r="N9" i="25"/>
  <c r="L9" i="25"/>
  <c r="H9" i="25"/>
  <c r="J9" i="25" s="1"/>
  <c r="P8" i="25"/>
  <c r="O8" i="25"/>
  <c r="N8" i="25"/>
  <c r="L8" i="25"/>
  <c r="J8" i="25"/>
  <c r="H8" i="25"/>
  <c r="P7" i="25"/>
  <c r="L7" i="25"/>
  <c r="H7" i="25"/>
  <c r="P6" i="25"/>
  <c r="P19" i="25" s="1"/>
  <c r="O6" i="25"/>
  <c r="N6" i="25"/>
  <c r="L6" i="25"/>
  <c r="H6" i="25"/>
  <c r="J6" i="25" s="1"/>
  <c r="P5" i="25"/>
  <c r="L5" i="25"/>
  <c r="N5" i="25" s="1"/>
  <c r="H5" i="25"/>
  <c r="O5" i="25" s="1"/>
  <c r="Q5" i="25" s="1"/>
  <c r="O145" i="24"/>
  <c r="M143" i="24"/>
  <c r="I143" i="24"/>
  <c r="P142" i="24"/>
  <c r="N142" i="24"/>
  <c r="H142" i="24"/>
  <c r="O142" i="24" s="1"/>
  <c r="Q142" i="24" s="1"/>
  <c r="P141" i="24"/>
  <c r="L141" i="24"/>
  <c r="N141" i="24" s="1"/>
  <c r="H141" i="24"/>
  <c r="O141" i="24" s="1"/>
  <c r="Q141" i="24" s="1"/>
  <c r="P140" i="24"/>
  <c r="L140" i="24"/>
  <c r="N140" i="24" s="1"/>
  <c r="H140" i="24"/>
  <c r="P139" i="24"/>
  <c r="L139" i="24"/>
  <c r="H139" i="24"/>
  <c r="J139" i="24" s="1"/>
  <c r="P138" i="24"/>
  <c r="L138" i="24"/>
  <c r="N138" i="24" s="1"/>
  <c r="H138" i="24"/>
  <c r="P137" i="24"/>
  <c r="L137" i="24"/>
  <c r="N137" i="24" s="1"/>
  <c r="H137" i="24"/>
  <c r="J137" i="24" s="1"/>
  <c r="P136" i="24"/>
  <c r="L136" i="24"/>
  <c r="N136" i="24" s="1"/>
  <c r="H136" i="24"/>
  <c r="J136" i="24" s="1"/>
  <c r="P135" i="24"/>
  <c r="L135" i="24"/>
  <c r="H135" i="24"/>
  <c r="J135" i="24" s="1"/>
  <c r="P134" i="24"/>
  <c r="L134" i="24"/>
  <c r="N134" i="24" s="1"/>
  <c r="H134" i="24"/>
  <c r="J134" i="24" s="1"/>
  <c r="P133" i="24"/>
  <c r="L133" i="24"/>
  <c r="N133" i="24" s="1"/>
  <c r="H133" i="24"/>
  <c r="O133" i="24" s="1"/>
  <c r="Q133" i="24" s="1"/>
  <c r="P132" i="24"/>
  <c r="L132" i="24"/>
  <c r="N132" i="24" s="1"/>
  <c r="H132" i="24"/>
  <c r="J132" i="24" s="1"/>
  <c r="P131" i="24"/>
  <c r="L131" i="24"/>
  <c r="N131" i="24" s="1"/>
  <c r="H131" i="24"/>
  <c r="O131" i="24" s="1"/>
  <c r="Q131" i="24" s="1"/>
  <c r="P130" i="24"/>
  <c r="L130" i="24"/>
  <c r="N130" i="24" s="1"/>
  <c r="H130" i="24"/>
  <c r="J130" i="24" s="1"/>
  <c r="P129" i="24"/>
  <c r="L129" i="24"/>
  <c r="N129" i="24" s="1"/>
  <c r="H129" i="24"/>
  <c r="O129" i="24" s="1"/>
  <c r="Q129" i="24" s="1"/>
  <c r="P128" i="24"/>
  <c r="L128" i="24"/>
  <c r="N128" i="24" s="1"/>
  <c r="H128" i="24"/>
  <c r="P127" i="24"/>
  <c r="L127" i="24"/>
  <c r="H127" i="24"/>
  <c r="J127" i="24" s="1"/>
  <c r="P126" i="24"/>
  <c r="L126" i="24"/>
  <c r="N126" i="24" s="1"/>
  <c r="H126" i="24"/>
  <c r="O126" i="24" s="1"/>
  <c r="Q126" i="24" s="1"/>
  <c r="P125" i="24"/>
  <c r="Q151" i="24" s="1"/>
  <c r="L125" i="24"/>
  <c r="N125" i="24" s="1"/>
  <c r="H125" i="24"/>
  <c r="J125" i="24" s="1"/>
  <c r="P124" i="24"/>
  <c r="L124" i="24"/>
  <c r="N124" i="24" s="1"/>
  <c r="H124" i="24"/>
  <c r="J124" i="24" s="1"/>
  <c r="P123" i="24"/>
  <c r="L123" i="24"/>
  <c r="H123" i="24"/>
  <c r="J123" i="24" s="1"/>
  <c r="P122" i="24"/>
  <c r="L122" i="24"/>
  <c r="N122" i="24" s="1"/>
  <c r="H122" i="24"/>
  <c r="J122" i="24" s="1"/>
  <c r="P121" i="24"/>
  <c r="P143" i="24" s="1"/>
  <c r="L121" i="24"/>
  <c r="H121" i="24"/>
  <c r="O121" i="24" s="1"/>
  <c r="Q121" i="24" s="1"/>
  <c r="U117" i="24"/>
  <c r="P117" i="24"/>
  <c r="J117" i="24"/>
  <c r="S116" i="24"/>
  <c r="O116" i="24"/>
  <c r="M116" i="24"/>
  <c r="H116" i="24"/>
  <c r="K116" i="24" s="1"/>
  <c r="S115" i="24"/>
  <c r="O115" i="24"/>
  <c r="M115" i="24"/>
  <c r="Q115" i="24" s="1"/>
  <c r="H115" i="24"/>
  <c r="K115" i="24" s="1"/>
  <c r="S114" i="24"/>
  <c r="O114" i="24"/>
  <c r="M114" i="24"/>
  <c r="Q114" i="24" s="1"/>
  <c r="H114" i="24"/>
  <c r="K114" i="24" s="1"/>
  <c r="S113" i="24"/>
  <c r="O113" i="24"/>
  <c r="M113" i="24"/>
  <c r="H113" i="24"/>
  <c r="K113" i="24" s="1"/>
  <c r="S112" i="24"/>
  <c r="O112" i="24"/>
  <c r="M112" i="24"/>
  <c r="H112" i="24"/>
  <c r="K112" i="24" s="1"/>
  <c r="S111" i="24"/>
  <c r="O111" i="24"/>
  <c r="M111" i="24"/>
  <c r="Q111" i="24" s="1"/>
  <c r="H111" i="24"/>
  <c r="K111" i="24" s="1"/>
  <c r="S110" i="24"/>
  <c r="O110" i="24"/>
  <c r="M110" i="24"/>
  <c r="H110" i="24"/>
  <c r="K110" i="24" s="1"/>
  <c r="S109" i="24"/>
  <c r="O109" i="24"/>
  <c r="M109" i="24"/>
  <c r="Q109" i="24" s="1"/>
  <c r="H109" i="24"/>
  <c r="K109" i="24" s="1"/>
  <c r="S108" i="24"/>
  <c r="O108" i="24"/>
  <c r="M108" i="24"/>
  <c r="Q108" i="24" s="1"/>
  <c r="H108" i="24"/>
  <c r="K108" i="24" s="1"/>
  <c r="S107" i="24"/>
  <c r="O107" i="24"/>
  <c r="M107" i="24"/>
  <c r="H107" i="24"/>
  <c r="K107" i="24" s="1"/>
  <c r="S106" i="24"/>
  <c r="O106" i="24"/>
  <c r="M106" i="24"/>
  <c r="Q106" i="24" s="1"/>
  <c r="H106" i="24"/>
  <c r="K106" i="24" s="1"/>
  <c r="S105" i="24"/>
  <c r="O105" i="24"/>
  <c r="M105" i="24"/>
  <c r="Q105" i="24" s="1"/>
  <c r="H105" i="24"/>
  <c r="K105" i="24" s="1"/>
  <c r="S104" i="24"/>
  <c r="O104" i="24"/>
  <c r="M104" i="24"/>
  <c r="H104" i="24"/>
  <c r="K104" i="24" s="1"/>
  <c r="S103" i="24"/>
  <c r="O103" i="24"/>
  <c r="M103" i="24"/>
  <c r="H103" i="24"/>
  <c r="K103" i="24" s="1"/>
  <c r="S102" i="24"/>
  <c r="O102" i="24"/>
  <c r="M102" i="24"/>
  <c r="Q102" i="24" s="1"/>
  <c r="H102" i="24"/>
  <c r="K102" i="24" s="1"/>
  <c r="S101" i="24"/>
  <c r="O101" i="24"/>
  <c r="M101" i="24"/>
  <c r="H101" i="24"/>
  <c r="K101" i="24" s="1"/>
  <c r="S100" i="24"/>
  <c r="O100" i="24"/>
  <c r="M100" i="24"/>
  <c r="Q100" i="24" s="1"/>
  <c r="H100" i="24"/>
  <c r="K100" i="24" s="1"/>
  <c r="S99" i="24"/>
  <c r="O99" i="24"/>
  <c r="M99" i="24"/>
  <c r="Q99" i="24" s="1"/>
  <c r="H99" i="24"/>
  <c r="K99" i="24" s="1"/>
  <c r="S98" i="24"/>
  <c r="O98" i="24"/>
  <c r="M98" i="24"/>
  <c r="H98" i="24"/>
  <c r="K98" i="24" s="1"/>
  <c r="S97" i="24"/>
  <c r="O97" i="24"/>
  <c r="M97" i="24"/>
  <c r="Q97" i="24" s="1"/>
  <c r="H97" i="24"/>
  <c r="K97" i="24" s="1"/>
  <c r="S96" i="24"/>
  <c r="O96" i="24"/>
  <c r="M96" i="24"/>
  <c r="Q96" i="24" s="1"/>
  <c r="H96" i="24"/>
  <c r="K96" i="24" s="1"/>
  <c r="S95" i="24"/>
  <c r="O95" i="24"/>
  <c r="M95" i="24"/>
  <c r="H95" i="24"/>
  <c r="K95" i="24" s="1"/>
  <c r="S94" i="24"/>
  <c r="O94" i="24"/>
  <c r="M94" i="24"/>
  <c r="H94" i="24"/>
  <c r="K94" i="24" s="1"/>
  <c r="S93" i="24"/>
  <c r="O93" i="24"/>
  <c r="M93" i="24"/>
  <c r="Q93" i="24" s="1"/>
  <c r="H93" i="24"/>
  <c r="K93" i="24" s="1"/>
  <c r="S92" i="24"/>
  <c r="O92" i="24"/>
  <c r="M92" i="24"/>
  <c r="H92" i="24"/>
  <c r="K92" i="24" s="1"/>
  <c r="S91" i="24"/>
  <c r="O91" i="24"/>
  <c r="M91" i="24"/>
  <c r="Q91" i="24" s="1"/>
  <c r="H91" i="24"/>
  <c r="K91" i="24" s="1"/>
  <c r="S90" i="24"/>
  <c r="O90" i="24"/>
  <c r="M90" i="24"/>
  <c r="Q90" i="24" s="1"/>
  <c r="H90" i="24"/>
  <c r="K90" i="24" s="1"/>
  <c r="S89" i="24"/>
  <c r="O89" i="24"/>
  <c r="M89" i="24"/>
  <c r="H89" i="24"/>
  <c r="K89" i="24" s="1"/>
  <c r="S88" i="24"/>
  <c r="O88" i="24"/>
  <c r="M88" i="24"/>
  <c r="Q88" i="24" s="1"/>
  <c r="H88" i="24"/>
  <c r="K88" i="24" s="1"/>
  <c r="S87" i="24"/>
  <c r="O87" i="24"/>
  <c r="M87" i="24"/>
  <c r="Q87" i="24" s="1"/>
  <c r="H87" i="24"/>
  <c r="K87" i="24" s="1"/>
  <c r="S86" i="24"/>
  <c r="O86" i="24"/>
  <c r="M86" i="24"/>
  <c r="H86" i="24"/>
  <c r="K86" i="24" s="1"/>
  <c r="S85" i="24"/>
  <c r="O85" i="24"/>
  <c r="M85" i="24"/>
  <c r="H85" i="24"/>
  <c r="K85" i="24" s="1"/>
  <c r="S84" i="24"/>
  <c r="O84" i="24"/>
  <c r="M84" i="24"/>
  <c r="Q84" i="24" s="1"/>
  <c r="H84" i="24"/>
  <c r="K84" i="24" s="1"/>
  <c r="S83" i="24"/>
  <c r="O83" i="24"/>
  <c r="M83" i="24"/>
  <c r="H83" i="24"/>
  <c r="K83" i="24" s="1"/>
  <c r="S82" i="24"/>
  <c r="O82" i="24"/>
  <c r="M82" i="24"/>
  <c r="Q82" i="24" s="1"/>
  <c r="H82" i="24"/>
  <c r="K82" i="24" s="1"/>
  <c r="S81" i="24"/>
  <c r="O81" i="24"/>
  <c r="M81" i="24"/>
  <c r="Q81" i="24" s="1"/>
  <c r="H81" i="24"/>
  <c r="K81" i="24" s="1"/>
  <c r="S80" i="24"/>
  <c r="O80" i="24"/>
  <c r="M80" i="24"/>
  <c r="H80" i="24"/>
  <c r="K80" i="24" s="1"/>
  <c r="S79" i="24"/>
  <c r="O79" i="24"/>
  <c r="M79" i="24"/>
  <c r="Q79" i="24" s="1"/>
  <c r="H79" i="24"/>
  <c r="K79" i="24" s="1"/>
  <c r="S78" i="24"/>
  <c r="O78" i="24"/>
  <c r="M78" i="24"/>
  <c r="Q78" i="24" s="1"/>
  <c r="H78" i="24"/>
  <c r="K78" i="24" s="1"/>
  <c r="S77" i="24"/>
  <c r="O77" i="24"/>
  <c r="M77" i="24"/>
  <c r="H77" i="24"/>
  <c r="K77" i="24" s="1"/>
  <c r="S76" i="24"/>
  <c r="O76" i="24"/>
  <c r="M76" i="24"/>
  <c r="Q76" i="24" s="1"/>
  <c r="H76" i="24"/>
  <c r="K76" i="24" s="1"/>
  <c r="S75" i="24"/>
  <c r="O75" i="24"/>
  <c r="M75" i="24"/>
  <c r="Q75" i="24" s="1"/>
  <c r="H75" i="24"/>
  <c r="K75" i="24" s="1"/>
  <c r="S74" i="24"/>
  <c r="O74" i="24"/>
  <c r="M74" i="24"/>
  <c r="H74" i="24"/>
  <c r="K74" i="24" s="1"/>
  <c r="S73" i="24"/>
  <c r="O73" i="24"/>
  <c r="M73" i="24"/>
  <c r="Q73" i="24" s="1"/>
  <c r="H73" i="24"/>
  <c r="K73" i="24" s="1"/>
  <c r="S72" i="24"/>
  <c r="O72" i="24"/>
  <c r="M72" i="24"/>
  <c r="Q72" i="24" s="1"/>
  <c r="H72" i="24"/>
  <c r="K72" i="24" s="1"/>
  <c r="S71" i="24"/>
  <c r="O71" i="24"/>
  <c r="M71" i="24"/>
  <c r="H71" i="24"/>
  <c r="K71" i="24" s="1"/>
  <c r="S70" i="24"/>
  <c r="O70" i="24"/>
  <c r="M70" i="24"/>
  <c r="Q70" i="24" s="1"/>
  <c r="H70" i="24"/>
  <c r="K70" i="24" s="1"/>
  <c r="S69" i="24"/>
  <c r="O69" i="24"/>
  <c r="M69" i="24"/>
  <c r="Q69" i="24" s="1"/>
  <c r="H69" i="24"/>
  <c r="K69" i="24" s="1"/>
  <c r="S68" i="24"/>
  <c r="O68" i="24"/>
  <c r="M68" i="24"/>
  <c r="H68" i="24"/>
  <c r="K68" i="24" s="1"/>
  <c r="S67" i="24"/>
  <c r="O67" i="24"/>
  <c r="M67" i="24"/>
  <c r="Q67" i="24" s="1"/>
  <c r="H67" i="24"/>
  <c r="K67" i="24" s="1"/>
  <c r="S66" i="24"/>
  <c r="O66" i="24"/>
  <c r="M66" i="24"/>
  <c r="Q66" i="24" s="1"/>
  <c r="H66" i="24"/>
  <c r="K66" i="24" s="1"/>
  <c r="S65" i="24"/>
  <c r="O65" i="24"/>
  <c r="M65" i="24"/>
  <c r="H65" i="24"/>
  <c r="K65" i="24" s="1"/>
  <c r="S64" i="24"/>
  <c r="O64" i="24"/>
  <c r="M64" i="24"/>
  <c r="Q64" i="24" s="1"/>
  <c r="H64" i="24"/>
  <c r="K64" i="24" s="1"/>
  <c r="S63" i="24"/>
  <c r="O63" i="24"/>
  <c r="M63" i="24"/>
  <c r="Q63" i="24" s="1"/>
  <c r="H63" i="24"/>
  <c r="K63" i="24" s="1"/>
  <c r="S62" i="24"/>
  <c r="O62" i="24"/>
  <c r="M62" i="24"/>
  <c r="H62" i="24"/>
  <c r="K62" i="24" s="1"/>
  <c r="S61" i="24"/>
  <c r="O61" i="24"/>
  <c r="M61" i="24"/>
  <c r="Q61" i="24" s="1"/>
  <c r="H61" i="24"/>
  <c r="K61" i="24" s="1"/>
  <c r="S60" i="24"/>
  <c r="O60" i="24"/>
  <c r="M60" i="24"/>
  <c r="Q60" i="24" s="1"/>
  <c r="H60" i="24"/>
  <c r="K60" i="24" s="1"/>
  <c r="S59" i="24"/>
  <c r="O59" i="24"/>
  <c r="M59" i="24"/>
  <c r="H59" i="24"/>
  <c r="K59" i="24" s="1"/>
  <c r="S58" i="24"/>
  <c r="O58" i="24"/>
  <c r="M58" i="24"/>
  <c r="Q58" i="24" s="1"/>
  <c r="H58" i="24"/>
  <c r="K58" i="24" s="1"/>
  <c r="S57" i="24"/>
  <c r="O57" i="24"/>
  <c r="M57" i="24"/>
  <c r="Q57" i="24" s="1"/>
  <c r="H57" i="24"/>
  <c r="K57" i="24" s="1"/>
  <c r="S56" i="24"/>
  <c r="O56" i="24"/>
  <c r="M56" i="24"/>
  <c r="H56" i="24"/>
  <c r="K56" i="24" s="1"/>
  <c r="S55" i="24"/>
  <c r="O55" i="24"/>
  <c r="M55" i="24"/>
  <c r="Q55" i="24" s="1"/>
  <c r="H55" i="24"/>
  <c r="K55" i="24" s="1"/>
  <c r="S54" i="24"/>
  <c r="O54" i="24"/>
  <c r="M54" i="24"/>
  <c r="Q54" i="24" s="1"/>
  <c r="H54" i="24"/>
  <c r="K54" i="24" s="1"/>
  <c r="S53" i="24"/>
  <c r="O53" i="24"/>
  <c r="M53" i="24"/>
  <c r="H53" i="24"/>
  <c r="K53" i="24" s="1"/>
  <c r="S52" i="24"/>
  <c r="O52" i="24"/>
  <c r="M52" i="24"/>
  <c r="Q52" i="24" s="1"/>
  <c r="H52" i="24"/>
  <c r="K52" i="24" s="1"/>
  <c r="S51" i="24"/>
  <c r="O51" i="24"/>
  <c r="M51" i="24"/>
  <c r="Q51" i="24" s="1"/>
  <c r="H51" i="24"/>
  <c r="M47" i="24"/>
  <c r="I47" i="24"/>
  <c r="P46" i="24"/>
  <c r="L46" i="24"/>
  <c r="N46" i="24" s="1"/>
  <c r="H46" i="24"/>
  <c r="O46" i="24" s="1"/>
  <c r="P45" i="24"/>
  <c r="L45" i="24"/>
  <c r="N45" i="24" s="1"/>
  <c r="H45" i="24"/>
  <c r="P44" i="24"/>
  <c r="P47" i="24" s="1"/>
  <c r="L44" i="24"/>
  <c r="N44" i="24" s="1"/>
  <c r="H44" i="24"/>
  <c r="J44" i="24" s="1"/>
  <c r="P40" i="24"/>
  <c r="Q149" i="24" s="1"/>
  <c r="M40" i="24"/>
  <c r="I40" i="24"/>
  <c r="P39" i="24"/>
  <c r="L39" i="24"/>
  <c r="H39" i="24"/>
  <c r="J39" i="24" s="1"/>
  <c r="P38" i="24"/>
  <c r="L38" i="24"/>
  <c r="N38" i="24" s="1"/>
  <c r="H38" i="24"/>
  <c r="H40" i="24" s="1"/>
  <c r="M34" i="24"/>
  <c r="I34" i="24"/>
  <c r="P33" i="24"/>
  <c r="L33" i="24"/>
  <c r="N33" i="24" s="1"/>
  <c r="H33" i="24"/>
  <c r="O33" i="24" s="1"/>
  <c r="P32" i="24"/>
  <c r="L32" i="24"/>
  <c r="N32" i="24" s="1"/>
  <c r="H32" i="24"/>
  <c r="O32" i="24" s="1"/>
  <c r="Q32" i="24" s="1"/>
  <c r="P31" i="24"/>
  <c r="L31" i="24"/>
  <c r="H31" i="24"/>
  <c r="J31" i="24" s="1"/>
  <c r="P30" i="24"/>
  <c r="L30" i="24"/>
  <c r="H30" i="24"/>
  <c r="P29" i="24"/>
  <c r="L29" i="24"/>
  <c r="N29" i="24" s="1"/>
  <c r="H29" i="24"/>
  <c r="J29" i="24" s="1"/>
  <c r="P25" i="24"/>
  <c r="Q153" i="24" s="1"/>
  <c r="M25" i="24"/>
  <c r="I25" i="24"/>
  <c r="P24" i="24"/>
  <c r="L24" i="24"/>
  <c r="N24" i="24" s="1"/>
  <c r="H24" i="24"/>
  <c r="O24" i="24" s="1"/>
  <c r="P23" i="24"/>
  <c r="L23" i="24"/>
  <c r="L25" i="24" s="1"/>
  <c r="H23" i="24"/>
  <c r="R19" i="24"/>
  <c r="M19" i="24"/>
  <c r="I19" i="24"/>
  <c r="P18" i="24"/>
  <c r="L18" i="24"/>
  <c r="N18" i="24" s="1"/>
  <c r="H18" i="24"/>
  <c r="J18" i="24" s="1"/>
  <c r="P17" i="24"/>
  <c r="L17" i="24"/>
  <c r="N17" i="24" s="1"/>
  <c r="H17" i="24"/>
  <c r="O17" i="24" s="1"/>
  <c r="P16" i="24"/>
  <c r="L16" i="24"/>
  <c r="N16" i="24" s="1"/>
  <c r="H16" i="24"/>
  <c r="P15" i="24"/>
  <c r="L15" i="24"/>
  <c r="N15" i="24" s="1"/>
  <c r="H15" i="24"/>
  <c r="J15" i="24" s="1"/>
  <c r="P14" i="24"/>
  <c r="L14" i="24"/>
  <c r="N14" i="24" s="1"/>
  <c r="H14" i="24"/>
  <c r="J14" i="24" s="1"/>
  <c r="P13" i="24"/>
  <c r="L13" i="24"/>
  <c r="N13" i="24" s="1"/>
  <c r="H13" i="24"/>
  <c r="J13" i="24" s="1"/>
  <c r="P12" i="24"/>
  <c r="O12" i="24"/>
  <c r="Q12" i="24" s="1"/>
  <c r="L12" i="24"/>
  <c r="N12" i="24" s="1"/>
  <c r="H12" i="24"/>
  <c r="J12" i="24" s="1"/>
  <c r="P11" i="24"/>
  <c r="L11" i="24"/>
  <c r="N11" i="24" s="1"/>
  <c r="H11" i="24"/>
  <c r="P10" i="24"/>
  <c r="L10" i="24"/>
  <c r="N10" i="24" s="1"/>
  <c r="H10" i="24"/>
  <c r="J10" i="24" s="1"/>
  <c r="P9" i="24"/>
  <c r="L9" i="24"/>
  <c r="N9" i="24" s="1"/>
  <c r="H9" i="24"/>
  <c r="O9" i="24" s="1"/>
  <c r="P8" i="24"/>
  <c r="L8" i="24"/>
  <c r="N8" i="24" s="1"/>
  <c r="H8" i="24"/>
  <c r="J8" i="24" s="1"/>
  <c r="P7" i="24"/>
  <c r="L7" i="24"/>
  <c r="H7" i="24"/>
  <c r="O7" i="24" s="1"/>
  <c r="P6" i="24"/>
  <c r="L6" i="24"/>
  <c r="N6" i="24" s="1"/>
  <c r="H6" i="24"/>
  <c r="J6" i="24" s="1"/>
  <c r="P5" i="24"/>
  <c r="L5" i="24"/>
  <c r="N5" i="24" s="1"/>
  <c r="H5" i="24"/>
  <c r="O145" i="23"/>
  <c r="M143" i="23"/>
  <c r="I143" i="23"/>
  <c r="H143" i="23"/>
  <c r="P142" i="23"/>
  <c r="N142" i="23"/>
  <c r="H142" i="23"/>
  <c r="O142" i="23" s="1"/>
  <c r="Q142" i="23" s="1"/>
  <c r="P141" i="23"/>
  <c r="O141" i="23"/>
  <c r="Q141" i="23" s="1"/>
  <c r="N141" i="23"/>
  <c r="L141" i="23"/>
  <c r="H141" i="23"/>
  <c r="J141" i="23" s="1"/>
  <c r="Q140" i="23"/>
  <c r="P140" i="23"/>
  <c r="L140" i="23"/>
  <c r="N140" i="23" s="1"/>
  <c r="H140" i="23"/>
  <c r="O140" i="23" s="1"/>
  <c r="P139" i="23"/>
  <c r="O139" i="23"/>
  <c r="Q139" i="23" s="1"/>
  <c r="N139" i="23"/>
  <c r="L139" i="23"/>
  <c r="J139" i="23"/>
  <c r="H139" i="23"/>
  <c r="P138" i="23"/>
  <c r="N138" i="23"/>
  <c r="L138" i="23"/>
  <c r="H138" i="23"/>
  <c r="O138" i="23" s="1"/>
  <c r="Q138" i="23" s="1"/>
  <c r="P137" i="23"/>
  <c r="O137" i="23"/>
  <c r="Q137" i="23" s="1"/>
  <c r="N137" i="23"/>
  <c r="L137" i="23"/>
  <c r="H137" i="23"/>
  <c r="J137" i="23" s="1"/>
  <c r="P136" i="23"/>
  <c r="O136" i="23"/>
  <c r="Q136" i="23" s="1"/>
  <c r="N136" i="23"/>
  <c r="L136" i="23"/>
  <c r="H136" i="23"/>
  <c r="J136" i="23" s="1"/>
  <c r="P135" i="23"/>
  <c r="L135" i="23"/>
  <c r="N135" i="23" s="1"/>
  <c r="H135" i="23"/>
  <c r="P134" i="23"/>
  <c r="L134" i="23"/>
  <c r="N134" i="23" s="1"/>
  <c r="H134" i="23"/>
  <c r="O134" i="23" s="1"/>
  <c r="Q134" i="23" s="1"/>
  <c r="P133" i="23"/>
  <c r="L133" i="23"/>
  <c r="N133" i="23" s="1"/>
  <c r="H133" i="23"/>
  <c r="O133" i="23" s="1"/>
  <c r="Q133" i="23" s="1"/>
  <c r="P132" i="23"/>
  <c r="L132" i="23"/>
  <c r="H132" i="23"/>
  <c r="J132" i="23" s="1"/>
  <c r="P131" i="23"/>
  <c r="L131" i="23"/>
  <c r="O131" i="23" s="1"/>
  <c r="Q131" i="23" s="1"/>
  <c r="H131" i="23"/>
  <c r="J131" i="23" s="1"/>
  <c r="Q130" i="23"/>
  <c r="P130" i="23"/>
  <c r="O130" i="23"/>
  <c r="L130" i="23"/>
  <c r="N130" i="23" s="1"/>
  <c r="H130" i="23"/>
  <c r="J130" i="23" s="1"/>
  <c r="P129" i="23"/>
  <c r="L129" i="23"/>
  <c r="N129" i="23" s="1"/>
  <c r="H129" i="23"/>
  <c r="J129" i="23" s="1"/>
  <c r="P128" i="23"/>
  <c r="L128" i="23"/>
  <c r="N128" i="23" s="1"/>
  <c r="H128" i="23"/>
  <c r="P127" i="23"/>
  <c r="L127" i="23"/>
  <c r="N127" i="23" s="1"/>
  <c r="J127" i="23"/>
  <c r="H127" i="23"/>
  <c r="P126" i="23"/>
  <c r="L126" i="23"/>
  <c r="N126" i="23" s="1"/>
  <c r="H126" i="23"/>
  <c r="P125" i="23"/>
  <c r="O125" i="23"/>
  <c r="Q125" i="23" s="1"/>
  <c r="N125" i="23"/>
  <c r="L125" i="23"/>
  <c r="H125" i="23"/>
  <c r="J125" i="23" s="1"/>
  <c r="P124" i="23"/>
  <c r="O124" i="23"/>
  <c r="Q124" i="23" s="1"/>
  <c r="L124" i="23"/>
  <c r="N124" i="23" s="1"/>
  <c r="H124" i="23"/>
  <c r="J124" i="23" s="1"/>
  <c r="P123" i="23"/>
  <c r="L123" i="23"/>
  <c r="N123" i="23" s="1"/>
  <c r="H123" i="23"/>
  <c r="P122" i="23"/>
  <c r="Q122" i="23" s="1"/>
  <c r="O122" i="23"/>
  <c r="N122" i="23"/>
  <c r="L122" i="23"/>
  <c r="H122" i="23"/>
  <c r="J122" i="23" s="1"/>
  <c r="P121" i="23"/>
  <c r="L121" i="23"/>
  <c r="H121" i="23"/>
  <c r="O121" i="23" s="1"/>
  <c r="Q121" i="23" s="1"/>
  <c r="U117" i="23"/>
  <c r="S117" i="23"/>
  <c r="Q146" i="23" s="1"/>
  <c r="P117" i="23"/>
  <c r="J117" i="23"/>
  <c r="S116" i="23"/>
  <c r="O116" i="23"/>
  <c r="M116" i="23"/>
  <c r="Q116" i="23" s="1"/>
  <c r="K116" i="23"/>
  <c r="H116" i="23"/>
  <c r="S115" i="23"/>
  <c r="O115" i="23"/>
  <c r="M115" i="23"/>
  <c r="H115" i="23"/>
  <c r="K115" i="23" s="1"/>
  <c r="S114" i="23"/>
  <c r="O114" i="23"/>
  <c r="M114" i="23"/>
  <c r="Q114" i="23" s="1"/>
  <c r="H114" i="23"/>
  <c r="K114" i="23" s="1"/>
  <c r="S113" i="23"/>
  <c r="O113" i="23"/>
  <c r="M113" i="23"/>
  <c r="K113" i="23"/>
  <c r="H113" i="23"/>
  <c r="S112" i="23"/>
  <c r="O112" i="23"/>
  <c r="M112" i="23"/>
  <c r="R112" i="23" s="1"/>
  <c r="T112" i="23" s="1"/>
  <c r="K112" i="23"/>
  <c r="H112" i="23"/>
  <c r="S111" i="23"/>
  <c r="O111" i="23"/>
  <c r="M111" i="23"/>
  <c r="Q111" i="23" s="1"/>
  <c r="H111" i="23"/>
  <c r="K111" i="23" s="1"/>
  <c r="T110" i="23"/>
  <c r="S110" i="23"/>
  <c r="R110" i="23"/>
  <c r="Q110" i="23"/>
  <c r="O110" i="23"/>
  <c r="M110" i="23"/>
  <c r="K110" i="23"/>
  <c r="H110" i="23"/>
  <c r="S109" i="23"/>
  <c r="O109" i="23"/>
  <c r="M109" i="23"/>
  <c r="R109" i="23" s="1"/>
  <c r="T109" i="23" s="1"/>
  <c r="K109" i="23"/>
  <c r="H109" i="23"/>
  <c r="S108" i="23"/>
  <c r="R108" i="23"/>
  <c r="T108" i="23" s="1"/>
  <c r="O108" i="23"/>
  <c r="M108" i="23"/>
  <c r="Q108" i="23" s="1"/>
  <c r="H108" i="23"/>
  <c r="K108" i="23" s="1"/>
  <c r="S107" i="23"/>
  <c r="R107" i="23"/>
  <c r="T107" i="23" s="1"/>
  <c r="Q107" i="23"/>
  <c r="O107" i="23"/>
  <c r="M107" i="23"/>
  <c r="K107" i="23"/>
  <c r="H107" i="23"/>
  <c r="S106" i="23"/>
  <c r="O106" i="23"/>
  <c r="M106" i="23"/>
  <c r="H106" i="23"/>
  <c r="K106" i="23" s="1"/>
  <c r="S105" i="23"/>
  <c r="R105" i="23"/>
  <c r="T105" i="23" s="1"/>
  <c r="O105" i="23"/>
  <c r="M105" i="23"/>
  <c r="Q105" i="23" s="1"/>
  <c r="H105" i="23"/>
  <c r="K105" i="23" s="1"/>
  <c r="S104" i="23"/>
  <c r="O104" i="23"/>
  <c r="M104" i="23"/>
  <c r="K104" i="23"/>
  <c r="H104" i="23"/>
  <c r="S103" i="23"/>
  <c r="O103" i="23"/>
  <c r="M103" i="23"/>
  <c r="R103" i="23" s="1"/>
  <c r="T103" i="23" s="1"/>
  <c r="K103" i="23"/>
  <c r="H103" i="23"/>
  <c r="S102" i="23"/>
  <c r="O102" i="23"/>
  <c r="M102" i="23"/>
  <c r="Q102" i="23" s="1"/>
  <c r="H102" i="23"/>
  <c r="K102" i="23" s="1"/>
  <c r="S101" i="23"/>
  <c r="R101" i="23"/>
  <c r="T101" i="23" s="1"/>
  <c r="Q101" i="23"/>
  <c r="O101" i="23"/>
  <c r="M101" i="23"/>
  <c r="K101" i="23"/>
  <c r="H101" i="23"/>
  <c r="S100" i="23"/>
  <c r="O100" i="23"/>
  <c r="M100" i="23"/>
  <c r="R100" i="23" s="1"/>
  <c r="T100" i="23" s="1"/>
  <c r="K100" i="23"/>
  <c r="H100" i="23"/>
  <c r="S99" i="23"/>
  <c r="R99" i="23"/>
  <c r="T99" i="23" s="1"/>
  <c r="O99" i="23"/>
  <c r="M99" i="23"/>
  <c r="Q99" i="23" s="1"/>
  <c r="H99" i="23"/>
  <c r="K99" i="23" s="1"/>
  <c r="S98" i="23"/>
  <c r="R98" i="23"/>
  <c r="T98" i="23" s="1"/>
  <c r="Q98" i="23"/>
  <c r="O98" i="23"/>
  <c r="M98" i="23"/>
  <c r="K98" i="23"/>
  <c r="H98" i="23"/>
  <c r="S97" i="23"/>
  <c r="O97" i="23"/>
  <c r="M97" i="23"/>
  <c r="H97" i="23"/>
  <c r="K97" i="23" s="1"/>
  <c r="S96" i="23"/>
  <c r="O96" i="23"/>
  <c r="M96" i="23"/>
  <c r="Q96" i="23" s="1"/>
  <c r="H96" i="23"/>
  <c r="K96" i="23" s="1"/>
  <c r="S95" i="23"/>
  <c r="O95" i="23"/>
  <c r="M95" i="23"/>
  <c r="K95" i="23"/>
  <c r="H95" i="23"/>
  <c r="S94" i="23"/>
  <c r="O94" i="23"/>
  <c r="M94" i="23"/>
  <c r="R94" i="23" s="1"/>
  <c r="T94" i="23" s="1"/>
  <c r="K94" i="23"/>
  <c r="H94" i="23"/>
  <c r="S93" i="23"/>
  <c r="R93" i="23"/>
  <c r="T93" i="23" s="1"/>
  <c r="O93" i="23"/>
  <c r="M93" i="23"/>
  <c r="Q93" i="23" s="1"/>
  <c r="H93" i="23"/>
  <c r="K93" i="23" s="1"/>
  <c r="S92" i="23"/>
  <c r="R92" i="23"/>
  <c r="T92" i="23" s="1"/>
  <c r="Q92" i="23"/>
  <c r="O92" i="23"/>
  <c r="M92" i="23"/>
  <c r="K92" i="23"/>
  <c r="H92" i="23"/>
  <c r="S91" i="23"/>
  <c r="O91" i="23"/>
  <c r="M91" i="23"/>
  <c r="H91" i="23"/>
  <c r="K91" i="23" s="1"/>
  <c r="S90" i="23"/>
  <c r="R90" i="23"/>
  <c r="T90" i="23" s="1"/>
  <c r="O90" i="23"/>
  <c r="M90" i="23"/>
  <c r="Q90" i="23" s="1"/>
  <c r="H90" i="23"/>
  <c r="K90" i="23" s="1"/>
  <c r="S89" i="23"/>
  <c r="O89" i="23"/>
  <c r="M89" i="23"/>
  <c r="R89" i="23" s="1"/>
  <c r="T89" i="23" s="1"/>
  <c r="K89" i="23"/>
  <c r="H89" i="23"/>
  <c r="S88" i="23"/>
  <c r="O88" i="23"/>
  <c r="M88" i="23"/>
  <c r="H88" i="23"/>
  <c r="K88" i="23" s="1"/>
  <c r="S87" i="23"/>
  <c r="O87" i="23"/>
  <c r="M87" i="23"/>
  <c r="Q87" i="23" s="1"/>
  <c r="H87" i="23"/>
  <c r="K87" i="23" s="1"/>
  <c r="S86" i="23"/>
  <c r="O86" i="23"/>
  <c r="M86" i="23"/>
  <c r="R86" i="23" s="1"/>
  <c r="T86" i="23" s="1"/>
  <c r="K86" i="23"/>
  <c r="H86" i="23"/>
  <c r="S85" i="23"/>
  <c r="R85" i="23"/>
  <c r="T85" i="23" s="1"/>
  <c r="Q85" i="23"/>
  <c r="O85" i="23"/>
  <c r="M85" i="23"/>
  <c r="H85" i="23"/>
  <c r="K85" i="23" s="1"/>
  <c r="S84" i="23"/>
  <c r="R84" i="23"/>
  <c r="T84" i="23" s="1"/>
  <c r="O84" i="23"/>
  <c r="M84" i="23"/>
  <c r="Q84" i="23" s="1"/>
  <c r="H84" i="23"/>
  <c r="K84" i="23" s="1"/>
  <c r="S83" i="23"/>
  <c r="O83" i="23"/>
  <c r="M83" i="23"/>
  <c r="K83" i="23"/>
  <c r="H83" i="23"/>
  <c r="S82" i="23"/>
  <c r="R82" i="23"/>
  <c r="T82" i="23" s="1"/>
  <c r="Q82" i="23"/>
  <c r="O82" i="23"/>
  <c r="M82" i="23"/>
  <c r="K82" i="23"/>
  <c r="H82" i="23"/>
  <c r="S81" i="23"/>
  <c r="O81" i="23"/>
  <c r="M81" i="23"/>
  <c r="Q81" i="23" s="1"/>
  <c r="K81" i="23"/>
  <c r="H81" i="23"/>
  <c r="R81" i="23" s="1"/>
  <c r="T81" i="23" s="1"/>
  <c r="S80" i="23"/>
  <c r="R80" i="23"/>
  <c r="T80" i="23" s="1"/>
  <c r="Q80" i="23"/>
  <c r="O80" i="23"/>
  <c r="M80" i="23"/>
  <c r="K80" i="23"/>
  <c r="H80" i="23"/>
  <c r="S79" i="23"/>
  <c r="O79" i="23"/>
  <c r="M79" i="23"/>
  <c r="R79" i="23" s="1"/>
  <c r="T79" i="23" s="1"/>
  <c r="H79" i="23"/>
  <c r="K79" i="23" s="1"/>
  <c r="S78" i="23"/>
  <c r="O78" i="23"/>
  <c r="M78" i="23"/>
  <c r="Q78" i="23" s="1"/>
  <c r="H78" i="23"/>
  <c r="R78" i="23" s="1"/>
  <c r="T78" i="23" s="1"/>
  <c r="S77" i="23"/>
  <c r="O77" i="23"/>
  <c r="M77" i="23"/>
  <c r="Q77" i="23" s="1"/>
  <c r="K77" i="23"/>
  <c r="H77" i="23"/>
  <c r="S76" i="23"/>
  <c r="O76" i="23"/>
  <c r="M76" i="23"/>
  <c r="R76" i="23" s="1"/>
  <c r="T76" i="23" s="1"/>
  <c r="K76" i="23"/>
  <c r="H76" i="23"/>
  <c r="S75" i="23"/>
  <c r="R75" i="23"/>
  <c r="T75" i="23" s="1"/>
  <c r="O75" i="23"/>
  <c r="M75" i="23"/>
  <c r="Q75" i="23" s="1"/>
  <c r="H75" i="23"/>
  <c r="K75" i="23" s="1"/>
  <c r="S74" i="23"/>
  <c r="Q74" i="23"/>
  <c r="O74" i="23"/>
  <c r="M74" i="23"/>
  <c r="R74" i="23" s="1"/>
  <c r="T74" i="23" s="1"/>
  <c r="K74" i="23"/>
  <c r="H74" i="23"/>
  <c r="S73" i="23"/>
  <c r="O73" i="23"/>
  <c r="M73" i="23"/>
  <c r="H73" i="23"/>
  <c r="K73" i="23" s="1"/>
  <c r="S72" i="23"/>
  <c r="R72" i="23"/>
  <c r="T72" i="23" s="1"/>
  <c r="O72" i="23"/>
  <c r="M72" i="23"/>
  <c r="Q72" i="23" s="1"/>
  <c r="H72" i="23"/>
  <c r="K72" i="23" s="1"/>
  <c r="S71" i="23"/>
  <c r="R71" i="23"/>
  <c r="T71" i="23" s="1"/>
  <c r="O71" i="23"/>
  <c r="M71" i="23"/>
  <c r="Q71" i="23" s="1"/>
  <c r="K71" i="23"/>
  <c r="H71" i="23"/>
  <c r="S70" i="23"/>
  <c r="O70" i="23"/>
  <c r="M70" i="23"/>
  <c r="Q70" i="23" s="1"/>
  <c r="H70" i="23"/>
  <c r="R70" i="23" s="1"/>
  <c r="T70" i="23" s="1"/>
  <c r="S69" i="23"/>
  <c r="O69" i="23"/>
  <c r="M69" i="23"/>
  <c r="Q69" i="23" s="1"/>
  <c r="H69" i="23"/>
  <c r="R69" i="23" s="1"/>
  <c r="T69" i="23" s="1"/>
  <c r="S68" i="23"/>
  <c r="O68" i="23"/>
  <c r="M68" i="23"/>
  <c r="R68" i="23" s="1"/>
  <c r="T68" i="23" s="1"/>
  <c r="K68" i="23"/>
  <c r="H68" i="23"/>
  <c r="S67" i="23"/>
  <c r="R67" i="23"/>
  <c r="T67" i="23" s="1"/>
  <c r="Q67" i="23"/>
  <c r="O67" i="23"/>
  <c r="M67" i="23"/>
  <c r="H67" i="23"/>
  <c r="K67" i="23" s="1"/>
  <c r="S66" i="23"/>
  <c r="T66" i="23" s="1"/>
  <c r="R66" i="23"/>
  <c r="O66" i="23"/>
  <c r="M66" i="23"/>
  <c r="Q66" i="23" s="1"/>
  <c r="K66" i="23"/>
  <c r="H66" i="23"/>
  <c r="S65" i="23"/>
  <c r="O65" i="23"/>
  <c r="M65" i="23"/>
  <c r="K65" i="23"/>
  <c r="H65" i="23"/>
  <c r="S64" i="23"/>
  <c r="O64" i="23"/>
  <c r="M64" i="23"/>
  <c r="Q64" i="23" s="1"/>
  <c r="K64" i="23"/>
  <c r="H64" i="23"/>
  <c r="S63" i="23"/>
  <c r="O63" i="23"/>
  <c r="M63" i="23"/>
  <c r="Q63" i="23" s="1"/>
  <c r="H63" i="23"/>
  <c r="R63" i="23" s="1"/>
  <c r="T63" i="23" s="1"/>
  <c r="S62" i="23"/>
  <c r="R62" i="23"/>
  <c r="T62" i="23" s="1"/>
  <c r="Q62" i="23"/>
  <c r="O62" i="23"/>
  <c r="M62" i="23"/>
  <c r="K62" i="23"/>
  <c r="H62" i="23"/>
  <c r="S61" i="23"/>
  <c r="Q61" i="23"/>
  <c r="O61" i="23"/>
  <c r="M61" i="23"/>
  <c r="R61" i="23" s="1"/>
  <c r="T61" i="23" s="1"/>
  <c r="H61" i="23"/>
  <c r="K61" i="23" s="1"/>
  <c r="T60" i="23"/>
  <c r="S60" i="23"/>
  <c r="O60" i="23"/>
  <c r="M60" i="23"/>
  <c r="Q60" i="23" s="1"/>
  <c r="H60" i="23"/>
  <c r="R60" i="23" s="1"/>
  <c r="S59" i="23"/>
  <c r="O59" i="23"/>
  <c r="M59" i="23"/>
  <c r="R59" i="23" s="1"/>
  <c r="T59" i="23" s="1"/>
  <c r="K59" i="23"/>
  <c r="H59" i="23"/>
  <c r="S58" i="23"/>
  <c r="O58" i="23"/>
  <c r="M58" i="23"/>
  <c r="R58" i="23" s="1"/>
  <c r="T58" i="23" s="1"/>
  <c r="H58" i="23"/>
  <c r="K58" i="23" s="1"/>
  <c r="S57" i="23"/>
  <c r="R57" i="23"/>
  <c r="T57" i="23" s="1"/>
  <c r="O57" i="23"/>
  <c r="M57" i="23"/>
  <c r="Q57" i="23" s="1"/>
  <c r="H57" i="23"/>
  <c r="K57" i="23" s="1"/>
  <c r="S56" i="23"/>
  <c r="O56" i="23"/>
  <c r="M56" i="23"/>
  <c r="R56" i="23" s="1"/>
  <c r="T56" i="23" s="1"/>
  <c r="K56" i="23"/>
  <c r="H56" i="23"/>
  <c r="S55" i="23"/>
  <c r="O55" i="23"/>
  <c r="M55" i="23"/>
  <c r="H55" i="23"/>
  <c r="K55" i="23" s="1"/>
  <c r="S54" i="23"/>
  <c r="R54" i="23"/>
  <c r="T54" i="23" s="1"/>
  <c r="O54" i="23"/>
  <c r="M54" i="23"/>
  <c r="Q54" i="23" s="1"/>
  <c r="H54" i="23"/>
  <c r="K54" i="23" s="1"/>
  <c r="S53" i="23"/>
  <c r="R53" i="23"/>
  <c r="T53" i="23" s="1"/>
  <c r="Q53" i="23"/>
  <c r="O53" i="23"/>
  <c r="M53" i="23"/>
  <c r="K53" i="23"/>
  <c r="H53" i="23"/>
  <c r="S52" i="23"/>
  <c r="O52" i="23"/>
  <c r="M52" i="23"/>
  <c r="Q52" i="23" s="1"/>
  <c r="H52" i="23"/>
  <c r="R52" i="23" s="1"/>
  <c r="T52" i="23" s="1"/>
  <c r="S51" i="23"/>
  <c r="O51" i="23"/>
  <c r="M51" i="23"/>
  <c r="Q51" i="23" s="1"/>
  <c r="H51" i="23"/>
  <c r="M47" i="23"/>
  <c r="L47" i="23"/>
  <c r="I47" i="23"/>
  <c r="P46" i="23"/>
  <c r="O46" i="23"/>
  <c r="N46" i="23"/>
  <c r="L46" i="23"/>
  <c r="J46" i="23"/>
  <c r="H46" i="23"/>
  <c r="P45" i="23"/>
  <c r="O45" i="23"/>
  <c r="N45" i="23"/>
  <c r="L45" i="23"/>
  <c r="H45" i="23"/>
  <c r="H47" i="23" s="1"/>
  <c r="P44" i="23"/>
  <c r="P47" i="23" s="1"/>
  <c r="O44" i="23"/>
  <c r="N44" i="23"/>
  <c r="N47" i="23" s="1"/>
  <c r="L44" i="23"/>
  <c r="H44" i="23"/>
  <c r="J44" i="23" s="1"/>
  <c r="M40" i="23"/>
  <c r="I40" i="23"/>
  <c r="P39" i="23"/>
  <c r="P40" i="23" s="1"/>
  <c r="O39" i="23"/>
  <c r="Q39" i="23" s="1"/>
  <c r="N39" i="23"/>
  <c r="L39" i="23"/>
  <c r="J39" i="23"/>
  <c r="H39" i="23"/>
  <c r="P38" i="23"/>
  <c r="L38" i="23"/>
  <c r="L40" i="23" s="1"/>
  <c r="H38" i="23"/>
  <c r="O38" i="23" s="1"/>
  <c r="O40" i="23" s="1"/>
  <c r="P34" i="23"/>
  <c r="Q148" i="23" s="1"/>
  <c r="M34" i="23"/>
  <c r="I34" i="23"/>
  <c r="P33" i="23"/>
  <c r="L33" i="23"/>
  <c r="N33" i="23" s="1"/>
  <c r="J33" i="23"/>
  <c r="H33" i="23"/>
  <c r="O33" i="23" s="1"/>
  <c r="P32" i="23"/>
  <c r="L32" i="23"/>
  <c r="N32" i="23" s="1"/>
  <c r="H32" i="23"/>
  <c r="P31" i="23"/>
  <c r="Q31" i="23" s="1"/>
  <c r="L31" i="23"/>
  <c r="O31" i="23" s="1"/>
  <c r="J31" i="23"/>
  <c r="H31" i="23"/>
  <c r="P30" i="23"/>
  <c r="L30" i="23"/>
  <c r="N30" i="23" s="1"/>
  <c r="H30" i="23"/>
  <c r="O30" i="23" s="1"/>
  <c r="P29" i="23"/>
  <c r="Q29" i="23" s="1"/>
  <c r="O29" i="23"/>
  <c r="N29" i="23"/>
  <c r="L29" i="23"/>
  <c r="H29" i="23"/>
  <c r="J29" i="23" s="1"/>
  <c r="P25" i="23"/>
  <c r="Q153" i="23" s="1"/>
  <c r="M25" i="23"/>
  <c r="L25" i="23"/>
  <c r="I25" i="23"/>
  <c r="H25" i="23"/>
  <c r="Q24" i="23"/>
  <c r="P24" i="23"/>
  <c r="L24" i="23"/>
  <c r="N24" i="23" s="1"/>
  <c r="H24" i="23"/>
  <c r="O24" i="23" s="1"/>
  <c r="P23" i="23"/>
  <c r="L23" i="23"/>
  <c r="N23" i="23" s="1"/>
  <c r="N25" i="23" s="1"/>
  <c r="J23" i="23"/>
  <c r="H23" i="23"/>
  <c r="O23" i="23" s="1"/>
  <c r="O25" i="23" s="1"/>
  <c r="R19" i="23"/>
  <c r="M19" i="23"/>
  <c r="I19" i="23"/>
  <c r="P18" i="23"/>
  <c r="L18" i="23"/>
  <c r="N18" i="23" s="1"/>
  <c r="H18" i="23"/>
  <c r="J18" i="23" s="1"/>
  <c r="P17" i="23"/>
  <c r="L17" i="23"/>
  <c r="O17" i="23" s="1"/>
  <c r="Q17" i="23" s="1"/>
  <c r="J17" i="23"/>
  <c r="H17" i="23"/>
  <c r="P16" i="23"/>
  <c r="L16" i="23"/>
  <c r="N16" i="23" s="1"/>
  <c r="H16" i="23"/>
  <c r="O16" i="23" s="1"/>
  <c r="Q16" i="23" s="1"/>
  <c r="P15" i="23"/>
  <c r="L15" i="23"/>
  <c r="N15" i="23" s="1"/>
  <c r="J15" i="23"/>
  <c r="H15" i="23"/>
  <c r="P14" i="23"/>
  <c r="L14" i="23"/>
  <c r="N14" i="23" s="1"/>
  <c r="H14" i="23"/>
  <c r="O14" i="23" s="1"/>
  <c r="P13" i="23"/>
  <c r="Q13" i="23" s="1"/>
  <c r="O13" i="23"/>
  <c r="N13" i="23"/>
  <c r="L13" i="23"/>
  <c r="H13" i="23"/>
  <c r="J13" i="23" s="1"/>
  <c r="P12" i="23"/>
  <c r="L12" i="23"/>
  <c r="N12" i="23" s="1"/>
  <c r="H12" i="23"/>
  <c r="O12" i="23" s="1"/>
  <c r="P11" i="23"/>
  <c r="Q11" i="23" s="1"/>
  <c r="L11" i="23"/>
  <c r="N11" i="23" s="1"/>
  <c r="J11" i="23"/>
  <c r="H11" i="23"/>
  <c r="O11" i="23" s="1"/>
  <c r="P10" i="23"/>
  <c r="L10" i="23"/>
  <c r="N10" i="23" s="1"/>
  <c r="H10" i="23"/>
  <c r="O10" i="23" s="1"/>
  <c r="P9" i="23"/>
  <c r="L9" i="23"/>
  <c r="N9" i="23" s="1"/>
  <c r="J9" i="23"/>
  <c r="H9" i="23"/>
  <c r="P8" i="23"/>
  <c r="O8" i="23"/>
  <c r="L8" i="23"/>
  <c r="N8" i="23" s="1"/>
  <c r="J8" i="23"/>
  <c r="H8" i="23"/>
  <c r="P7" i="23"/>
  <c r="L7" i="23"/>
  <c r="L19" i="23" s="1"/>
  <c r="N19" i="23" s="1"/>
  <c r="H7" i="23"/>
  <c r="H19" i="23" s="1"/>
  <c r="P6" i="23"/>
  <c r="O6" i="23"/>
  <c r="N6" i="23"/>
  <c r="L6" i="23"/>
  <c r="H6" i="23"/>
  <c r="J6" i="23" s="1"/>
  <c r="P5" i="23"/>
  <c r="N5" i="23"/>
  <c r="L5" i="23"/>
  <c r="H5" i="23"/>
  <c r="J5" i="23" s="1"/>
  <c r="O126" i="29" l="1"/>
  <c r="Q126" i="29" s="1"/>
  <c r="O130" i="29"/>
  <c r="Q130" i="29" s="1"/>
  <c r="P47" i="29"/>
  <c r="Q150" i="29" s="1"/>
  <c r="N45" i="29"/>
  <c r="O33" i="29"/>
  <c r="P143" i="29"/>
  <c r="Q124" i="29"/>
  <c r="N121" i="29"/>
  <c r="O140" i="29"/>
  <c r="Q140" i="29" s="1"/>
  <c r="O138" i="29"/>
  <c r="Q138" i="29" s="1"/>
  <c r="O136" i="29"/>
  <c r="Q136" i="29" s="1"/>
  <c r="J126" i="29"/>
  <c r="O132" i="29"/>
  <c r="Q132" i="29" s="1"/>
  <c r="J130" i="29"/>
  <c r="O128" i="29"/>
  <c r="Q128" i="29" s="1"/>
  <c r="J139" i="29"/>
  <c r="O125" i="29"/>
  <c r="Q125" i="29" s="1"/>
  <c r="N128" i="29"/>
  <c r="O137" i="29"/>
  <c r="Q137" i="29" s="1"/>
  <c r="S117" i="29"/>
  <c r="Q146" i="29" s="1"/>
  <c r="O117" i="29"/>
  <c r="R70" i="29"/>
  <c r="T70" i="29" s="1"/>
  <c r="R101" i="29"/>
  <c r="T101" i="29" s="1"/>
  <c r="R84" i="29"/>
  <c r="T84" i="29" s="1"/>
  <c r="R96" i="29"/>
  <c r="T96" i="29" s="1"/>
  <c r="R56" i="29"/>
  <c r="T56" i="29" s="1"/>
  <c r="Q56" i="29"/>
  <c r="R68" i="29"/>
  <c r="T68" i="29" s="1"/>
  <c r="Q68" i="29"/>
  <c r="Q94" i="29"/>
  <c r="R94" i="29"/>
  <c r="T94" i="29" s="1"/>
  <c r="R80" i="29"/>
  <c r="T80" i="29" s="1"/>
  <c r="R92" i="29"/>
  <c r="T92" i="29" s="1"/>
  <c r="R59" i="29"/>
  <c r="T59" i="29" s="1"/>
  <c r="R108" i="29"/>
  <c r="T108" i="29" s="1"/>
  <c r="R113" i="29"/>
  <c r="T113" i="29" s="1"/>
  <c r="R54" i="29"/>
  <c r="T54" i="29" s="1"/>
  <c r="R66" i="29"/>
  <c r="T66" i="29" s="1"/>
  <c r="R71" i="29"/>
  <c r="T71" i="29" s="1"/>
  <c r="Q80" i="29"/>
  <c r="Q92" i="29"/>
  <c r="R104" i="29"/>
  <c r="T104" i="29" s="1"/>
  <c r="R106" i="29"/>
  <c r="T106" i="29" s="1"/>
  <c r="R52" i="29"/>
  <c r="T52" i="29" s="1"/>
  <c r="R83" i="29"/>
  <c r="T83" i="29" s="1"/>
  <c r="R62" i="29"/>
  <c r="T62" i="29" s="1"/>
  <c r="R78" i="29"/>
  <c r="T78" i="29" s="1"/>
  <c r="R90" i="29"/>
  <c r="T90" i="29" s="1"/>
  <c r="R95" i="29"/>
  <c r="T95" i="29" s="1"/>
  <c r="Q104" i="29"/>
  <c r="R116" i="29"/>
  <c r="T116" i="29" s="1"/>
  <c r="R74" i="29"/>
  <c r="T74" i="29" s="1"/>
  <c r="R76" i="29"/>
  <c r="T76" i="29" s="1"/>
  <c r="Q62" i="29"/>
  <c r="R86" i="29"/>
  <c r="T86" i="29" s="1"/>
  <c r="R102" i="29"/>
  <c r="T102" i="29" s="1"/>
  <c r="R107" i="29"/>
  <c r="T107" i="29" s="1"/>
  <c r="Q116" i="29"/>
  <c r="H117" i="29"/>
  <c r="R53" i="29"/>
  <c r="T53" i="29" s="1"/>
  <c r="R65" i="29"/>
  <c r="T65" i="29" s="1"/>
  <c r="Q74" i="29"/>
  <c r="R98" i="29"/>
  <c r="T98" i="29" s="1"/>
  <c r="R100" i="29"/>
  <c r="T100" i="29" s="1"/>
  <c r="K51" i="29"/>
  <c r="R60" i="29"/>
  <c r="T60" i="29" s="1"/>
  <c r="Q86" i="29"/>
  <c r="R114" i="29"/>
  <c r="T114" i="29" s="1"/>
  <c r="R72" i="29"/>
  <c r="T72" i="29" s="1"/>
  <c r="R77" i="29"/>
  <c r="T77" i="29" s="1"/>
  <c r="R89" i="29"/>
  <c r="T89" i="29" s="1"/>
  <c r="Q98" i="29"/>
  <c r="R110" i="29"/>
  <c r="T110" i="29" s="1"/>
  <c r="R112" i="29"/>
  <c r="T112" i="29" s="1"/>
  <c r="M117" i="29"/>
  <c r="Q117" i="29" s="1"/>
  <c r="O45" i="29"/>
  <c r="Q45" i="29" s="1"/>
  <c r="L47" i="29"/>
  <c r="O44" i="29"/>
  <c r="Q44" i="29" s="1"/>
  <c r="O39" i="29"/>
  <c r="Q39" i="29" s="1"/>
  <c r="H40" i="29"/>
  <c r="P34" i="29"/>
  <c r="Q148" i="29" s="1"/>
  <c r="O32" i="29"/>
  <c r="Q32" i="29" s="1"/>
  <c r="J33" i="29"/>
  <c r="Q33" i="29"/>
  <c r="O31" i="29"/>
  <c r="Q31" i="29" s="1"/>
  <c r="L34" i="29"/>
  <c r="P25" i="29"/>
  <c r="Q153" i="29" s="1"/>
  <c r="O23" i="29"/>
  <c r="Q23" i="29" s="1"/>
  <c r="L25" i="29"/>
  <c r="O16" i="29"/>
  <c r="O7" i="29"/>
  <c r="Q7" i="29" s="1"/>
  <c r="N16" i="29"/>
  <c r="N7" i="29"/>
  <c r="O10" i="29"/>
  <c r="Q10" i="29" s="1"/>
  <c r="Q17" i="29"/>
  <c r="O13" i="29"/>
  <c r="O15" i="29"/>
  <c r="Q15" i="29" s="1"/>
  <c r="O135" i="29"/>
  <c r="Q135" i="29" s="1"/>
  <c r="N135" i="29"/>
  <c r="O6" i="29"/>
  <c r="Q6" i="29" s="1"/>
  <c r="N6" i="29"/>
  <c r="N39" i="29"/>
  <c r="O122" i="29"/>
  <c r="Q122" i="29" s="1"/>
  <c r="J122" i="29"/>
  <c r="J133" i="29"/>
  <c r="O133" i="29"/>
  <c r="Q133" i="29" s="1"/>
  <c r="R64" i="29"/>
  <c r="T64" i="29" s="1"/>
  <c r="R88" i="29"/>
  <c r="T88" i="29" s="1"/>
  <c r="O127" i="29"/>
  <c r="Q127" i="29" s="1"/>
  <c r="N127" i="29"/>
  <c r="J12" i="29"/>
  <c r="O141" i="29"/>
  <c r="Q141" i="29" s="1"/>
  <c r="L19" i="29"/>
  <c r="N19" i="29" s="1"/>
  <c r="N23" i="29"/>
  <c r="N25" i="29" s="1"/>
  <c r="O18" i="29"/>
  <c r="Q18" i="29" s="1"/>
  <c r="N18" i="29"/>
  <c r="R58" i="29"/>
  <c r="T58" i="29" s="1"/>
  <c r="R82" i="29"/>
  <c r="T82" i="29" s="1"/>
  <c r="O142" i="29"/>
  <c r="Q142" i="29" s="1"/>
  <c r="J142" i="29"/>
  <c r="J5" i="29"/>
  <c r="O38" i="29"/>
  <c r="J38" i="29"/>
  <c r="P19" i="29"/>
  <c r="N10" i="29"/>
  <c r="H19" i="29"/>
  <c r="L40" i="29"/>
  <c r="N38" i="29"/>
  <c r="Q5" i="29"/>
  <c r="J8" i="29"/>
  <c r="O8" i="29"/>
  <c r="Q8" i="29" s="1"/>
  <c r="Q13" i="29"/>
  <c r="I144" i="29"/>
  <c r="F146" i="29" s="1"/>
  <c r="J124" i="29"/>
  <c r="O11" i="29"/>
  <c r="Q11" i="29" s="1"/>
  <c r="J11" i="29"/>
  <c r="O14" i="29"/>
  <c r="Q14" i="29" s="1"/>
  <c r="J14" i="29"/>
  <c r="Q16" i="29"/>
  <c r="Q121" i="29"/>
  <c r="N129" i="29"/>
  <c r="O129" i="29"/>
  <c r="Q129" i="29" s="1"/>
  <c r="H34" i="29"/>
  <c r="Q12" i="29"/>
  <c r="J17" i="29"/>
  <c r="M144" i="29"/>
  <c r="F147" i="29" s="1"/>
  <c r="O24" i="29"/>
  <c r="Q24" i="29" s="1"/>
  <c r="J24" i="29"/>
  <c r="J29" i="29"/>
  <c r="N31" i="29"/>
  <c r="L143" i="29"/>
  <c r="O131" i="29"/>
  <c r="Q131" i="29" s="1"/>
  <c r="J131" i="29"/>
  <c r="N34" i="29"/>
  <c r="N46" i="29"/>
  <c r="N47" i="29" s="1"/>
  <c r="R51" i="29"/>
  <c r="Q53" i="29"/>
  <c r="R55" i="29"/>
  <c r="T55" i="29" s="1"/>
  <c r="R57" i="29"/>
  <c r="T57" i="29" s="1"/>
  <c r="Q59" i="29"/>
  <c r="R61" i="29"/>
  <c r="T61" i="29" s="1"/>
  <c r="R63" i="29"/>
  <c r="T63" i="29" s="1"/>
  <c r="Q65" i="29"/>
  <c r="R67" i="29"/>
  <c r="T67" i="29" s="1"/>
  <c r="R69" i="29"/>
  <c r="T69" i="29" s="1"/>
  <c r="Q71" i="29"/>
  <c r="R73" i="29"/>
  <c r="T73" i="29" s="1"/>
  <c r="R75" i="29"/>
  <c r="T75" i="29" s="1"/>
  <c r="Q77" i="29"/>
  <c r="R79" i="29"/>
  <c r="T79" i="29" s="1"/>
  <c r="R81" i="29"/>
  <c r="T81" i="29" s="1"/>
  <c r="Q83" i="29"/>
  <c r="R85" i="29"/>
  <c r="T85" i="29" s="1"/>
  <c r="R87" i="29"/>
  <c r="T87" i="29" s="1"/>
  <c r="Q89" i="29"/>
  <c r="R91" i="29"/>
  <c r="T91" i="29" s="1"/>
  <c r="R93" i="29"/>
  <c r="T93" i="29" s="1"/>
  <c r="Q95" i="29"/>
  <c r="R97" i="29"/>
  <c r="T97" i="29" s="1"/>
  <c r="R99" i="29"/>
  <c r="T99" i="29" s="1"/>
  <c r="Q101" i="29"/>
  <c r="R103" i="29"/>
  <c r="T103" i="29" s="1"/>
  <c r="R105" i="29"/>
  <c r="T105" i="29" s="1"/>
  <c r="Q107" i="29"/>
  <c r="R109" i="29"/>
  <c r="T109" i="29" s="1"/>
  <c r="R111" i="29"/>
  <c r="T111" i="29" s="1"/>
  <c r="Q113" i="29"/>
  <c r="R115" i="29"/>
  <c r="T115" i="29" s="1"/>
  <c r="N122" i="29"/>
  <c r="J136" i="29"/>
  <c r="O29" i="29"/>
  <c r="O46" i="29"/>
  <c r="O134" i="29"/>
  <c r="Q134" i="29" s="1"/>
  <c r="N140" i="29"/>
  <c r="H143" i="29"/>
  <c r="H25" i="29"/>
  <c r="O30" i="29"/>
  <c r="Q30" i="29" s="1"/>
  <c r="J30" i="29"/>
  <c r="H47" i="29"/>
  <c r="O123" i="29"/>
  <c r="Q123" i="29" s="1"/>
  <c r="N123" i="29"/>
  <c r="O9" i="29"/>
  <c r="Q9" i="29" s="1"/>
  <c r="J45" i="29"/>
  <c r="Q151" i="29"/>
  <c r="R145" i="29" s="1"/>
  <c r="Q152" i="29" s="1"/>
  <c r="O44" i="28"/>
  <c r="O39" i="28"/>
  <c r="Q6" i="28"/>
  <c r="O140" i="28"/>
  <c r="Q140" i="28" s="1"/>
  <c r="J128" i="28"/>
  <c r="J139" i="28"/>
  <c r="J127" i="28"/>
  <c r="O125" i="28"/>
  <c r="Q125" i="28" s="1"/>
  <c r="R77" i="28"/>
  <c r="T77" i="28" s="1"/>
  <c r="R80" i="28"/>
  <c r="T80" i="28" s="1"/>
  <c r="R83" i="28"/>
  <c r="T83" i="28" s="1"/>
  <c r="R86" i="28"/>
  <c r="T86" i="28" s="1"/>
  <c r="R55" i="28"/>
  <c r="T55" i="28" s="1"/>
  <c r="R58" i="28"/>
  <c r="T58" i="28" s="1"/>
  <c r="R61" i="28"/>
  <c r="T61" i="28" s="1"/>
  <c r="R74" i="28"/>
  <c r="T74" i="28" s="1"/>
  <c r="Q68" i="28"/>
  <c r="Q110" i="28"/>
  <c r="R113" i="28"/>
  <c r="T113" i="28" s="1"/>
  <c r="R116" i="28"/>
  <c r="T116" i="28" s="1"/>
  <c r="R71" i="28"/>
  <c r="T71" i="28" s="1"/>
  <c r="R89" i="28"/>
  <c r="T89" i="28" s="1"/>
  <c r="R92" i="28"/>
  <c r="T92" i="28" s="1"/>
  <c r="R98" i="28"/>
  <c r="T98" i="28" s="1"/>
  <c r="R101" i="28"/>
  <c r="T101" i="28" s="1"/>
  <c r="R104" i="28"/>
  <c r="R56" i="28"/>
  <c r="T56" i="28" s="1"/>
  <c r="R59" i="28"/>
  <c r="T59" i="28" s="1"/>
  <c r="R73" i="28"/>
  <c r="T73" i="28" s="1"/>
  <c r="R95" i="28"/>
  <c r="T95" i="28" s="1"/>
  <c r="R107" i="28"/>
  <c r="O30" i="28"/>
  <c r="Q30" i="28" s="1"/>
  <c r="O29" i="28"/>
  <c r="Q29" i="28" s="1"/>
  <c r="O7" i="28"/>
  <c r="Q7" i="28" s="1"/>
  <c r="Q139" i="28"/>
  <c r="Q151" i="28"/>
  <c r="O132" i="28"/>
  <c r="Q132" i="28" s="1"/>
  <c r="O136" i="28"/>
  <c r="Q136" i="28" s="1"/>
  <c r="O124" i="28"/>
  <c r="Q124" i="28" s="1"/>
  <c r="J136" i="28"/>
  <c r="O134" i="28"/>
  <c r="Q134" i="28" s="1"/>
  <c r="O137" i="28"/>
  <c r="Q137" i="28" s="1"/>
  <c r="O122" i="28"/>
  <c r="Q122" i="28" s="1"/>
  <c r="N125" i="28"/>
  <c r="N137" i="28"/>
  <c r="O135" i="28"/>
  <c r="Q135" i="28" s="1"/>
  <c r="H143" i="28"/>
  <c r="O126" i="28"/>
  <c r="Q126" i="28" s="1"/>
  <c r="O138" i="28"/>
  <c r="Q138" i="28" s="1"/>
  <c r="T79" i="28"/>
  <c r="T88" i="28"/>
  <c r="T76" i="28"/>
  <c r="T82" i="28"/>
  <c r="T104" i="28"/>
  <c r="T107" i="28"/>
  <c r="T91" i="28"/>
  <c r="T68" i="28"/>
  <c r="T110" i="28"/>
  <c r="K58" i="28"/>
  <c r="Q83" i="28"/>
  <c r="Q104" i="28"/>
  <c r="Q62" i="28"/>
  <c r="Q56" i="28"/>
  <c r="Q77" i="28"/>
  <c r="Q98" i="28"/>
  <c r="Q113" i="28"/>
  <c r="Q71" i="28"/>
  <c r="Q92" i="28"/>
  <c r="Q107" i="28"/>
  <c r="Q65" i="28"/>
  <c r="Q86" i="28"/>
  <c r="Q80" i="28"/>
  <c r="Q101" i="28"/>
  <c r="M117" i="28"/>
  <c r="Q117" i="28" s="1"/>
  <c r="Q59" i="28"/>
  <c r="R85" i="28"/>
  <c r="T85" i="28" s="1"/>
  <c r="Q116" i="28"/>
  <c r="R64" i="28"/>
  <c r="T64" i="28" s="1"/>
  <c r="K85" i="28"/>
  <c r="O47" i="28"/>
  <c r="L47" i="28"/>
  <c r="P40" i="28"/>
  <c r="Q149" i="28" s="1"/>
  <c r="H40" i="28"/>
  <c r="J39" i="28"/>
  <c r="M144" i="28"/>
  <c r="F147" i="28" s="1"/>
  <c r="J29" i="28"/>
  <c r="O31" i="28"/>
  <c r="Q31" i="28" s="1"/>
  <c r="H34" i="28"/>
  <c r="O33" i="28"/>
  <c r="Q33" i="28" s="1"/>
  <c r="P25" i="28"/>
  <c r="Q153" i="28" s="1"/>
  <c r="L25" i="28"/>
  <c r="N23" i="28"/>
  <c r="N25" i="28" s="1"/>
  <c r="I144" i="28"/>
  <c r="F146" i="28" s="1"/>
  <c r="Q13" i="28"/>
  <c r="J13" i="28"/>
  <c r="L19" i="28"/>
  <c r="N19" i="28" s="1"/>
  <c r="O16" i="28"/>
  <c r="O5" i="28"/>
  <c r="Q5" i="28" s="1"/>
  <c r="J12" i="28"/>
  <c r="Q9" i="28"/>
  <c r="O14" i="28"/>
  <c r="Q14" i="28" s="1"/>
  <c r="O17" i="28"/>
  <c r="Q17" i="28" s="1"/>
  <c r="O10" i="28"/>
  <c r="Q10" i="28" s="1"/>
  <c r="K51" i="28"/>
  <c r="R51" i="28"/>
  <c r="K87" i="28"/>
  <c r="R87" i="28"/>
  <c r="T87" i="28" s="1"/>
  <c r="N122" i="28"/>
  <c r="K91" i="28"/>
  <c r="K99" i="28"/>
  <c r="R99" i="28"/>
  <c r="T99" i="28" s="1"/>
  <c r="K105" i="28"/>
  <c r="R105" i="28"/>
  <c r="T105" i="28" s="1"/>
  <c r="R109" i="28"/>
  <c r="T109" i="28" s="1"/>
  <c r="K109" i="28"/>
  <c r="K111" i="28"/>
  <c r="R111" i="28"/>
  <c r="T111" i="28" s="1"/>
  <c r="H117" i="28"/>
  <c r="L40" i="28"/>
  <c r="O38" i="28"/>
  <c r="K76" i="28"/>
  <c r="Q12" i="28"/>
  <c r="N30" i="28"/>
  <c r="N34" i="28" s="1"/>
  <c r="Q34" i="28" s="1"/>
  <c r="N38" i="28"/>
  <c r="N40" i="28" s="1"/>
  <c r="J46" i="28"/>
  <c r="K61" i="28"/>
  <c r="K63" i="28"/>
  <c r="R63" i="28"/>
  <c r="T63" i="28" s="1"/>
  <c r="O8" i="28"/>
  <c r="Q8" i="28" s="1"/>
  <c r="J8" i="28"/>
  <c r="K82" i="28"/>
  <c r="K84" i="28"/>
  <c r="R84" i="28"/>
  <c r="T84" i="28" s="1"/>
  <c r="O131" i="28"/>
  <c r="Q131" i="28" s="1"/>
  <c r="J131" i="28"/>
  <c r="N134" i="28"/>
  <c r="Q46" i="28"/>
  <c r="K67" i="28"/>
  <c r="K69" i="28"/>
  <c r="R69" i="28"/>
  <c r="T69" i="28" s="1"/>
  <c r="P19" i="28"/>
  <c r="O11" i="28"/>
  <c r="Q11" i="28" s="1"/>
  <c r="J11" i="28"/>
  <c r="P47" i="28"/>
  <c r="K52" i="28"/>
  <c r="K54" i="28"/>
  <c r="R54" i="28"/>
  <c r="T54" i="28" s="1"/>
  <c r="K88" i="28"/>
  <c r="K90" i="28"/>
  <c r="R90" i="28"/>
  <c r="T90" i="28" s="1"/>
  <c r="O18" i="28"/>
  <c r="Q18" i="28" s="1"/>
  <c r="N44" i="28"/>
  <c r="N47" i="28" s="1"/>
  <c r="K73" i="28"/>
  <c r="K75" i="28"/>
  <c r="R75" i="28"/>
  <c r="T75" i="28" s="1"/>
  <c r="R94" i="28"/>
  <c r="T94" i="28" s="1"/>
  <c r="K94" i="28"/>
  <c r="K96" i="28"/>
  <c r="R96" i="28"/>
  <c r="T96" i="28" s="1"/>
  <c r="R100" i="28"/>
  <c r="T100" i="28" s="1"/>
  <c r="K100" i="28"/>
  <c r="K102" i="28"/>
  <c r="R102" i="28"/>
  <c r="T102" i="28" s="1"/>
  <c r="R106" i="28"/>
  <c r="T106" i="28" s="1"/>
  <c r="K106" i="28"/>
  <c r="K108" i="28"/>
  <c r="R108" i="28"/>
  <c r="T108" i="28" s="1"/>
  <c r="R112" i="28"/>
  <c r="T112" i="28" s="1"/>
  <c r="K112" i="28"/>
  <c r="K114" i="28"/>
  <c r="R114" i="28"/>
  <c r="T114" i="28" s="1"/>
  <c r="O121" i="28"/>
  <c r="J124" i="28"/>
  <c r="J32" i="28"/>
  <c r="Q39" i="28"/>
  <c r="K70" i="28"/>
  <c r="K72" i="28"/>
  <c r="R72" i="28"/>
  <c r="T72" i="28" s="1"/>
  <c r="N7" i="28"/>
  <c r="N14" i="28"/>
  <c r="Q16" i="28"/>
  <c r="O117" i="28"/>
  <c r="K55" i="28"/>
  <c r="K57" i="28"/>
  <c r="R57" i="28"/>
  <c r="T57" i="28" s="1"/>
  <c r="K93" i="28"/>
  <c r="R93" i="28"/>
  <c r="T93" i="28" s="1"/>
  <c r="R97" i="28"/>
  <c r="T97" i="28" s="1"/>
  <c r="K97" i="28"/>
  <c r="R103" i="28"/>
  <c r="T103" i="28" s="1"/>
  <c r="K103" i="28"/>
  <c r="R115" i="28"/>
  <c r="T115" i="28" s="1"/>
  <c r="K115" i="28"/>
  <c r="O141" i="28"/>
  <c r="Q141" i="28" s="1"/>
  <c r="N141" i="28"/>
  <c r="O32" i="28"/>
  <c r="K78" i="28"/>
  <c r="R78" i="28"/>
  <c r="T78" i="28" s="1"/>
  <c r="O123" i="28"/>
  <c r="Q123" i="28" s="1"/>
  <c r="J123" i="28"/>
  <c r="Q44" i="28"/>
  <c r="K60" i="28"/>
  <c r="R60" i="28"/>
  <c r="T60" i="28" s="1"/>
  <c r="N121" i="28"/>
  <c r="L143" i="28"/>
  <c r="J9" i="28"/>
  <c r="H47" i="28"/>
  <c r="K79" i="28"/>
  <c r="K81" i="28"/>
  <c r="R81" i="28"/>
  <c r="T81" i="28" s="1"/>
  <c r="P143" i="28"/>
  <c r="O129" i="28"/>
  <c r="Q129" i="28" s="1"/>
  <c r="N129" i="28"/>
  <c r="H25" i="28"/>
  <c r="O24" i="28"/>
  <c r="Q24" i="28" s="1"/>
  <c r="J24" i="28"/>
  <c r="Q148" i="28"/>
  <c r="L34" i="28"/>
  <c r="K64" i="28"/>
  <c r="K66" i="28"/>
  <c r="R66" i="28"/>
  <c r="T66" i="28" s="1"/>
  <c r="H19" i="28"/>
  <c r="O130" i="28"/>
  <c r="Q130" i="28" s="1"/>
  <c r="O23" i="28"/>
  <c r="Q23" i="28" s="1"/>
  <c r="J44" i="28"/>
  <c r="J126" i="28"/>
  <c r="J138" i="28"/>
  <c r="J6" i="28"/>
  <c r="J18" i="28"/>
  <c r="J121" i="28"/>
  <c r="J133" i="28"/>
  <c r="J135" i="28"/>
  <c r="J45" i="28"/>
  <c r="J142" i="28"/>
  <c r="M47" i="27"/>
  <c r="P47" i="27"/>
  <c r="N44" i="27"/>
  <c r="P25" i="27"/>
  <c r="Q153" i="27" s="1"/>
  <c r="Q151" i="27"/>
  <c r="M144" i="27"/>
  <c r="F147" i="27" s="1"/>
  <c r="S117" i="27"/>
  <c r="Q146" i="27" s="1"/>
  <c r="P40" i="27"/>
  <c r="Q149" i="27" s="1"/>
  <c r="O30" i="27"/>
  <c r="O7" i="27"/>
  <c r="Q7" i="27" s="1"/>
  <c r="R114" i="27"/>
  <c r="T114" i="27" s="1"/>
  <c r="R105" i="27"/>
  <c r="T105" i="27" s="1"/>
  <c r="T84" i="27"/>
  <c r="R78" i="27"/>
  <c r="T78" i="27" s="1"/>
  <c r="Q30" i="27"/>
  <c r="O24" i="27"/>
  <c r="Q24" i="27" s="1"/>
  <c r="O17" i="27"/>
  <c r="Q17" i="27" s="1"/>
  <c r="Q10" i="27"/>
  <c r="I144" i="27"/>
  <c r="F146" i="27" s="1"/>
  <c r="Q72" i="27"/>
  <c r="Q78" i="27"/>
  <c r="Q84" i="27"/>
  <c r="R91" i="27"/>
  <c r="T91" i="27" s="1"/>
  <c r="R81" i="27"/>
  <c r="T81" i="27" s="1"/>
  <c r="R90" i="27"/>
  <c r="R63" i="27"/>
  <c r="T63" i="27" s="1"/>
  <c r="R69" i="27"/>
  <c r="T69" i="27" s="1"/>
  <c r="R93" i="27"/>
  <c r="T93" i="27" s="1"/>
  <c r="R66" i="27"/>
  <c r="T66" i="27" s="1"/>
  <c r="R96" i="27"/>
  <c r="T96" i="27" s="1"/>
  <c r="R57" i="27"/>
  <c r="T57" i="27" s="1"/>
  <c r="R99" i="27"/>
  <c r="T99" i="27" s="1"/>
  <c r="T58" i="27"/>
  <c r="T61" i="27"/>
  <c r="T64" i="27"/>
  <c r="T94" i="27"/>
  <c r="T67" i="27"/>
  <c r="T75" i="27"/>
  <c r="T70" i="27"/>
  <c r="T72" i="27"/>
  <c r="T111" i="27"/>
  <c r="O46" i="27"/>
  <c r="Q46" i="27" s="1"/>
  <c r="H47" i="27"/>
  <c r="O31" i="27"/>
  <c r="Q31" i="27" s="1"/>
  <c r="O13" i="27"/>
  <c r="O137" i="27"/>
  <c r="Q137" i="27" s="1"/>
  <c r="O138" i="27"/>
  <c r="Q138" i="27" s="1"/>
  <c r="O123" i="27"/>
  <c r="Q123" i="27" s="1"/>
  <c r="O131" i="27"/>
  <c r="Q131" i="27" s="1"/>
  <c r="O130" i="27"/>
  <c r="Q130" i="27" s="1"/>
  <c r="O135" i="27"/>
  <c r="Q135" i="27" s="1"/>
  <c r="O124" i="27"/>
  <c r="O136" i="27"/>
  <c r="Q136" i="27" s="1"/>
  <c r="O140" i="27"/>
  <c r="Q140" i="27" s="1"/>
  <c r="P143" i="27"/>
  <c r="R145" i="27" s="1"/>
  <c r="Q152" i="27" s="1"/>
  <c r="Q124" i="27"/>
  <c r="N130" i="27"/>
  <c r="N138" i="27"/>
  <c r="J125" i="27"/>
  <c r="O133" i="27"/>
  <c r="Q133" i="27" s="1"/>
  <c r="J141" i="27"/>
  <c r="N133" i="27"/>
  <c r="J123" i="27"/>
  <c r="O128" i="27"/>
  <c r="Q128" i="27" s="1"/>
  <c r="J137" i="27"/>
  <c r="O121" i="27"/>
  <c r="Q121" i="27" s="1"/>
  <c r="J140" i="27"/>
  <c r="N121" i="27"/>
  <c r="O126" i="27"/>
  <c r="Q126" i="27" s="1"/>
  <c r="O132" i="27"/>
  <c r="Q132" i="27" s="1"/>
  <c r="R60" i="27"/>
  <c r="T60" i="27" s="1"/>
  <c r="Q60" i="27"/>
  <c r="R87" i="27"/>
  <c r="T87" i="27" s="1"/>
  <c r="Q87" i="27"/>
  <c r="Q66" i="27"/>
  <c r="Q114" i="27"/>
  <c r="R108" i="27"/>
  <c r="T108" i="27" s="1"/>
  <c r="Q108" i="27"/>
  <c r="R54" i="27"/>
  <c r="T54" i="27" s="1"/>
  <c r="Q54" i="27"/>
  <c r="R102" i="27"/>
  <c r="T102" i="27" s="1"/>
  <c r="Q81" i="27"/>
  <c r="Q102" i="27"/>
  <c r="H117" i="27"/>
  <c r="Q75" i="27"/>
  <c r="K51" i="27"/>
  <c r="Q69" i="27"/>
  <c r="Q96" i="27"/>
  <c r="Q63" i="27"/>
  <c r="Q111" i="27"/>
  <c r="Q57" i="27"/>
  <c r="Q90" i="27"/>
  <c r="R76" i="27"/>
  <c r="T76" i="27" s="1"/>
  <c r="R97" i="27"/>
  <c r="T97" i="27" s="1"/>
  <c r="N47" i="27"/>
  <c r="J45" i="27"/>
  <c r="L47" i="27"/>
  <c r="Q45" i="27"/>
  <c r="O38" i="27"/>
  <c r="Q38" i="27" s="1"/>
  <c r="H40" i="27"/>
  <c r="J39" i="27"/>
  <c r="O29" i="27"/>
  <c r="Q29" i="27" s="1"/>
  <c r="O32" i="27"/>
  <c r="Q32" i="27" s="1"/>
  <c r="J24" i="27"/>
  <c r="H25" i="27"/>
  <c r="P19" i="27"/>
  <c r="Q147" i="27" s="1"/>
  <c r="Q5" i="27"/>
  <c r="O14" i="27"/>
  <c r="Q14" i="27" s="1"/>
  <c r="J5" i="27"/>
  <c r="J8" i="27"/>
  <c r="J13" i="27"/>
  <c r="O15" i="27"/>
  <c r="Q15" i="27" s="1"/>
  <c r="J10" i="27"/>
  <c r="O18" i="27"/>
  <c r="Q18" i="27" s="1"/>
  <c r="L19" i="27"/>
  <c r="N19" i="27" s="1"/>
  <c r="J11" i="27"/>
  <c r="O16" i="27"/>
  <c r="Q16" i="27" s="1"/>
  <c r="N9" i="27"/>
  <c r="O6" i="27"/>
  <c r="Q6" i="27" s="1"/>
  <c r="J17" i="27"/>
  <c r="O23" i="27"/>
  <c r="Q56" i="27"/>
  <c r="R56" i="27"/>
  <c r="T56" i="27" s="1"/>
  <c r="Q62" i="27"/>
  <c r="R62" i="27"/>
  <c r="T62" i="27" s="1"/>
  <c r="R68" i="27"/>
  <c r="T68" i="27" s="1"/>
  <c r="Q68" i="27"/>
  <c r="Q74" i="27"/>
  <c r="R74" i="27"/>
  <c r="T74" i="27" s="1"/>
  <c r="Q80" i="27"/>
  <c r="R80" i="27"/>
  <c r="T80" i="27" s="1"/>
  <c r="T90" i="27"/>
  <c r="R101" i="27"/>
  <c r="T101" i="27" s="1"/>
  <c r="Q101" i="27"/>
  <c r="J134" i="27"/>
  <c r="O12" i="27"/>
  <c r="Q12" i="27" s="1"/>
  <c r="J12" i="27"/>
  <c r="Q86" i="27"/>
  <c r="R86" i="27"/>
  <c r="T86" i="27" s="1"/>
  <c r="Q116" i="27"/>
  <c r="R116" i="27"/>
  <c r="T116" i="27" s="1"/>
  <c r="O129" i="27"/>
  <c r="Q129" i="27" s="1"/>
  <c r="J129" i="27"/>
  <c r="H34" i="27"/>
  <c r="O33" i="27"/>
  <c r="Q33" i="27" s="1"/>
  <c r="Q107" i="27"/>
  <c r="R107" i="27"/>
  <c r="T107" i="27" s="1"/>
  <c r="J33" i="27"/>
  <c r="Q150" i="27"/>
  <c r="L25" i="27"/>
  <c r="N23" i="27"/>
  <c r="N25" i="27" s="1"/>
  <c r="L40" i="27"/>
  <c r="O39" i="27"/>
  <c r="Q95" i="27"/>
  <c r="R95" i="27"/>
  <c r="T95" i="27" s="1"/>
  <c r="N31" i="27"/>
  <c r="O122" i="27"/>
  <c r="Q122" i="27" s="1"/>
  <c r="H143" i="27"/>
  <c r="N15" i="27"/>
  <c r="Q89" i="27"/>
  <c r="R89" i="27"/>
  <c r="T89" i="27" s="1"/>
  <c r="J122" i="27"/>
  <c r="N132" i="27"/>
  <c r="L34" i="27"/>
  <c r="N39" i="27"/>
  <c r="N40" i="27" s="1"/>
  <c r="Q40" i="27" s="1"/>
  <c r="Q110" i="27"/>
  <c r="R110" i="27"/>
  <c r="T110" i="27" s="1"/>
  <c r="M117" i="27"/>
  <c r="Q117" i="27" s="1"/>
  <c r="R104" i="27"/>
  <c r="T104" i="27" s="1"/>
  <c r="Q104" i="27"/>
  <c r="N139" i="27"/>
  <c r="O139" i="27"/>
  <c r="Q139" i="27" s="1"/>
  <c r="P34" i="27"/>
  <c r="O117" i="27"/>
  <c r="Q53" i="27"/>
  <c r="R53" i="27"/>
  <c r="T53" i="27" s="1"/>
  <c r="R59" i="27"/>
  <c r="T59" i="27" s="1"/>
  <c r="Q59" i="27"/>
  <c r="Q65" i="27"/>
  <c r="R65" i="27"/>
  <c r="T65" i="27" s="1"/>
  <c r="R71" i="27"/>
  <c r="T71" i="27" s="1"/>
  <c r="Q71" i="27"/>
  <c r="Q77" i="27"/>
  <c r="R77" i="27"/>
  <c r="T77" i="27" s="1"/>
  <c r="Q83" i="27"/>
  <c r="R83" i="27"/>
  <c r="T83" i="27" s="1"/>
  <c r="O127" i="27"/>
  <c r="Q127" i="27" s="1"/>
  <c r="N127" i="27"/>
  <c r="Q8" i="27"/>
  <c r="Q13" i="27"/>
  <c r="Q98" i="27"/>
  <c r="R98" i="27"/>
  <c r="T98" i="27" s="1"/>
  <c r="Q113" i="27"/>
  <c r="R113" i="27"/>
  <c r="T113" i="27" s="1"/>
  <c r="O44" i="27"/>
  <c r="J44" i="27"/>
  <c r="Q92" i="27"/>
  <c r="R92" i="27"/>
  <c r="T92" i="27" s="1"/>
  <c r="J136" i="27"/>
  <c r="J7" i="27"/>
  <c r="K52" i="27"/>
  <c r="K55" i="27"/>
  <c r="K58" i="27"/>
  <c r="K61" i="27"/>
  <c r="K64" i="27"/>
  <c r="K67" i="27"/>
  <c r="K70" i="27"/>
  <c r="K73" i="27"/>
  <c r="K76" i="27"/>
  <c r="K79" i="27"/>
  <c r="K82" i="27"/>
  <c r="K85" i="27"/>
  <c r="K88" i="27"/>
  <c r="K91" i="27"/>
  <c r="K94" i="27"/>
  <c r="K97" i="27"/>
  <c r="K100" i="27"/>
  <c r="K103" i="27"/>
  <c r="K106" i="27"/>
  <c r="K109" i="27"/>
  <c r="K112" i="27"/>
  <c r="K115" i="27"/>
  <c r="J131" i="27"/>
  <c r="L143" i="27"/>
  <c r="J124" i="27"/>
  <c r="H19" i="27"/>
  <c r="N16" i="27"/>
  <c r="N32" i="27"/>
  <c r="N128" i="27"/>
  <c r="J142" i="27"/>
  <c r="R114" i="26"/>
  <c r="T114" i="26" s="1"/>
  <c r="Q66" i="26"/>
  <c r="Q60" i="26"/>
  <c r="L40" i="26"/>
  <c r="P34" i="26"/>
  <c r="Q148" i="26" s="1"/>
  <c r="O132" i="26"/>
  <c r="Q132" i="26" s="1"/>
  <c r="T103" i="26"/>
  <c r="T96" i="26"/>
  <c r="R84" i="26"/>
  <c r="T84" i="26" s="1"/>
  <c r="T76" i="26"/>
  <c r="T68" i="26"/>
  <c r="Q56" i="26"/>
  <c r="T56" i="26"/>
  <c r="M144" i="26"/>
  <c r="F147" i="26" s="1"/>
  <c r="P25" i="26"/>
  <c r="Q153" i="26" s="1"/>
  <c r="O25" i="26"/>
  <c r="Q102" i="26"/>
  <c r="Q96" i="26"/>
  <c r="Q113" i="26"/>
  <c r="Q111" i="26"/>
  <c r="Q107" i="26"/>
  <c r="Q105" i="26"/>
  <c r="Q101" i="26"/>
  <c r="Q99" i="26"/>
  <c r="Q95" i="26"/>
  <c r="Q89" i="26"/>
  <c r="Q93" i="26"/>
  <c r="R81" i="26"/>
  <c r="T81" i="26" s="1"/>
  <c r="R87" i="26"/>
  <c r="T87" i="26" s="1"/>
  <c r="Q90" i="26"/>
  <c r="Q83" i="26"/>
  <c r="R51" i="26"/>
  <c r="T51" i="26" s="1"/>
  <c r="R72" i="26"/>
  <c r="T72" i="26" s="1"/>
  <c r="R74" i="26"/>
  <c r="T74" i="26" s="1"/>
  <c r="R78" i="26"/>
  <c r="T78" i="26" s="1"/>
  <c r="Q75" i="26"/>
  <c r="Q63" i="26"/>
  <c r="Q65" i="26"/>
  <c r="Q69" i="26"/>
  <c r="Q57" i="26"/>
  <c r="N45" i="26"/>
  <c r="N47" i="26" s="1"/>
  <c r="N29" i="26"/>
  <c r="O32" i="26"/>
  <c r="Q32" i="26" s="1"/>
  <c r="N25" i="26"/>
  <c r="O7" i="26"/>
  <c r="O11" i="26"/>
  <c r="O8" i="26"/>
  <c r="Q8" i="26" s="1"/>
  <c r="O16" i="26"/>
  <c r="Q16" i="26" s="1"/>
  <c r="O13" i="26"/>
  <c r="Q11" i="26"/>
  <c r="Q10" i="26"/>
  <c r="O18" i="26"/>
  <c r="Q18" i="26" s="1"/>
  <c r="N8" i="26"/>
  <c r="J11" i="26"/>
  <c r="Q13" i="26"/>
  <c r="O6" i="26"/>
  <c r="Q6" i="26" s="1"/>
  <c r="O15" i="26"/>
  <c r="Q15" i="26" s="1"/>
  <c r="O5" i="26"/>
  <c r="O10" i="26"/>
  <c r="O130" i="26"/>
  <c r="Q130" i="26" s="1"/>
  <c r="Q124" i="26"/>
  <c r="H143" i="26"/>
  <c r="N15" i="26"/>
  <c r="J23" i="26"/>
  <c r="N127" i="26"/>
  <c r="Q53" i="26"/>
  <c r="Q62" i="26"/>
  <c r="Q80" i="26"/>
  <c r="L25" i="26"/>
  <c r="J44" i="26"/>
  <c r="R55" i="26"/>
  <c r="T55" i="26" s="1"/>
  <c r="R64" i="26"/>
  <c r="T64" i="26" s="1"/>
  <c r="J7" i="26"/>
  <c r="L47" i="26"/>
  <c r="L19" i="26"/>
  <c r="N19" i="26" s="1"/>
  <c r="N31" i="26"/>
  <c r="Q33" i="26"/>
  <c r="Q59" i="26"/>
  <c r="Q68" i="26"/>
  <c r="Q77" i="26"/>
  <c r="R100" i="26"/>
  <c r="T100" i="26" s="1"/>
  <c r="R106" i="26"/>
  <c r="T106" i="26" s="1"/>
  <c r="R112" i="26"/>
  <c r="T112" i="26" s="1"/>
  <c r="O131" i="26"/>
  <c r="Q131" i="26" s="1"/>
  <c r="J131" i="26"/>
  <c r="Q7" i="26"/>
  <c r="J14" i="26"/>
  <c r="O14" i="26"/>
  <c r="Q14" i="26" s="1"/>
  <c r="L34" i="26"/>
  <c r="N39" i="26"/>
  <c r="R52" i="26"/>
  <c r="R61" i="26"/>
  <c r="T61" i="26" s="1"/>
  <c r="R70" i="26"/>
  <c r="T70" i="26" s="1"/>
  <c r="R79" i="26"/>
  <c r="T79" i="26" s="1"/>
  <c r="Q92" i="26"/>
  <c r="Q98" i="26"/>
  <c r="Q104" i="26"/>
  <c r="Q110" i="26"/>
  <c r="Q116" i="26"/>
  <c r="P143" i="26"/>
  <c r="R145" i="26" s="1"/>
  <c r="Q152" i="26" s="1"/>
  <c r="J134" i="26"/>
  <c r="J136" i="26"/>
  <c r="O117" i="26"/>
  <c r="H25" i="26"/>
  <c r="O38" i="26"/>
  <c r="J38" i="26"/>
  <c r="H40" i="26"/>
  <c r="R71" i="26"/>
  <c r="T71" i="26" s="1"/>
  <c r="O138" i="26"/>
  <c r="Q138" i="26" s="1"/>
  <c r="J138" i="26"/>
  <c r="O12" i="26"/>
  <c r="Q12" i="26" s="1"/>
  <c r="H19" i="26"/>
  <c r="Q31" i="26"/>
  <c r="O122" i="26"/>
  <c r="Q122" i="26" s="1"/>
  <c r="J141" i="26"/>
  <c r="J30" i="26"/>
  <c r="H34" i="26"/>
  <c r="O30" i="26"/>
  <c r="H47" i="26"/>
  <c r="O46" i="26"/>
  <c r="Q46" i="26" s="1"/>
  <c r="J46" i="26"/>
  <c r="J33" i="26"/>
  <c r="R73" i="26"/>
  <c r="T73" i="26" s="1"/>
  <c r="R82" i="26"/>
  <c r="T82" i="26" s="1"/>
  <c r="Q121" i="26"/>
  <c r="R88" i="26"/>
  <c r="T88" i="26" s="1"/>
  <c r="J5" i="26"/>
  <c r="Q86" i="26"/>
  <c r="R94" i="26"/>
  <c r="T94" i="26" s="1"/>
  <c r="P19" i="26"/>
  <c r="J12" i="26"/>
  <c r="O17" i="26"/>
  <c r="Q17" i="26" s="1"/>
  <c r="I144" i="26"/>
  <c r="F146" i="26" s="1"/>
  <c r="Q39" i="26"/>
  <c r="H117" i="26"/>
  <c r="J122" i="26"/>
  <c r="J124" i="26"/>
  <c r="O129" i="26"/>
  <c r="Q129" i="26" s="1"/>
  <c r="L143" i="26"/>
  <c r="Q150" i="26"/>
  <c r="M117" i="26"/>
  <c r="Q117" i="26" s="1"/>
  <c r="N122" i="26"/>
  <c r="J126" i="26"/>
  <c r="N7" i="26"/>
  <c r="Q23" i="26"/>
  <c r="J121" i="26"/>
  <c r="J133" i="26"/>
  <c r="Q5" i="26"/>
  <c r="N38" i="26"/>
  <c r="Q52" i="26"/>
  <c r="Q55" i="26"/>
  <c r="Q58" i="26"/>
  <c r="Q61" i="26"/>
  <c r="Q64" i="26"/>
  <c r="Q67" i="26"/>
  <c r="Q70" i="26"/>
  <c r="Q73" i="26"/>
  <c r="Q76" i="26"/>
  <c r="Q79" i="26"/>
  <c r="Q82" i="26"/>
  <c r="Q85" i="26"/>
  <c r="Q88" i="26"/>
  <c r="Q91" i="26"/>
  <c r="Q94" i="26"/>
  <c r="Q97" i="26"/>
  <c r="Q100" i="26"/>
  <c r="Q103" i="26"/>
  <c r="Q106" i="26"/>
  <c r="Q109" i="26"/>
  <c r="Q112" i="26"/>
  <c r="Q115" i="26"/>
  <c r="J9" i="26"/>
  <c r="O130" i="25"/>
  <c r="Q130" i="25" s="1"/>
  <c r="O121" i="25"/>
  <c r="Q121" i="25" s="1"/>
  <c r="Q148" i="25"/>
  <c r="R85" i="25"/>
  <c r="T85" i="25" s="1"/>
  <c r="K85" i="25"/>
  <c r="J15" i="25"/>
  <c r="H25" i="25"/>
  <c r="Q45" i="25"/>
  <c r="N137" i="25"/>
  <c r="Q8" i="25"/>
  <c r="J23" i="25"/>
  <c r="O33" i="25"/>
  <c r="Q33" i="25" s="1"/>
  <c r="Q53" i="25"/>
  <c r="Q59" i="25"/>
  <c r="Q65" i="25"/>
  <c r="Q71" i="25"/>
  <c r="Q77" i="25"/>
  <c r="Q83" i="25"/>
  <c r="Q89" i="25"/>
  <c r="Q95" i="25"/>
  <c r="Q101" i="25"/>
  <c r="Q107" i="25"/>
  <c r="Q113" i="25"/>
  <c r="M144" i="25"/>
  <c r="F147" i="25" s="1"/>
  <c r="J33" i="25"/>
  <c r="Q44" i="25"/>
  <c r="O47" i="25"/>
  <c r="Q47" i="25" s="1"/>
  <c r="H143" i="25"/>
  <c r="R67" i="25"/>
  <c r="T67" i="25" s="1"/>
  <c r="K67" i="25"/>
  <c r="R115" i="25"/>
  <c r="T115" i="25" s="1"/>
  <c r="K115" i="25"/>
  <c r="Q15" i="25"/>
  <c r="J39" i="25"/>
  <c r="L34" i="25"/>
  <c r="R58" i="25"/>
  <c r="T58" i="25" s="1"/>
  <c r="K58" i="25"/>
  <c r="R68" i="25"/>
  <c r="T68" i="25" s="1"/>
  <c r="R70" i="25"/>
  <c r="T70" i="25" s="1"/>
  <c r="K70" i="25"/>
  <c r="R80" i="25"/>
  <c r="T80" i="25" s="1"/>
  <c r="R92" i="25"/>
  <c r="T92" i="25" s="1"/>
  <c r="R100" i="25"/>
  <c r="T100" i="25" s="1"/>
  <c r="K100" i="25"/>
  <c r="R110" i="25"/>
  <c r="T110" i="25" s="1"/>
  <c r="L19" i="25"/>
  <c r="N19" i="25" s="1"/>
  <c r="N29" i="25"/>
  <c r="N39" i="25"/>
  <c r="N40" i="25" s="1"/>
  <c r="Q40" i="25" s="1"/>
  <c r="J136" i="25"/>
  <c r="O136" i="25"/>
  <c r="Q136" i="25" s="1"/>
  <c r="J141" i="25"/>
  <c r="M117" i="25"/>
  <c r="Q117" i="25" s="1"/>
  <c r="R103" i="25"/>
  <c r="T103" i="25" s="1"/>
  <c r="K103" i="25"/>
  <c r="N122" i="25"/>
  <c r="L143" i="25"/>
  <c r="Q6" i="25"/>
  <c r="Q23" i="25"/>
  <c r="O7" i="25"/>
  <c r="Q7" i="25" s="1"/>
  <c r="J7" i="25"/>
  <c r="R56" i="25"/>
  <c r="T56" i="25" s="1"/>
  <c r="R64" i="25"/>
  <c r="T64" i="25" s="1"/>
  <c r="K64" i="25"/>
  <c r="R76" i="25"/>
  <c r="T76" i="25" s="1"/>
  <c r="K76" i="25"/>
  <c r="R86" i="25"/>
  <c r="T86" i="25" s="1"/>
  <c r="R98" i="25"/>
  <c r="T98" i="25" s="1"/>
  <c r="R104" i="25"/>
  <c r="T104" i="25" s="1"/>
  <c r="R106" i="25"/>
  <c r="T106" i="25" s="1"/>
  <c r="K106" i="25"/>
  <c r="R112" i="25"/>
  <c r="T112" i="25" s="1"/>
  <c r="K112" i="25"/>
  <c r="R116" i="25"/>
  <c r="T116" i="25" s="1"/>
  <c r="O29" i="25"/>
  <c r="Q31" i="25"/>
  <c r="Q56" i="25"/>
  <c r="Q68" i="25"/>
  <c r="Q80" i="25"/>
  <c r="Q86" i="25"/>
  <c r="Q92" i="25"/>
  <c r="Q98" i="25"/>
  <c r="Q104" i="25"/>
  <c r="Q110" i="25"/>
  <c r="Q116" i="25"/>
  <c r="P143" i="25"/>
  <c r="R145" i="25" s="1"/>
  <c r="Q152" i="25" s="1"/>
  <c r="J129" i="25"/>
  <c r="J5" i="25"/>
  <c r="O10" i="25"/>
  <c r="Q10" i="25" s="1"/>
  <c r="H19" i="25"/>
  <c r="Q39" i="25"/>
  <c r="J124" i="25"/>
  <c r="O124" i="25"/>
  <c r="Q124" i="25" s="1"/>
  <c r="O127" i="25"/>
  <c r="Q127" i="25" s="1"/>
  <c r="J134" i="25"/>
  <c r="Q150" i="25"/>
  <c r="R73" i="25"/>
  <c r="T73" i="25" s="1"/>
  <c r="K73" i="25"/>
  <c r="R91" i="25"/>
  <c r="T91" i="25" s="1"/>
  <c r="K91" i="25"/>
  <c r="R97" i="25"/>
  <c r="T97" i="25" s="1"/>
  <c r="K97" i="25"/>
  <c r="R109" i="25"/>
  <c r="T109" i="25" s="1"/>
  <c r="K109" i="25"/>
  <c r="R52" i="25"/>
  <c r="K52" i="25"/>
  <c r="R62" i="25"/>
  <c r="T62" i="25" s="1"/>
  <c r="R74" i="25"/>
  <c r="T74" i="25" s="1"/>
  <c r="K82" i="25"/>
  <c r="R82" i="25"/>
  <c r="T82" i="25" s="1"/>
  <c r="R88" i="25"/>
  <c r="T88" i="25" s="1"/>
  <c r="K88" i="25"/>
  <c r="R94" i="25"/>
  <c r="T94" i="25" s="1"/>
  <c r="K94" i="25"/>
  <c r="J10" i="25"/>
  <c r="J12" i="25"/>
  <c r="I144" i="25"/>
  <c r="F146" i="25" s="1"/>
  <c r="Q29" i="25"/>
  <c r="H117" i="25"/>
  <c r="O122" i="25"/>
  <c r="Q122" i="25" s="1"/>
  <c r="J127" i="25"/>
  <c r="O40" i="25"/>
  <c r="R55" i="25"/>
  <c r="T55" i="25" s="1"/>
  <c r="K55" i="25"/>
  <c r="R61" i="25"/>
  <c r="T61" i="25" s="1"/>
  <c r="K61" i="25"/>
  <c r="R79" i="25"/>
  <c r="T79" i="25" s="1"/>
  <c r="K79" i="25"/>
  <c r="Q147" i="25"/>
  <c r="O17" i="25"/>
  <c r="Q17" i="25" s="1"/>
  <c r="H34" i="25"/>
  <c r="J30" i="25"/>
  <c r="J126" i="25"/>
  <c r="J138" i="25"/>
  <c r="N7" i="25"/>
  <c r="H40" i="25"/>
  <c r="J131" i="25"/>
  <c r="J14" i="25"/>
  <c r="J38" i="25"/>
  <c r="J46" i="25"/>
  <c r="O30" i="25"/>
  <c r="Q30" i="25" s="1"/>
  <c r="N16" i="25"/>
  <c r="N32" i="25"/>
  <c r="R96" i="24"/>
  <c r="T96" i="24" s="1"/>
  <c r="O138" i="24"/>
  <c r="Q138" i="24" s="1"/>
  <c r="R105" i="24"/>
  <c r="T105" i="24" s="1"/>
  <c r="R51" i="24"/>
  <c r="L40" i="24"/>
  <c r="O30" i="24"/>
  <c r="O23" i="24"/>
  <c r="O16" i="24"/>
  <c r="Q16" i="24" s="1"/>
  <c r="O128" i="24"/>
  <c r="Q128" i="24" s="1"/>
  <c r="O140" i="24"/>
  <c r="Q140" i="24" s="1"/>
  <c r="O117" i="24"/>
  <c r="R114" i="24"/>
  <c r="T114" i="24" s="1"/>
  <c r="R87" i="24"/>
  <c r="T87" i="24" s="1"/>
  <c r="R60" i="24"/>
  <c r="T60" i="24" s="1"/>
  <c r="R69" i="24"/>
  <c r="T69" i="24" s="1"/>
  <c r="R58" i="24"/>
  <c r="R78" i="24"/>
  <c r="O123" i="24"/>
  <c r="Q123" i="24" s="1"/>
  <c r="O135" i="24"/>
  <c r="Q135" i="24" s="1"/>
  <c r="J126" i="24"/>
  <c r="J138" i="24"/>
  <c r="J121" i="24"/>
  <c r="J133" i="24"/>
  <c r="L143" i="24"/>
  <c r="N121" i="24"/>
  <c r="O124" i="24"/>
  <c r="Q124" i="24" s="1"/>
  <c r="O136" i="24"/>
  <c r="Q136" i="24" s="1"/>
  <c r="O127" i="24"/>
  <c r="Q127" i="24" s="1"/>
  <c r="O139" i="24"/>
  <c r="Q139" i="24" s="1"/>
  <c r="T58" i="24"/>
  <c r="T78" i="24"/>
  <c r="Q94" i="24"/>
  <c r="R94" i="24"/>
  <c r="T94" i="24" s="1"/>
  <c r="R56" i="24"/>
  <c r="T56" i="24" s="1"/>
  <c r="R83" i="24"/>
  <c r="T83" i="24" s="1"/>
  <c r="Q103" i="24"/>
  <c r="R103" i="24"/>
  <c r="T103" i="24" s="1"/>
  <c r="R67" i="24"/>
  <c r="T67" i="24" s="1"/>
  <c r="Q112" i="24"/>
  <c r="R112" i="24"/>
  <c r="T112" i="24" s="1"/>
  <c r="R65" i="24"/>
  <c r="T65" i="24" s="1"/>
  <c r="R76" i="24"/>
  <c r="T76" i="24" s="1"/>
  <c r="R74" i="24"/>
  <c r="T74" i="24" s="1"/>
  <c r="Q85" i="24"/>
  <c r="R85" i="24"/>
  <c r="T85" i="24" s="1"/>
  <c r="R92" i="24"/>
  <c r="T92" i="24" s="1"/>
  <c r="R101" i="24"/>
  <c r="T101" i="24" s="1"/>
  <c r="R110" i="24"/>
  <c r="T110" i="24" s="1"/>
  <c r="R54" i="24"/>
  <c r="T54" i="24" s="1"/>
  <c r="R63" i="24"/>
  <c r="T63" i="24" s="1"/>
  <c r="R72" i="24"/>
  <c r="T72" i="24" s="1"/>
  <c r="R81" i="24"/>
  <c r="T81" i="24" s="1"/>
  <c r="R90" i="24"/>
  <c r="T90" i="24" s="1"/>
  <c r="R99" i="24"/>
  <c r="T99" i="24" s="1"/>
  <c r="R108" i="24"/>
  <c r="T108" i="24" s="1"/>
  <c r="R52" i="24"/>
  <c r="T52" i="24" s="1"/>
  <c r="R59" i="24"/>
  <c r="T59" i="24" s="1"/>
  <c r="R61" i="24"/>
  <c r="T61" i="24" s="1"/>
  <c r="R68" i="24"/>
  <c r="T68" i="24" s="1"/>
  <c r="R70" i="24"/>
  <c r="T70" i="24" s="1"/>
  <c r="R77" i="24"/>
  <c r="T77" i="24" s="1"/>
  <c r="R79" i="24"/>
  <c r="T79" i="24" s="1"/>
  <c r="R86" i="24"/>
  <c r="T86" i="24" s="1"/>
  <c r="R88" i="24"/>
  <c r="T88" i="24" s="1"/>
  <c r="R95" i="24"/>
  <c r="T95" i="24" s="1"/>
  <c r="R97" i="24"/>
  <c r="T97" i="24" s="1"/>
  <c r="R104" i="24"/>
  <c r="T104" i="24" s="1"/>
  <c r="R106" i="24"/>
  <c r="T106" i="24" s="1"/>
  <c r="R113" i="24"/>
  <c r="T113" i="24" s="1"/>
  <c r="R115" i="24"/>
  <c r="T115" i="24" s="1"/>
  <c r="H117" i="24"/>
  <c r="R57" i="24"/>
  <c r="T57" i="24" s="1"/>
  <c r="R66" i="24"/>
  <c r="T66" i="24" s="1"/>
  <c r="R75" i="24"/>
  <c r="T75" i="24" s="1"/>
  <c r="R84" i="24"/>
  <c r="T84" i="24" s="1"/>
  <c r="R93" i="24"/>
  <c r="T93" i="24" s="1"/>
  <c r="R102" i="24"/>
  <c r="T102" i="24" s="1"/>
  <c r="R111" i="24"/>
  <c r="T111" i="24" s="1"/>
  <c r="K51" i="24"/>
  <c r="R53" i="24"/>
  <c r="T53" i="24" s="1"/>
  <c r="R55" i="24"/>
  <c r="T55" i="24" s="1"/>
  <c r="R62" i="24"/>
  <c r="T62" i="24" s="1"/>
  <c r="R64" i="24"/>
  <c r="T64" i="24" s="1"/>
  <c r="R71" i="24"/>
  <c r="T71" i="24" s="1"/>
  <c r="R73" i="24"/>
  <c r="T73" i="24" s="1"/>
  <c r="R80" i="24"/>
  <c r="T80" i="24" s="1"/>
  <c r="R82" i="24"/>
  <c r="T82" i="24" s="1"/>
  <c r="R89" i="24"/>
  <c r="T89" i="24" s="1"/>
  <c r="R91" i="24"/>
  <c r="T91" i="24" s="1"/>
  <c r="R98" i="24"/>
  <c r="T98" i="24" s="1"/>
  <c r="R100" i="24"/>
  <c r="T100" i="24" s="1"/>
  <c r="R107" i="24"/>
  <c r="T107" i="24" s="1"/>
  <c r="R109" i="24"/>
  <c r="T109" i="24" s="1"/>
  <c r="R116" i="24"/>
  <c r="T116" i="24" s="1"/>
  <c r="J46" i="24"/>
  <c r="Q46" i="24"/>
  <c r="O44" i="24"/>
  <c r="Q44" i="24" s="1"/>
  <c r="L47" i="24"/>
  <c r="H47" i="24"/>
  <c r="J38" i="24"/>
  <c r="O38" i="24"/>
  <c r="Q38" i="24"/>
  <c r="O39" i="24"/>
  <c r="Q39" i="24" s="1"/>
  <c r="O31" i="24"/>
  <c r="Q31" i="24" s="1"/>
  <c r="J30" i="24"/>
  <c r="L34" i="24"/>
  <c r="H34" i="24"/>
  <c r="Q30" i="24"/>
  <c r="M144" i="24"/>
  <c r="F147" i="24" s="1"/>
  <c r="I144" i="24"/>
  <c r="F146" i="24" s="1"/>
  <c r="J24" i="24"/>
  <c r="Q14" i="24"/>
  <c r="Q9" i="24"/>
  <c r="J9" i="24"/>
  <c r="L19" i="24"/>
  <c r="N7" i="24"/>
  <c r="O11" i="24"/>
  <c r="J11" i="24"/>
  <c r="O5" i="24"/>
  <c r="Q5" i="24" s="1"/>
  <c r="Q17" i="24"/>
  <c r="O14" i="24"/>
  <c r="O25" i="24"/>
  <c r="Q23" i="24"/>
  <c r="Q7" i="24"/>
  <c r="Q150" i="24"/>
  <c r="Q33" i="24"/>
  <c r="R145" i="24"/>
  <c r="Q152" i="24" s="1"/>
  <c r="Q11" i="24"/>
  <c r="Q24" i="24"/>
  <c r="N47" i="24"/>
  <c r="O18" i="24"/>
  <c r="Q18" i="24" s="1"/>
  <c r="O29" i="24"/>
  <c r="O34" i="24" s="1"/>
  <c r="O45" i="24"/>
  <c r="Q45" i="24" s="1"/>
  <c r="O137" i="24"/>
  <c r="Q137" i="24" s="1"/>
  <c r="O8" i="24"/>
  <c r="Q8" i="24" s="1"/>
  <c r="J17" i="24"/>
  <c r="H25" i="24"/>
  <c r="N31" i="24"/>
  <c r="N39" i="24"/>
  <c r="N40" i="24" s="1"/>
  <c r="Q40" i="24" s="1"/>
  <c r="T51" i="24"/>
  <c r="S117" i="24"/>
  <c r="Q146" i="24" s="1"/>
  <c r="N127" i="24"/>
  <c r="J129" i="24"/>
  <c r="O132" i="24"/>
  <c r="Q132" i="24" s="1"/>
  <c r="N139" i="24"/>
  <c r="J141" i="24"/>
  <c r="H143" i="24"/>
  <c r="O13" i="24"/>
  <c r="Q13" i="24" s="1"/>
  <c r="J23" i="24"/>
  <c r="P34" i="24"/>
  <c r="O15" i="24"/>
  <c r="Q15" i="24" s="1"/>
  <c r="H19" i="24"/>
  <c r="N23" i="24"/>
  <c r="N25" i="24" s="1"/>
  <c r="Q53" i="24"/>
  <c r="Q56" i="24"/>
  <c r="Q59" i="24"/>
  <c r="Q62" i="24"/>
  <c r="Q65" i="24"/>
  <c r="Q68" i="24"/>
  <c r="Q71" i="24"/>
  <c r="Q74" i="24"/>
  <c r="Q77" i="24"/>
  <c r="Q80" i="24"/>
  <c r="Q83" i="24"/>
  <c r="Q86" i="24"/>
  <c r="Q89" i="24"/>
  <c r="Q92" i="24"/>
  <c r="Q95" i="24"/>
  <c r="Q98" i="24"/>
  <c r="Q101" i="24"/>
  <c r="Q104" i="24"/>
  <c r="Q107" i="24"/>
  <c r="Q110" i="24"/>
  <c r="Q113" i="24"/>
  <c r="Q116" i="24"/>
  <c r="J33" i="24"/>
  <c r="J7" i="24"/>
  <c r="O10" i="24"/>
  <c r="Q10" i="24" s="1"/>
  <c r="O122" i="24"/>
  <c r="Q122" i="24" s="1"/>
  <c r="J131" i="24"/>
  <c r="O134" i="24"/>
  <c r="Q134" i="24" s="1"/>
  <c r="O6" i="24"/>
  <c r="Q6" i="24" s="1"/>
  <c r="O130" i="24"/>
  <c r="Q130" i="24" s="1"/>
  <c r="O125" i="24"/>
  <c r="Q125" i="24" s="1"/>
  <c r="J5" i="24"/>
  <c r="J16" i="24"/>
  <c r="N19" i="24"/>
  <c r="N30" i="24"/>
  <c r="N34" i="24" s="1"/>
  <c r="J32" i="24"/>
  <c r="J128" i="24"/>
  <c r="J140" i="24"/>
  <c r="P19" i="24"/>
  <c r="J142" i="24"/>
  <c r="J45" i="24"/>
  <c r="N123" i="24"/>
  <c r="N135" i="24"/>
  <c r="M117" i="24"/>
  <c r="Q117" i="24" s="1"/>
  <c r="Q33" i="23"/>
  <c r="Q149" i="23"/>
  <c r="O15" i="23"/>
  <c r="Q15" i="23" s="1"/>
  <c r="Q30" i="23"/>
  <c r="Q44" i="23"/>
  <c r="K52" i="23"/>
  <c r="Q59" i="23"/>
  <c r="R64" i="23"/>
  <c r="T64" i="23" s="1"/>
  <c r="R77" i="23"/>
  <c r="T77" i="23" s="1"/>
  <c r="Q86" i="23"/>
  <c r="Q109" i="23"/>
  <c r="O127" i="23"/>
  <c r="Q127" i="23" s="1"/>
  <c r="Q10" i="23"/>
  <c r="J30" i="23"/>
  <c r="K70" i="23"/>
  <c r="Q103" i="23"/>
  <c r="O129" i="23"/>
  <c r="Q129" i="23" s="1"/>
  <c r="Q68" i="23"/>
  <c r="Q79" i="23"/>
  <c r="N17" i="23"/>
  <c r="O47" i="23"/>
  <c r="N131" i="23"/>
  <c r="J134" i="23"/>
  <c r="Q6" i="23"/>
  <c r="Q47" i="23"/>
  <c r="Q150" i="23"/>
  <c r="Q46" i="23"/>
  <c r="R113" i="23"/>
  <c r="T113" i="23" s="1"/>
  <c r="Q113" i="23"/>
  <c r="R111" i="23"/>
  <c r="T111" i="23" s="1"/>
  <c r="P143" i="23"/>
  <c r="N7" i="23"/>
  <c r="J38" i="23"/>
  <c r="H40" i="23"/>
  <c r="K63" i="23"/>
  <c r="R96" i="23"/>
  <c r="T96" i="23" s="1"/>
  <c r="O132" i="23"/>
  <c r="Q132" i="23" s="1"/>
  <c r="N132" i="23"/>
  <c r="O135" i="23"/>
  <c r="Q135" i="23" s="1"/>
  <c r="J135" i="23"/>
  <c r="O7" i="23"/>
  <c r="Q56" i="23"/>
  <c r="R83" i="23"/>
  <c r="T83" i="23" s="1"/>
  <c r="Q83" i="23"/>
  <c r="O5" i="23"/>
  <c r="Q5" i="23" s="1"/>
  <c r="J12" i="23"/>
  <c r="J14" i="23"/>
  <c r="J16" i="23"/>
  <c r="O18" i="23"/>
  <c r="L34" i="23"/>
  <c r="N31" i="23"/>
  <c r="N34" i="23" s="1"/>
  <c r="Q34" i="23" s="1"/>
  <c r="N38" i="23"/>
  <c r="N40" i="23" s="1"/>
  <c r="Q40" i="23" s="1"/>
  <c r="H117" i="23"/>
  <c r="R65" i="23"/>
  <c r="T65" i="23" s="1"/>
  <c r="Q65" i="23"/>
  <c r="K69" i="23"/>
  <c r="Q76" i="23"/>
  <c r="K78" i="23"/>
  <c r="Q100" i="23"/>
  <c r="P19" i="23"/>
  <c r="Q18" i="23"/>
  <c r="Q45" i="23"/>
  <c r="K51" i="23"/>
  <c r="Q58" i="23"/>
  <c r="K60" i="23"/>
  <c r="R102" i="23"/>
  <c r="T102" i="23" s="1"/>
  <c r="O126" i="23"/>
  <c r="Q126" i="23" s="1"/>
  <c r="J126" i="23"/>
  <c r="J24" i="23"/>
  <c r="R87" i="23"/>
  <c r="T87" i="23" s="1"/>
  <c r="Q89" i="23"/>
  <c r="R114" i="23"/>
  <c r="T114" i="23" s="1"/>
  <c r="J121" i="23"/>
  <c r="J133" i="23"/>
  <c r="O117" i="23"/>
  <c r="R116" i="23"/>
  <c r="T116" i="23" s="1"/>
  <c r="Q8" i="23"/>
  <c r="Q94" i="23"/>
  <c r="R104" i="23"/>
  <c r="T104" i="23" s="1"/>
  <c r="Q104" i="23"/>
  <c r="O123" i="23"/>
  <c r="Q123" i="23" s="1"/>
  <c r="J123" i="23"/>
  <c r="Q151" i="23"/>
  <c r="O128" i="23"/>
  <c r="Q128" i="23" s="1"/>
  <c r="J128" i="23"/>
  <c r="Q23" i="23"/>
  <c r="J10" i="23"/>
  <c r="I144" i="23"/>
  <c r="F146" i="23" s="1"/>
  <c r="Q38" i="23"/>
  <c r="R91" i="23"/>
  <c r="T91" i="23" s="1"/>
  <c r="H34" i="23"/>
  <c r="R73" i="23"/>
  <c r="T73" i="23" s="1"/>
  <c r="Q73" i="23"/>
  <c r="R95" i="23"/>
  <c r="T95" i="23" s="1"/>
  <c r="Q95" i="23"/>
  <c r="Q112" i="23"/>
  <c r="N121" i="23"/>
  <c r="L143" i="23"/>
  <c r="J138" i="23"/>
  <c r="J140" i="23"/>
  <c r="Q12" i="23"/>
  <c r="M144" i="23"/>
  <c r="F147" i="23" s="1"/>
  <c r="O32" i="23"/>
  <c r="Q32" i="23" s="1"/>
  <c r="J32" i="23"/>
  <c r="R51" i="23"/>
  <c r="R55" i="23"/>
  <c r="T55" i="23" s="1"/>
  <c r="Q55" i="23"/>
  <c r="Q91" i="23"/>
  <c r="R88" i="23"/>
  <c r="T88" i="23" s="1"/>
  <c r="R97" i="23"/>
  <c r="T97" i="23" s="1"/>
  <c r="R106" i="23"/>
  <c r="T106" i="23" s="1"/>
  <c r="R115" i="23"/>
  <c r="T115" i="23" s="1"/>
  <c r="Q14" i="23"/>
  <c r="J7" i="23"/>
  <c r="O9" i="23"/>
  <c r="Q9" i="23" s="1"/>
  <c r="Q88" i="23"/>
  <c r="Q97" i="23"/>
  <c r="Q106" i="23"/>
  <c r="Q115" i="23"/>
  <c r="M117" i="23"/>
  <c r="Q117" i="23" s="1"/>
  <c r="J142" i="23"/>
  <c r="J45" i="23"/>
  <c r="Q34" i="29" l="1"/>
  <c r="O47" i="29"/>
  <c r="Q47" i="29" s="1"/>
  <c r="N40" i="29"/>
  <c r="Q40" i="29" s="1"/>
  <c r="O40" i="29"/>
  <c r="Q38" i="29"/>
  <c r="R117" i="29"/>
  <c r="T117" i="29" s="1"/>
  <c r="T51" i="29"/>
  <c r="O34" i="29"/>
  <c r="Q29" i="29"/>
  <c r="F148" i="29"/>
  <c r="Q46" i="29"/>
  <c r="O25" i="29"/>
  <c r="O19" i="29"/>
  <c r="Q19" i="29" s="1"/>
  <c r="Q147" i="29"/>
  <c r="Q154" i="29" s="1"/>
  <c r="O143" i="29"/>
  <c r="Q40" i="28"/>
  <c r="O19" i="28"/>
  <c r="Q19" i="28" s="1"/>
  <c r="O34" i="28"/>
  <c r="R145" i="28"/>
  <c r="Q152" i="28" s="1"/>
  <c r="F148" i="28"/>
  <c r="Q32" i="28"/>
  <c r="Q150" i="28"/>
  <c r="Q47" i="28"/>
  <c r="Q147" i="28"/>
  <c r="Q154" i="28" s="1"/>
  <c r="O25" i="28"/>
  <c r="Q121" i="28"/>
  <c r="O143" i="28"/>
  <c r="R117" i="28"/>
  <c r="T117" i="28" s="1"/>
  <c r="T51" i="28"/>
  <c r="O40" i="28"/>
  <c r="Q38" i="28"/>
  <c r="F148" i="27"/>
  <c r="O40" i="27"/>
  <c r="N34" i="27"/>
  <c r="Q34" i="27" s="1"/>
  <c r="Q148" i="27"/>
  <c r="Q154" i="27" s="1"/>
  <c r="O19" i="27"/>
  <c r="Q19" i="27" s="1"/>
  <c r="O143" i="27"/>
  <c r="O25" i="27"/>
  <c r="Q23" i="27"/>
  <c r="Q39" i="27"/>
  <c r="O34" i="27"/>
  <c r="Q44" i="27"/>
  <c r="O47" i="27"/>
  <c r="Q47" i="27" s="1"/>
  <c r="R117" i="27"/>
  <c r="T117" i="27" s="1"/>
  <c r="N40" i="26"/>
  <c r="Q40" i="26" s="1"/>
  <c r="N34" i="26"/>
  <c r="Q34" i="26" s="1"/>
  <c r="F148" i="26"/>
  <c r="O19" i="26"/>
  <c r="Q19" i="26" s="1"/>
  <c r="O47" i="26"/>
  <c r="Q47" i="26" s="1"/>
  <c r="O143" i="26"/>
  <c r="T52" i="26"/>
  <c r="R117" i="26"/>
  <c r="T117" i="26" s="1"/>
  <c r="Q147" i="26"/>
  <c r="Q154" i="26" s="1"/>
  <c r="O40" i="26"/>
  <c r="Q38" i="26"/>
  <c r="Q30" i="26"/>
  <c r="O34" i="26"/>
  <c r="Q154" i="25"/>
  <c r="O34" i="25"/>
  <c r="O143" i="25"/>
  <c r="O19" i="25"/>
  <c r="Q19" i="25" s="1"/>
  <c r="F148" i="25"/>
  <c r="T52" i="25"/>
  <c r="R117" i="25"/>
  <c r="T117" i="25" s="1"/>
  <c r="N34" i="25"/>
  <c r="Q34" i="25" s="1"/>
  <c r="O47" i="24"/>
  <c r="Q47" i="24" s="1"/>
  <c r="R117" i="24"/>
  <c r="T117" i="24" s="1"/>
  <c r="O40" i="24"/>
  <c r="F148" i="24"/>
  <c r="O19" i="24"/>
  <c r="Q19" i="24" s="1"/>
  <c r="O143" i="24"/>
  <c r="Q148" i="24"/>
  <c r="Q34" i="24"/>
  <c r="Q147" i="24"/>
  <c r="Q154" i="24" s="1"/>
  <c r="Q29" i="24"/>
  <c r="O19" i="23"/>
  <c r="T51" i="23"/>
  <c r="R117" i="23"/>
  <c r="T117" i="23" s="1"/>
  <c r="Q19" i="23"/>
  <c r="Q147" i="23"/>
  <c r="Q7" i="23"/>
  <c r="O34" i="23"/>
  <c r="F148" i="23"/>
  <c r="R145" i="23"/>
  <c r="Q152" i="23" s="1"/>
  <c r="O143" i="23"/>
  <c r="Q154" i="23" l="1"/>
  <c r="J56" i="21" l="1"/>
  <c r="J57" i="21"/>
  <c r="J130" i="21"/>
  <c r="M73" i="21"/>
  <c r="M74" i="21"/>
  <c r="M117" i="21" s="1"/>
  <c r="M58" i="21"/>
  <c r="J46" i="21"/>
  <c r="M46" i="21" s="1"/>
  <c r="J45" i="21"/>
  <c r="L144" i="21"/>
  <c r="J142" i="21"/>
  <c r="F142" i="21"/>
  <c r="M141" i="21"/>
  <c r="I141" i="21"/>
  <c r="K141" i="21" s="1"/>
  <c r="E141" i="21"/>
  <c r="L141" i="21" s="1"/>
  <c r="N141" i="21" s="1"/>
  <c r="M140" i="21"/>
  <c r="I140" i="21"/>
  <c r="K140" i="21" s="1"/>
  <c r="E140" i="21"/>
  <c r="G140" i="21" s="1"/>
  <c r="M139" i="21"/>
  <c r="I139" i="21"/>
  <c r="K139" i="21" s="1"/>
  <c r="E139" i="21"/>
  <c r="M138" i="21"/>
  <c r="I138" i="21"/>
  <c r="K138" i="21" s="1"/>
  <c r="E138" i="21"/>
  <c r="G138" i="21" s="1"/>
  <c r="M137" i="21"/>
  <c r="I137" i="21"/>
  <c r="K137" i="21" s="1"/>
  <c r="E137" i="21"/>
  <c r="L137" i="21" s="1"/>
  <c r="N137" i="21" s="1"/>
  <c r="M136" i="21"/>
  <c r="I136" i="21"/>
  <c r="K136" i="21" s="1"/>
  <c r="E136" i="21"/>
  <c r="G136" i="21" s="1"/>
  <c r="M135" i="21"/>
  <c r="I135" i="21"/>
  <c r="E135" i="21"/>
  <c r="G135" i="21" s="1"/>
  <c r="M134" i="21"/>
  <c r="I134" i="21"/>
  <c r="K134" i="21" s="1"/>
  <c r="E134" i="21"/>
  <c r="L134" i="21" s="1"/>
  <c r="M133" i="21"/>
  <c r="I133" i="21"/>
  <c r="K133" i="21" s="1"/>
  <c r="E133" i="21"/>
  <c r="G133" i="21" s="1"/>
  <c r="M132" i="21"/>
  <c r="I132" i="21"/>
  <c r="K132" i="21" s="1"/>
  <c r="E132" i="21"/>
  <c r="M131" i="21"/>
  <c r="I131" i="21"/>
  <c r="K131" i="21" s="1"/>
  <c r="G131" i="21"/>
  <c r="E131" i="21"/>
  <c r="M130" i="21"/>
  <c r="I130" i="21"/>
  <c r="K130" i="21" s="1"/>
  <c r="E130" i="21"/>
  <c r="M129" i="21"/>
  <c r="I129" i="21"/>
  <c r="K129" i="21" s="1"/>
  <c r="E129" i="21"/>
  <c r="M128" i="21"/>
  <c r="I128" i="21"/>
  <c r="K128" i="21" s="1"/>
  <c r="E128" i="21"/>
  <c r="G128" i="21" s="1"/>
  <c r="M127" i="21"/>
  <c r="I127" i="21"/>
  <c r="K127" i="21" s="1"/>
  <c r="E127" i="21"/>
  <c r="M126" i="21"/>
  <c r="I126" i="21"/>
  <c r="K126" i="21" s="1"/>
  <c r="E126" i="21"/>
  <c r="G126" i="21" s="1"/>
  <c r="M125" i="21"/>
  <c r="I125" i="21"/>
  <c r="K125" i="21" s="1"/>
  <c r="E125" i="21"/>
  <c r="M124" i="21"/>
  <c r="I124" i="21"/>
  <c r="K124" i="21" s="1"/>
  <c r="E124" i="21"/>
  <c r="G124" i="21" s="1"/>
  <c r="M123" i="21"/>
  <c r="I123" i="21"/>
  <c r="E123" i="21"/>
  <c r="G123" i="21" s="1"/>
  <c r="M122" i="21"/>
  <c r="I122" i="21"/>
  <c r="L122" i="21" s="1"/>
  <c r="N122" i="21" s="1"/>
  <c r="G122" i="21"/>
  <c r="E122" i="21"/>
  <c r="M121" i="21"/>
  <c r="I121" i="21"/>
  <c r="K121" i="21" s="1"/>
  <c r="E121" i="21"/>
  <c r="G121" i="21" s="1"/>
  <c r="R117" i="21"/>
  <c r="G117" i="21"/>
  <c r="P116" i="21"/>
  <c r="L116" i="21"/>
  <c r="J116" i="21"/>
  <c r="N116" i="21" s="1"/>
  <c r="E116" i="21"/>
  <c r="H116" i="21" s="1"/>
  <c r="P115" i="21"/>
  <c r="L115" i="21"/>
  <c r="J115" i="21"/>
  <c r="N115" i="21" s="1"/>
  <c r="E115" i="21"/>
  <c r="H115" i="21" s="1"/>
  <c r="P114" i="21"/>
  <c r="L114" i="21"/>
  <c r="J114" i="21"/>
  <c r="E114" i="21"/>
  <c r="H114" i="21" s="1"/>
  <c r="P113" i="21"/>
  <c r="L113" i="21"/>
  <c r="J113" i="21"/>
  <c r="N113" i="21" s="1"/>
  <c r="E113" i="21"/>
  <c r="H113" i="21" s="1"/>
  <c r="P112" i="21"/>
  <c r="L112" i="21"/>
  <c r="J112" i="21"/>
  <c r="E112" i="21"/>
  <c r="H112" i="21" s="1"/>
  <c r="P111" i="21"/>
  <c r="L111" i="21"/>
  <c r="J111" i="21"/>
  <c r="E111" i="21"/>
  <c r="H111" i="21" s="1"/>
  <c r="P110" i="21"/>
  <c r="L110" i="21"/>
  <c r="J110" i="21"/>
  <c r="N110" i="21" s="1"/>
  <c r="E110" i="21"/>
  <c r="H110" i="21" s="1"/>
  <c r="P109" i="21"/>
  <c r="L109" i="21"/>
  <c r="J109" i="21"/>
  <c r="E109" i="21"/>
  <c r="H109" i="21" s="1"/>
  <c r="P108" i="21"/>
  <c r="L108" i="21"/>
  <c r="J108" i="21"/>
  <c r="E108" i="21"/>
  <c r="H108" i="21" s="1"/>
  <c r="P107" i="21"/>
  <c r="L107" i="21"/>
  <c r="J107" i="21"/>
  <c r="N107" i="21" s="1"/>
  <c r="E107" i="21"/>
  <c r="H107" i="21" s="1"/>
  <c r="P106" i="21"/>
  <c r="L106" i="21"/>
  <c r="J106" i="21"/>
  <c r="N106" i="21" s="1"/>
  <c r="E106" i="21"/>
  <c r="H106" i="21" s="1"/>
  <c r="P105" i="21"/>
  <c r="L105" i="21"/>
  <c r="J105" i="21"/>
  <c r="E105" i="21"/>
  <c r="H105" i="21" s="1"/>
  <c r="P104" i="21"/>
  <c r="L104" i="21"/>
  <c r="J104" i="21"/>
  <c r="N104" i="21" s="1"/>
  <c r="E104" i="21"/>
  <c r="H104" i="21" s="1"/>
  <c r="P103" i="21"/>
  <c r="L103" i="21"/>
  <c r="J103" i="21"/>
  <c r="E103" i="21"/>
  <c r="H103" i="21" s="1"/>
  <c r="P102" i="21"/>
  <c r="L102" i="21"/>
  <c r="J102" i="21"/>
  <c r="E102" i="21"/>
  <c r="H102" i="21" s="1"/>
  <c r="P101" i="21"/>
  <c r="L101" i="21"/>
  <c r="J101" i="21"/>
  <c r="N101" i="21" s="1"/>
  <c r="E101" i="21"/>
  <c r="H101" i="21" s="1"/>
  <c r="P100" i="21"/>
  <c r="L100" i="21"/>
  <c r="J100" i="21"/>
  <c r="E100" i="21"/>
  <c r="H100" i="21" s="1"/>
  <c r="P99" i="21"/>
  <c r="L99" i="21"/>
  <c r="J99" i="21"/>
  <c r="E99" i="21"/>
  <c r="H99" i="21" s="1"/>
  <c r="P98" i="21"/>
  <c r="L98" i="21"/>
  <c r="J98" i="21"/>
  <c r="N98" i="21" s="1"/>
  <c r="E98" i="21"/>
  <c r="H98" i="21" s="1"/>
  <c r="P97" i="21"/>
  <c r="L97" i="21"/>
  <c r="J97" i="21"/>
  <c r="N97" i="21" s="1"/>
  <c r="E97" i="21"/>
  <c r="H97" i="21" s="1"/>
  <c r="P96" i="21"/>
  <c r="L96" i="21"/>
  <c r="J96" i="21"/>
  <c r="E96" i="21"/>
  <c r="H96" i="21" s="1"/>
  <c r="P95" i="21"/>
  <c r="L95" i="21"/>
  <c r="J95" i="21"/>
  <c r="N95" i="21" s="1"/>
  <c r="E95" i="21"/>
  <c r="H95" i="21" s="1"/>
  <c r="P94" i="21"/>
  <c r="L94" i="21"/>
  <c r="J94" i="21"/>
  <c r="E94" i="21"/>
  <c r="H94" i="21" s="1"/>
  <c r="P93" i="21"/>
  <c r="L93" i="21"/>
  <c r="J93" i="21"/>
  <c r="E93" i="21"/>
  <c r="H93" i="21" s="1"/>
  <c r="P92" i="21"/>
  <c r="L92" i="21"/>
  <c r="J92" i="21"/>
  <c r="N92" i="21" s="1"/>
  <c r="E92" i="21"/>
  <c r="H92" i="21" s="1"/>
  <c r="P91" i="21"/>
  <c r="L91" i="21"/>
  <c r="J91" i="21"/>
  <c r="E91" i="21"/>
  <c r="H91" i="21" s="1"/>
  <c r="P90" i="21"/>
  <c r="L90" i="21"/>
  <c r="J90" i="21"/>
  <c r="E90" i="21"/>
  <c r="H90" i="21" s="1"/>
  <c r="P89" i="21"/>
  <c r="L89" i="21"/>
  <c r="J89" i="21"/>
  <c r="N89" i="21" s="1"/>
  <c r="E89" i="21"/>
  <c r="H89" i="21" s="1"/>
  <c r="P88" i="21"/>
  <c r="L88" i="21"/>
  <c r="J88" i="21"/>
  <c r="N88" i="21" s="1"/>
  <c r="E88" i="21"/>
  <c r="H88" i="21" s="1"/>
  <c r="P87" i="21"/>
  <c r="L87" i="21"/>
  <c r="J87" i="21"/>
  <c r="E87" i="21"/>
  <c r="H87" i="21" s="1"/>
  <c r="P86" i="21"/>
  <c r="L86" i="21"/>
  <c r="J86" i="21"/>
  <c r="N86" i="21" s="1"/>
  <c r="E86" i="21"/>
  <c r="H86" i="21" s="1"/>
  <c r="P85" i="21"/>
  <c r="L85" i="21"/>
  <c r="J85" i="21"/>
  <c r="E85" i="21"/>
  <c r="H85" i="21" s="1"/>
  <c r="P84" i="21"/>
  <c r="L84" i="21"/>
  <c r="J84" i="21"/>
  <c r="E84" i="21"/>
  <c r="H84" i="21" s="1"/>
  <c r="P83" i="21"/>
  <c r="L83" i="21"/>
  <c r="J83" i="21"/>
  <c r="N83" i="21" s="1"/>
  <c r="E83" i="21"/>
  <c r="H83" i="21" s="1"/>
  <c r="P82" i="21"/>
  <c r="L82" i="21"/>
  <c r="J82" i="21"/>
  <c r="E82" i="21"/>
  <c r="H82" i="21" s="1"/>
  <c r="P81" i="21"/>
  <c r="L81" i="21"/>
  <c r="J81" i="21"/>
  <c r="E81" i="21"/>
  <c r="H81" i="21" s="1"/>
  <c r="P80" i="21"/>
  <c r="L80" i="21"/>
  <c r="J80" i="21"/>
  <c r="N80" i="21" s="1"/>
  <c r="E80" i="21"/>
  <c r="H80" i="21" s="1"/>
  <c r="P79" i="21"/>
  <c r="L79" i="21"/>
  <c r="J79" i="21"/>
  <c r="N79" i="21" s="1"/>
  <c r="E79" i="21"/>
  <c r="H79" i="21" s="1"/>
  <c r="P78" i="21"/>
  <c r="L78" i="21"/>
  <c r="J78" i="21"/>
  <c r="E78" i="21"/>
  <c r="H78" i="21" s="1"/>
  <c r="P77" i="21"/>
  <c r="L77" i="21"/>
  <c r="J77" i="21"/>
  <c r="N77" i="21" s="1"/>
  <c r="E77" i="21"/>
  <c r="H77" i="21" s="1"/>
  <c r="P76" i="21"/>
  <c r="L76" i="21"/>
  <c r="J76" i="21"/>
  <c r="N76" i="21" s="1"/>
  <c r="E76" i="21"/>
  <c r="H76" i="21" s="1"/>
  <c r="P75" i="21"/>
  <c r="L75" i="21"/>
  <c r="J75" i="21"/>
  <c r="E75" i="21"/>
  <c r="H75" i="21" s="1"/>
  <c r="P74" i="21"/>
  <c r="L74" i="21"/>
  <c r="J74" i="21"/>
  <c r="E74" i="21"/>
  <c r="H74" i="21" s="1"/>
  <c r="P73" i="21"/>
  <c r="L73" i="21"/>
  <c r="J73" i="21"/>
  <c r="E73" i="21"/>
  <c r="H73" i="21" s="1"/>
  <c r="P72" i="21"/>
  <c r="L72" i="21"/>
  <c r="J72" i="21"/>
  <c r="E72" i="21"/>
  <c r="H72" i="21" s="1"/>
  <c r="P71" i="21"/>
  <c r="L71" i="21"/>
  <c r="J71" i="21"/>
  <c r="N71" i="21" s="1"/>
  <c r="E71" i="21"/>
  <c r="H71" i="21" s="1"/>
  <c r="P70" i="21"/>
  <c r="L70" i="21"/>
  <c r="J70" i="21"/>
  <c r="E70" i="21"/>
  <c r="H70" i="21" s="1"/>
  <c r="P69" i="21"/>
  <c r="L69" i="21"/>
  <c r="J69" i="21"/>
  <c r="N69" i="21" s="1"/>
  <c r="E69" i="21"/>
  <c r="H69" i="21" s="1"/>
  <c r="P68" i="21"/>
  <c r="L68" i="21"/>
  <c r="J68" i="21"/>
  <c r="N68" i="21" s="1"/>
  <c r="E68" i="21"/>
  <c r="H68" i="21" s="1"/>
  <c r="P67" i="21"/>
  <c r="L67" i="21"/>
  <c r="J67" i="21"/>
  <c r="E67" i="21"/>
  <c r="H67" i="21" s="1"/>
  <c r="P66" i="21"/>
  <c r="L66" i="21"/>
  <c r="J66" i="21"/>
  <c r="N66" i="21" s="1"/>
  <c r="E66" i="21"/>
  <c r="H66" i="21" s="1"/>
  <c r="P65" i="21"/>
  <c r="L65" i="21"/>
  <c r="J65" i="21"/>
  <c r="N65" i="21" s="1"/>
  <c r="E65" i="21"/>
  <c r="H65" i="21" s="1"/>
  <c r="P64" i="21"/>
  <c r="L64" i="21"/>
  <c r="J64" i="21"/>
  <c r="E64" i="21"/>
  <c r="H64" i="21" s="1"/>
  <c r="P63" i="21"/>
  <c r="L63" i="21"/>
  <c r="J63" i="21"/>
  <c r="E63" i="21"/>
  <c r="H63" i="21" s="1"/>
  <c r="P62" i="21"/>
  <c r="L62" i="21"/>
  <c r="J62" i="21"/>
  <c r="N62" i="21" s="1"/>
  <c r="E62" i="21"/>
  <c r="H62" i="21" s="1"/>
  <c r="P61" i="21"/>
  <c r="L61" i="21"/>
  <c r="J61" i="21"/>
  <c r="N61" i="21" s="1"/>
  <c r="E61" i="21"/>
  <c r="H61" i="21" s="1"/>
  <c r="P60" i="21"/>
  <c r="L60" i="21"/>
  <c r="J60" i="21"/>
  <c r="E60" i="21"/>
  <c r="H60" i="21" s="1"/>
  <c r="P59" i="21"/>
  <c r="L59" i="21"/>
  <c r="J59" i="21"/>
  <c r="N59" i="21" s="1"/>
  <c r="E59" i="21"/>
  <c r="H59" i="21" s="1"/>
  <c r="P58" i="21"/>
  <c r="L58" i="21"/>
  <c r="J58" i="21"/>
  <c r="E58" i="21"/>
  <c r="H58" i="21" s="1"/>
  <c r="P57" i="21"/>
  <c r="L57" i="21"/>
  <c r="N57" i="21"/>
  <c r="E57" i="21"/>
  <c r="H57" i="21" s="1"/>
  <c r="P56" i="21"/>
  <c r="L56" i="21"/>
  <c r="N56" i="21"/>
  <c r="E56" i="21"/>
  <c r="H56" i="21" s="1"/>
  <c r="P55" i="21"/>
  <c r="L55" i="21"/>
  <c r="J55" i="21"/>
  <c r="E55" i="21"/>
  <c r="H55" i="21" s="1"/>
  <c r="P54" i="21"/>
  <c r="L54" i="21"/>
  <c r="J54" i="21"/>
  <c r="E54" i="21"/>
  <c r="H54" i="21" s="1"/>
  <c r="P53" i="21"/>
  <c r="L53" i="21"/>
  <c r="J53" i="21"/>
  <c r="N53" i="21" s="1"/>
  <c r="E53" i="21"/>
  <c r="H53" i="21" s="1"/>
  <c r="P52" i="21"/>
  <c r="L52" i="21"/>
  <c r="J52" i="21"/>
  <c r="N52" i="21" s="1"/>
  <c r="E52" i="21"/>
  <c r="H52" i="21" s="1"/>
  <c r="P51" i="21"/>
  <c r="L51" i="21"/>
  <c r="J51" i="21"/>
  <c r="E51" i="21"/>
  <c r="H51" i="21" s="1"/>
  <c r="I46" i="21"/>
  <c r="E46" i="21"/>
  <c r="I45" i="21"/>
  <c r="F47" i="21"/>
  <c r="E45" i="21"/>
  <c r="M44" i="21"/>
  <c r="I44" i="21"/>
  <c r="K44" i="21" s="1"/>
  <c r="E44" i="21"/>
  <c r="J40" i="21"/>
  <c r="F40" i="21"/>
  <c r="M39" i="21"/>
  <c r="I39" i="21"/>
  <c r="E39" i="21"/>
  <c r="M38" i="21"/>
  <c r="I38" i="21"/>
  <c r="K38" i="21" s="1"/>
  <c r="E38" i="21"/>
  <c r="J34" i="21"/>
  <c r="F34" i="21"/>
  <c r="M33" i="21"/>
  <c r="I33" i="21"/>
  <c r="K33" i="21" s="1"/>
  <c r="E33" i="21"/>
  <c r="L33" i="21" s="1"/>
  <c r="N33" i="21" s="1"/>
  <c r="M32" i="21"/>
  <c r="M34" i="21" s="1"/>
  <c r="I32" i="21"/>
  <c r="K32" i="21" s="1"/>
  <c r="E32" i="21"/>
  <c r="G32" i="21" s="1"/>
  <c r="M31" i="21"/>
  <c r="I31" i="21"/>
  <c r="K31" i="21" s="1"/>
  <c r="E31" i="21"/>
  <c r="G31" i="21" s="1"/>
  <c r="M30" i="21"/>
  <c r="I30" i="21"/>
  <c r="K30" i="21" s="1"/>
  <c r="E30" i="21"/>
  <c r="M29" i="21"/>
  <c r="I29" i="21"/>
  <c r="E29" i="21"/>
  <c r="G29" i="21" s="1"/>
  <c r="J25" i="21"/>
  <c r="F25" i="21"/>
  <c r="M24" i="21"/>
  <c r="I24" i="21"/>
  <c r="K24" i="21" s="1"/>
  <c r="E24" i="21"/>
  <c r="G24" i="21" s="1"/>
  <c r="M23" i="21"/>
  <c r="I23" i="21"/>
  <c r="K23" i="21" s="1"/>
  <c r="E23" i="21"/>
  <c r="O19" i="21"/>
  <c r="J19" i="21"/>
  <c r="F19" i="21"/>
  <c r="M18" i="21"/>
  <c r="I18" i="21"/>
  <c r="E18" i="21"/>
  <c r="G18" i="21" s="1"/>
  <c r="M17" i="21"/>
  <c r="I17" i="21"/>
  <c r="K17" i="21" s="1"/>
  <c r="E17" i="21"/>
  <c r="M16" i="21"/>
  <c r="I16" i="21"/>
  <c r="K16" i="21" s="1"/>
  <c r="E16" i="21"/>
  <c r="L16" i="21" s="1"/>
  <c r="M15" i="21"/>
  <c r="I15" i="21"/>
  <c r="K15" i="21" s="1"/>
  <c r="E15" i="21"/>
  <c r="L15" i="21" s="1"/>
  <c r="M14" i="21"/>
  <c r="I14" i="21"/>
  <c r="K14" i="21" s="1"/>
  <c r="E14" i="21"/>
  <c r="M13" i="21"/>
  <c r="I13" i="21"/>
  <c r="K13" i="21" s="1"/>
  <c r="E13" i="21"/>
  <c r="M12" i="21"/>
  <c r="I12" i="21"/>
  <c r="K12" i="21" s="1"/>
  <c r="E12" i="21"/>
  <c r="M11" i="21"/>
  <c r="I11" i="21"/>
  <c r="K11" i="21" s="1"/>
  <c r="E11" i="21"/>
  <c r="G11" i="21" s="1"/>
  <c r="M10" i="21"/>
  <c r="I10" i="21"/>
  <c r="K10" i="21" s="1"/>
  <c r="E10" i="21"/>
  <c r="L10" i="21" s="1"/>
  <c r="N10" i="21" s="1"/>
  <c r="M9" i="21"/>
  <c r="I9" i="21"/>
  <c r="K9" i="21" s="1"/>
  <c r="E9" i="21"/>
  <c r="M8" i="21"/>
  <c r="I8" i="21"/>
  <c r="K8" i="21" s="1"/>
  <c r="E8" i="21"/>
  <c r="L8" i="21" s="1"/>
  <c r="M7" i="21"/>
  <c r="I7" i="21"/>
  <c r="K7" i="21" s="1"/>
  <c r="E7" i="21"/>
  <c r="L7" i="21" s="1"/>
  <c r="M6" i="21"/>
  <c r="I6" i="21"/>
  <c r="E6" i="21"/>
  <c r="G6" i="21" s="1"/>
  <c r="M5" i="21"/>
  <c r="I5" i="21"/>
  <c r="K5" i="21" s="1"/>
  <c r="E5" i="21"/>
  <c r="J46" i="20"/>
  <c r="J45" i="20"/>
  <c r="E142" i="20"/>
  <c r="F142" i="20"/>
  <c r="J142" i="20"/>
  <c r="M141" i="20"/>
  <c r="I141" i="20"/>
  <c r="L141" i="20" s="1"/>
  <c r="N141" i="20" s="1"/>
  <c r="G141" i="20"/>
  <c r="E141" i="20"/>
  <c r="E140" i="20"/>
  <c r="F45" i="20"/>
  <c r="L144" i="20"/>
  <c r="M140" i="20"/>
  <c r="I140" i="20"/>
  <c r="K140" i="20" s="1"/>
  <c r="M139" i="20"/>
  <c r="I139" i="20"/>
  <c r="K139" i="20" s="1"/>
  <c r="E139" i="20"/>
  <c r="G139" i="20" s="1"/>
  <c r="M138" i="20"/>
  <c r="I138" i="20"/>
  <c r="K138" i="20" s="1"/>
  <c r="E138" i="20"/>
  <c r="M137" i="20"/>
  <c r="I137" i="20"/>
  <c r="E137" i="20"/>
  <c r="G137" i="20" s="1"/>
  <c r="M136" i="20"/>
  <c r="I136" i="20"/>
  <c r="K136" i="20" s="1"/>
  <c r="E136" i="20"/>
  <c r="M135" i="20"/>
  <c r="I135" i="20"/>
  <c r="K135" i="20" s="1"/>
  <c r="E135" i="20"/>
  <c r="G135" i="20" s="1"/>
  <c r="M134" i="20"/>
  <c r="I134" i="20"/>
  <c r="K134" i="20" s="1"/>
  <c r="E134" i="20"/>
  <c r="M133" i="20"/>
  <c r="I133" i="20"/>
  <c r="K133" i="20" s="1"/>
  <c r="E133" i="20"/>
  <c r="L133" i="20" s="1"/>
  <c r="N133" i="20" s="1"/>
  <c r="M132" i="20"/>
  <c r="M142" i="20" s="1"/>
  <c r="I132" i="20"/>
  <c r="K132" i="20" s="1"/>
  <c r="E132" i="20"/>
  <c r="L132" i="20" s="1"/>
  <c r="M131" i="20"/>
  <c r="I131" i="20"/>
  <c r="K131" i="20" s="1"/>
  <c r="E131" i="20"/>
  <c r="M130" i="20"/>
  <c r="I130" i="20"/>
  <c r="E130" i="20"/>
  <c r="G130" i="20" s="1"/>
  <c r="M129" i="20"/>
  <c r="I129" i="20"/>
  <c r="K129" i="20" s="1"/>
  <c r="E129" i="20"/>
  <c r="M128" i="20"/>
  <c r="I128" i="20"/>
  <c r="K128" i="20" s="1"/>
  <c r="E128" i="20"/>
  <c r="M127" i="20"/>
  <c r="I127" i="20"/>
  <c r="K127" i="20" s="1"/>
  <c r="E127" i="20"/>
  <c r="G127" i="20" s="1"/>
  <c r="M126" i="20"/>
  <c r="I126" i="20"/>
  <c r="K126" i="20" s="1"/>
  <c r="E126" i="20"/>
  <c r="M125" i="20"/>
  <c r="I125" i="20"/>
  <c r="K125" i="20" s="1"/>
  <c r="E125" i="20"/>
  <c r="M124" i="20"/>
  <c r="I124" i="20"/>
  <c r="K124" i="20" s="1"/>
  <c r="E124" i="20"/>
  <c r="M123" i="20"/>
  <c r="I123" i="20"/>
  <c r="K123" i="20" s="1"/>
  <c r="E123" i="20"/>
  <c r="G123" i="20" s="1"/>
  <c r="M122" i="20"/>
  <c r="I122" i="20"/>
  <c r="E122" i="20"/>
  <c r="M121" i="20"/>
  <c r="I121" i="20"/>
  <c r="K121" i="20" s="1"/>
  <c r="E121" i="20"/>
  <c r="R117" i="20"/>
  <c r="M117" i="20"/>
  <c r="G117" i="20"/>
  <c r="P116" i="20"/>
  <c r="L116" i="20"/>
  <c r="J116" i="20"/>
  <c r="E116" i="20"/>
  <c r="H116" i="20" s="1"/>
  <c r="P115" i="20"/>
  <c r="L115" i="20"/>
  <c r="J115" i="20"/>
  <c r="N115" i="20" s="1"/>
  <c r="E115" i="20"/>
  <c r="H115" i="20" s="1"/>
  <c r="P114" i="20"/>
  <c r="L114" i="20"/>
  <c r="J114" i="20"/>
  <c r="N114" i="20" s="1"/>
  <c r="E114" i="20"/>
  <c r="H114" i="20" s="1"/>
  <c r="P113" i="20"/>
  <c r="L113" i="20"/>
  <c r="J113" i="20"/>
  <c r="N113" i="20" s="1"/>
  <c r="E113" i="20"/>
  <c r="H113" i="20" s="1"/>
  <c r="P112" i="20"/>
  <c r="L112" i="20"/>
  <c r="J112" i="20"/>
  <c r="E112" i="20"/>
  <c r="H112" i="20" s="1"/>
  <c r="P111" i="20"/>
  <c r="L111" i="20"/>
  <c r="J111" i="20"/>
  <c r="E111" i="20"/>
  <c r="H111" i="20" s="1"/>
  <c r="P110" i="20"/>
  <c r="L110" i="20"/>
  <c r="J110" i="20"/>
  <c r="E110" i="20"/>
  <c r="H110" i="20" s="1"/>
  <c r="P109" i="20"/>
  <c r="L109" i="20"/>
  <c r="J109" i="20"/>
  <c r="N109" i="20" s="1"/>
  <c r="E109" i="20"/>
  <c r="H109" i="20" s="1"/>
  <c r="P108" i="20"/>
  <c r="L108" i="20"/>
  <c r="J108" i="20"/>
  <c r="E108" i="20"/>
  <c r="H108" i="20" s="1"/>
  <c r="P107" i="20"/>
  <c r="L107" i="20"/>
  <c r="J107" i="20"/>
  <c r="E107" i="20"/>
  <c r="H107" i="20" s="1"/>
  <c r="P106" i="20"/>
  <c r="L106" i="20"/>
  <c r="J106" i="20"/>
  <c r="N106" i="20" s="1"/>
  <c r="E106" i="20"/>
  <c r="H106" i="20" s="1"/>
  <c r="P105" i="20"/>
  <c r="L105" i="20"/>
  <c r="J105" i="20"/>
  <c r="E105" i="20"/>
  <c r="H105" i="20" s="1"/>
  <c r="P104" i="20"/>
  <c r="L104" i="20"/>
  <c r="J104" i="20"/>
  <c r="N104" i="20" s="1"/>
  <c r="E104" i="20"/>
  <c r="H104" i="20" s="1"/>
  <c r="P103" i="20"/>
  <c r="L103" i="20"/>
  <c r="J103" i="20"/>
  <c r="E103" i="20"/>
  <c r="H103" i="20" s="1"/>
  <c r="P102" i="20"/>
  <c r="L102" i="20"/>
  <c r="J102" i="20"/>
  <c r="N102" i="20" s="1"/>
  <c r="E102" i="20"/>
  <c r="H102" i="20" s="1"/>
  <c r="P101" i="20"/>
  <c r="L101" i="20"/>
  <c r="J101" i="20"/>
  <c r="E101" i="20"/>
  <c r="H101" i="20" s="1"/>
  <c r="P100" i="20"/>
  <c r="L100" i="20"/>
  <c r="J100" i="20"/>
  <c r="N100" i="20" s="1"/>
  <c r="E100" i="20"/>
  <c r="H100" i="20" s="1"/>
  <c r="P99" i="20"/>
  <c r="L99" i="20"/>
  <c r="J99" i="20"/>
  <c r="E99" i="20"/>
  <c r="H99" i="20" s="1"/>
  <c r="P98" i="20"/>
  <c r="L98" i="20"/>
  <c r="J98" i="20"/>
  <c r="E98" i="20"/>
  <c r="H98" i="20" s="1"/>
  <c r="P97" i="20"/>
  <c r="L97" i="20"/>
  <c r="J97" i="20"/>
  <c r="N97" i="20" s="1"/>
  <c r="E97" i="20"/>
  <c r="H97" i="20" s="1"/>
  <c r="P96" i="20"/>
  <c r="L96" i="20"/>
  <c r="J96" i="20"/>
  <c r="E96" i="20"/>
  <c r="H96" i="20" s="1"/>
  <c r="P95" i="20"/>
  <c r="L95" i="20"/>
  <c r="J95" i="20"/>
  <c r="E95" i="20"/>
  <c r="H95" i="20" s="1"/>
  <c r="P94" i="20"/>
  <c r="L94" i="20"/>
  <c r="J94" i="20"/>
  <c r="N94" i="20" s="1"/>
  <c r="E94" i="20"/>
  <c r="H94" i="20" s="1"/>
  <c r="P93" i="20"/>
  <c r="L93" i="20"/>
  <c r="J93" i="20"/>
  <c r="N93" i="20" s="1"/>
  <c r="E93" i="20"/>
  <c r="H93" i="20" s="1"/>
  <c r="P92" i="20"/>
  <c r="L92" i="20"/>
  <c r="J92" i="20"/>
  <c r="N92" i="20" s="1"/>
  <c r="E92" i="20"/>
  <c r="H92" i="20" s="1"/>
  <c r="P91" i="20"/>
  <c r="L91" i="20"/>
  <c r="J91" i="20"/>
  <c r="N91" i="20" s="1"/>
  <c r="E91" i="20"/>
  <c r="H91" i="20" s="1"/>
  <c r="P90" i="20"/>
  <c r="L90" i="20"/>
  <c r="J90" i="20"/>
  <c r="E90" i="20"/>
  <c r="H90" i="20" s="1"/>
  <c r="P89" i="20"/>
  <c r="L89" i="20"/>
  <c r="J89" i="20"/>
  <c r="N89" i="20" s="1"/>
  <c r="E89" i="20"/>
  <c r="H89" i="20" s="1"/>
  <c r="P88" i="20"/>
  <c r="L88" i="20"/>
  <c r="J88" i="20"/>
  <c r="N88" i="20" s="1"/>
  <c r="E88" i="20"/>
  <c r="H88" i="20" s="1"/>
  <c r="P87" i="20"/>
  <c r="L87" i="20"/>
  <c r="J87" i="20"/>
  <c r="E87" i="20"/>
  <c r="H87" i="20" s="1"/>
  <c r="P86" i="20"/>
  <c r="L86" i="20"/>
  <c r="J86" i="20"/>
  <c r="E86" i="20"/>
  <c r="H86" i="20" s="1"/>
  <c r="P85" i="20"/>
  <c r="L85" i="20"/>
  <c r="J85" i="20"/>
  <c r="N85" i="20" s="1"/>
  <c r="E85" i="20"/>
  <c r="H85" i="20" s="1"/>
  <c r="P84" i="20"/>
  <c r="L84" i="20"/>
  <c r="J84" i="20"/>
  <c r="N84" i="20" s="1"/>
  <c r="E84" i="20"/>
  <c r="H84" i="20" s="1"/>
  <c r="P83" i="20"/>
  <c r="L83" i="20"/>
  <c r="J83" i="20"/>
  <c r="E83" i="20"/>
  <c r="H83" i="20" s="1"/>
  <c r="P82" i="20"/>
  <c r="L82" i="20"/>
  <c r="J82" i="20"/>
  <c r="N82" i="20" s="1"/>
  <c r="E82" i="20"/>
  <c r="H82" i="20" s="1"/>
  <c r="P81" i="20"/>
  <c r="L81" i="20"/>
  <c r="J81" i="20"/>
  <c r="E81" i="20"/>
  <c r="H81" i="20" s="1"/>
  <c r="P80" i="20"/>
  <c r="L80" i="20"/>
  <c r="J80" i="20"/>
  <c r="E80" i="20"/>
  <c r="H80" i="20" s="1"/>
  <c r="P79" i="20"/>
  <c r="L79" i="20"/>
  <c r="J79" i="20"/>
  <c r="N79" i="20" s="1"/>
  <c r="E79" i="20"/>
  <c r="H79" i="20" s="1"/>
  <c r="P78" i="20"/>
  <c r="L78" i="20"/>
  <c r="J78" i="20"/>
  <c r="E78" i="20"/>
  <c r="H78" i="20" s="1"/>
  <c r="P77" i="20"/>
  <c r="L77" i="20"/>
  <c r="J77" i="20"/>
  <c r="N77" i="20" s="1"/>
  <c r="E77" i="20"/>
  <c r="H77" i="20" s="1"/>
  <c r="P76" i="20"/>
  <c r="L76" i="20"/>
  <c r="J76" i="20"/>
  <c r="E76" i="20"/>
  <c r="H76" i="20" s="1"/>
  <c r="P75" i="20"/>
  <c r="L75" i="20"/>
  <c r="J75" i="20"/>
  <c r="E75" i="20"/>
  <c r="H75" i="20" s="1"/>
  <c r="P74" i="20"/>
  <c r="L74" i="20"/>
  <c r="J74" i="20"/>
  <c r="E74" i="20"/>
  <c r="H74" i="20" s="1"/>
  <c r="P73" i="20"/>
  <c r="L73" i="20"/>
  <c r="J73" i="20"/>
  <c r="N73" i="20" s="1"/>
  <c r="E73" i="20"/>
  <c r="H73" i="20" s="1"/>
  <c r="P72" i="20"/>
  <c r="L72" i="20"/>
  <c r="J72" i="20"/>
  <c r="N72" i="20" s="1"/>
  <c r="E72" i="20"/>
  <c r="H72" i="20" s="1"/>
  <c r="P71" i="20"/>
  <c r="L71" i="20"/>
  <c r="J71" i="20"/>
  <c r="E71" i="20"/>
  <c r="H71" i="20" s="1"/>
  <c r="P70" i="20"/>
  <c r="L70" i="20"/>
  <c r="J70" i="20"/>
  <c r="N70" i="20" s="1"/>
  <c r="E70" i="20"/>
  <c r="H70" i="20" s="1"/>
  <c r="P69" i="20"/>
  <c r="L69" i="20"/>
  <c r="J69" i="20"/>
  <c r="E69" i="20"/>
  <c r="H69" i="20" s="1"/>
  <c r="P68" i="20"/>
  <c r="L68" i="20"/>
  <c r="J68" i="20"/>
  <c r="N68" i="20" s="1"/>
  <c r="E68" i="20"/>
  <c r="H68" i="20" s="1"/>
  <c r="P67" i="20"/>
  <c r="L67" i="20"/>
  <c r="J67" i="20"/>
  <c r="E67" i="20"/>
  <c r="H67" i="20" s="1"/>
  <c r="P66" i="20"/>
  <c r="L66" i="20"/>
  <c r="J66" i="20"/>
  <c r="E66" i="20"/>
  <c r="H66" i="20" s="1"/>
  <c r="P65" i="20"/>
  <c r="L65" i="20"/>
  <c r="J65" i="20"/>
  <c r="E65" i="20"/>
  <c r="H65" i="20" s="1"/>
  <c r="P64" i="20"/>
  <c r="L64" i="20"/>
  <c r="J64" i="20"/>
  <c r="N64" i="20" s="1"/>
  <c r="E64" i="20"/>
  <c r="H64" i="20" s="1"/>
  <c r="P63" i="20"/>
  <c r="L63" i="20"/>
  <c r="J63" i="20"/>
  <c r="N63" i="20" s="1"/>
  <c r="E63" i="20"/>
  <c r="H63" i="20" s="1"/>
  <c r="P62" i="20"/>
  <c r="L62" i="20"/>
  <c r="J62" i="20"/>
  <c r="E62" i="20"/>
  <c r="H62" i="20" s="1"/>
  <c r="P61" i="20"/>
  <c r="L61" i="20"/>
  <c r="J61" i="20"/>
  <c r="N61" i="20" s="1"/>
  <c r="E61" i="20"/>
  <c r="H61" i="20" s="1"/>
  <c r="P60" i="20"/>
  <c r="L60" i="20"/>
  <c r="J60" i="20"/>
  <c r="E60" i="20"/>
  <c r="H60" i="20" s="1"/>
  <c r="P59" i="20"/>
  <c r="L59" i="20"/>
  <c r="J59" i="20"/>
  <c r="E59" i="20"/>
  <c r="H59" i="20" s="1"/>
  <c r="P58" i="20"/>
  <c r="L58" i="20"/>
  <c r="J58" i="20"/>
  <c r="N58" i="20" s="1"/>
  <c r="E58" i="20"/>
  <c r="H58" i="20" s="1"/>
  <c r="P57" i="20"/>
  <c r="L57" i="20"/>
  <c r="J57" i="20"/>
  <c r="E57" i="20"/>
  <c r="H57" i="20" s="1"/>
  <c r="P56" i="20"/>
  <c r="L56" i="20"/>
  <c r="J56" i="20"/>
  <c r="E56" i="20"/>
  <c r="H56" i="20" s="1"/>
  <c r="P55" i="20"/>
  <c r="L55" i="20"/>
  <c r="J55" i="20"/>
  <c r="N55" i="20" s="1"/>
  <c r="E55" i="20"/>
  <c r="H55" i="20" s="1"/>
  <c r="P54" i="20"/>
  <c r="L54" i="20"/>
  <c r="J54" i="20"/>
  <c r="E54" i="20"/>
  <c r="H54" i="20" s="1"/>
  <c r="P53" i="20"/>
  <c r="L53" i="20"/>
  <c r="J53" i="20"/>
  <c r="N53" i="20" s="1"/>
  <c r="E53" i="20"/>
  <c r="H53" i="20" s="1"/>
  <c r="P52" i="20"/>
  <c r="L52" i="20"/>
  <c r="J52" i="20"/>
  <c r="N52" i="20" s="1"/>
  <c r="E52" i="20"/>
  <c r="H52" i="20" s="1"/>
  <c r="P51" i="20"/>
  <c r="L51" i="20"/>
  <c r="J51" i="20"/>
  <c r="E51" i="20"/>
  <c r="H51" i="20" s="1"/>
  <c r="F47" i="20"/>
  <c r="I46" i="20"/>
  <c r="K46" i="20" s="1"/>
  <c r="M46" i="20"/>
  <c r="E46" i="20"/>
  <c r="L46" i="20" s="1"/>
  <c r="M45" i="20"/>
  <c r="I45" i="20"/>
  <c r="K45" i="20" s="1"/>
  <c r="E45" i="20"/>
  <c r="M44" i="20"/>
  <c r="I44" i="20"/>
  <c r="E44" i="20"/>
  <c r="G44" i="20" s="1"/>
  <c r="J40" i="20"/>
  <c r="F40" i="20"/>
  <c r="M39" i="20"/>
  <c r="I39" i="20"/>
  <c r="E39" i="20"/>
  <c r="L39" i="20" s="1"/>
  <c r="M38" i="20"/>
  <c r="I38" i="20"/>
  <c r="K38" i="20" s="1"/>
  <c r="E38" i="20"/>
  <c r="J34" i="20"/>
  <c r="F34" i="20"/>
  <c r="M33" i="20"/>
  <c r="I33" i="20"/>
  <c r="K33" i="20" s="1"/>
  <c r="E33" i="20"/>
  <c r="M32" i="20"/>
  <c r="I32" i="20"/>
  <c r="K32" i="20" s="1"/>
  <c r="E32" i="20"/>
  <c r="L32" i="20" s="1"/>
  <c r="M31" i="20"/>
  <c r="I31" i="20"/>
  <c r="E31" i="20"/>
  <c r="G31" i="20" s="1"/>
  <c r="M30" i="20"/>
  <c r="I30" i="20"/>
  <c r="K30" i="20" s="1"/>
  <c r="E30" i="20"/>
  <c r="M29" i="20"/>
  <c r="I29" i="20"/>
  <c r="E29" i="20"/>
  <c r="J25" i="20"/>
  <c r="F25" i="20"/>
  <c r="M24" i="20"/>
  <c r="I24" i="20"/>
  <c r="K24" i="20" s="1"/>
  <c r="E24" i="20"/>
  <c r="G24" i="20" s="1"/>
  <c r="M23" i="20"/>
  <c r="I23" i="20"/>
  <c r="K23" i="20" s="1"/>
  <c r="E23" i="20"/>
  <c r="O19" i="20"/>
  <c r="J19" i="20"/>
  <c r="F19" i="20"/>
  <c r="M18" i="20"/>
  <c r="I18" i="20"/>
  <c r="K18" i="20" s="1"/>
  <c r="E18" i="20"/>
  <c r="G18" i="20" s="1"/>
  <c r="M17" i="20"/>
  <c r="I17" i="20"/>
  <c r="K17" i="20" s="1"/>
  <c r="E17" i="20"/>
  <c r="M16" i="20"/>
  <c r="I16" i="20"/>
  <c r="K16" i="20" s="1"/>
  <c r="E16" i="20"/>
  <c r="L16" i="20" s="1"/>
  <c r="N16" i="20" s="1"/>
  <c r="M15" i="20"/>
  <c r="I15" i="20"/>
  <c r="K15" i="20" s="1"/>
  <c r="E15" i="20"/>
  <c r="L15" i="20" s="1"/>
  <c r="M14" i="20"/>
  <c r="I14" i="20"/>
  <c r="K14" i="20" s="1"/>
  <c r="E14" i="20"/>
  <c r="M13" i="20"/>
  <c r="I13" i="20"/>
  <c r="E13" i="20"/>
  <c r="G13" i="20" s="1"/>
  <c r="M12" i="20"/>
  <c r="I12" i="20"/>
  <c r="K12" i="20" s="1"/>
  <c r="E12" i="20"/>
  <c r="L12" i="20" s="1"/>
  <c r="M11" i="20"/>
  <c r="I11" i="20"/>
  <c r="K11" i="20" s="1"/>
  <c r="E11" i="20"/>
  <c r="G11" i="20" s="1"/>
  <c r="M10" i="20"/>
  <c r="I10" i="20"/>
  <c r="K10" i="20" s="1"/>
  <c r="E10" i="20"/>
  <c r="M9" i="20"/>
  <c r="I9" i="20"/>
  <c r="K9" i="20" s="1"/>
  <c r="E9" i="20"/>
  <c r="L9" i="20" s="1"/>
  <c r="M8" i="20"/>
  <c r="I8" i="20"/>
  <c r="E8" i="20"/>
  <c r="G8" i="20" s="1"/>
  <c r="M7" i="20"/>
  <c r="I7" i="20"/>
  <c r="K7" i="20" s="1"/>
  <c r="E7" i="20"/>
  <c r="L7" i="20" s="1"/>
  <c r="M6" i="20"/>
  <c r="I6" i="20"/>
  <c r="K6" i="20" s="1"/>
  <c r="E6" i="20"/>
  <c r="G6" i="20" s="1"/>
  <c r="M5" i="20"/>
  <c r="I5" i="20"/>
  <c r="K5" i="20" s="1"/>
  <c r="E5" i="20"/>
  <c r="L5" i="20" s="1"/>
  <c r="J141" i="19"/>
  <c r="F141" i="19"/>
  <c r="E141" i="19"/>
  <c r="L140" i="19"/>
  <c r="K140" i="19"/>
  <c r="M140" i="19"/>
  <c r="M141" i="19" s="1"/>
  <c r="I140" i="19"/>
  <c r="G140" i="19"/>
  <c r="E140" i="19"/>
  <c r="F46" i="19"/>
  <c r="F47" i="19" s="1"/>
  <c r="L143" i="19"/>
  <c r="M139" i="19"/>
  <c r="I139" i="19"/>
  <c r="K139" i="19" s="1"/>
  <c r="E139" i="19"/>
  <c r="L139" i="19" s="1"/>
  <c r="N139" i="19" s="1"/>
  <c r="M138" i="19"/>
  <c r="I138" i="19"/>
  <c r="K138" i="19" s="1"/>
  <c r="E138" i="19"/>
  <c r="G138" i="19" s="1"/>
  <c r="M137" i="19"/>
  <c r="I137" i="19"/>
  <c r="K137" i="19" s="1"/>
  <c r="E137" i="19"/>
  <c r="G137" i="19" s="1"/>
  <c r="M136" i="19"/>
  <c r="I136" i="19"/>
  <c r="K136" i="19" s="1"/>
  <c r="E136" i="19"/>
  <c r="G136" i="19" s="1"/>
  <c r="M135" i="19"/>
  <c r="I135" i="19"/>
  <c r="K135" i="19" s="1"/>
  <c r="E135" i="19"/>
  <c r="L135" i="19" s="1"/>
  <c r="N135" i="19" s="1"/>
  <c r="M134" i="19"/>
  <c r="I134" i="19"/>
  <c r="K134" i="19" s="1"/>
  <c r="E134" i="19"/>
  <c r="L134" i="19" s="1"/>
  <c r="N134" i="19" s="1"/>
  <c r="M133" i="19"/>
  <c r="I133" i="19"/>
  <c r="K133" i="19" s="1"/>
  <c r="E133" i="19"/>
  <c r="M132" i="19"/>
  <c r="I132" i="19"/>
  <c r="K132" i="19" s="1"/>
  <c r="E132" i="19"/>
  <c r="G132" i="19" s="1"/>
  <c r="M131" i="19"/>
  <c r="I131" i="19"/>
  <c r="K131" i="19" s="1"/>
  <c r="E131" i="19"/>
  <c r="L131" i="19" s="1"/>
  <c r="N131" i="19" s="1"/>
  <c r="M130" i="19"/>
  <c r="I130" i="19"/>
  <c r="K130" i="19" s="1"/>
  <c r="E130" i="19"/>
  <c r="M129" i="19"/>
  <c r="I129" i="19"/>
  <c r="K129" i="19" s="1"/>
  <c r="E129" i="19"/>
  <c r="G129" i="19" s="1"/>
  <c r="M128" i="19"/>
  <c r="I128" i="19"/>
  <c r="K128" i="19" s="1"/>
  <c r="E128" i="19"/>
  <c r="M127" i="19"/>
  <c r="I127" i="19"/>
  <c r="K127" i="19" s="1"/>
  <c r="E127" i="19"/>
  <c r="L127" i="19" s="1"/>
  <c r="N127" i="19" s="1"/>
  <c r="M126" i="19"/>
  <c r="I126" i="19"/>
  <c r="K126" i="19" s="1"/>
  <c r="E126" i="19"/>
  <c r="L126" i="19" s="1"/>
  <c r="M125" i="19"/>
  <c r="I125" i="19"/>
  <c r="E125" i="19"/>
  <c r="G125" i="19" s="1"/>
  <c r="M124" i="19"/>
  <c r="I124" i="19"/>
  <c r="E124" i="19"/>
  <c r="G124" i="19" s="1"/>
  <c r="M123" i="19"/>
  <c r="I123" i="19"/>
  <c r="K123" i="19" s="1"/>
  <c r="E123" i="19"/>
  <c r="G123" i="19" s="1"/>
  <c r="M122" i="19"/>
  <c r="I122" i="19"/>
  <c r="K122" i="19" s="1"/>
  <c r="E122" i="19"/>
  <c r="M121" i="19"/>
  <c r="I121" i="19"/>
  <c r="K121" i="19" s="1"/>
  <c r="E121" i="19"/>
  <c r="L121" i="19" s="1"/>
  <c r="R117" i="19"/>
  <c r="M117" i="19"/>
  <c r="G117" i="19"/>
  <c r="P116" i="19"/>
  <c r="L116" i="19"/>
  <c r="J116" i="19"/>
  <c r="N116" i="19" s="1"/>
  <c r="E116" i="19"/>
  <c r="H116" i="19" s="1"/>
  <c r="P115" i="19"/>
  <c r="L115" i="19"/>
  <c r="J115" i="19"/>
  <c r="N115" i="19" s="1"/>
  <c r="E115" i="19"/>
  <c r="H115" i="19" s="1"/>
  <c r="P114" i="19"/>
  <c r="L114" i="19"/>
  <c r="J114" i="19"/>
  <c r="E114" i="19"/>
  <c r="H114" i="19" s="1"/>
  <c r="P113" i="19"/>
  <c r="L113" i="19"/>
  <c r="J113" i="19"/>
  <c r="N113" i="19" s="1"/>
  <c r="E113" i="19"/>
  <c r="H113" i="19" s="1"/>
  <c r="P112" i="19"/>
  <c r="L112" i="19"/>
  <c r="J112" i="19"/>
  <c r="N112" i="19" s="1"/>
  <c r="E112" i="19"/>
  <c r="H112" i="19" s="1"/>
  <c r="P111" i="19"/>
  <c r="L111" i="19"/>
  <c r="J111" i="19"/>
  <c r="O111" i="19" s="1"/>
  <c r="E111" i="19"/>
  <c r="H111" i="19" s="1"/>
  <c r="P110" i="19"/>
  <c r="L110" i="19"/>
  <c r="J110" i="19"/>
  <c r="N110" i="19" s="1"/>
  <c r="E110" i="19"/>
  <c r="H110" i="19" s="1"/>
  <c r="P109" i="19"/>
  <c r="L109" i="19"/>
  <c r="J109" i="19"/>
  <c r="N109" i="19" s="1"/>
  <c r="E109" i="19"/>
  <c r="H109" i="19" s="1"/>
  <c r="P108" i="19"/>
  <c r="L108" i="19"/>
  <c r="J108" i="19"/>
  <c r="E108" i="19"/>
  <c r="H108" i="19" s="1"/>
  <c r="P107" i="19"/>
  <c r="L107" i="19"/>
  <c r="J107" i="19"/>
  <c r="N107" i="19" s="1"/>
  <c r="E107" i="19"/>
  <c r="H107" i="19" s="1"/>
  <c r="P106" i="19"/>
  <c r="L106" i="19"/>
  <c r="J106" i="19"/>
  <c r="N106" i="19" s="1"/>
  <c r="E106" i="19"/>
  <c r="H106" i="19" s="1"/>
  <c r="P105" i="19"/>
  <c r="L105" i="19"/>
  <c r="J105" i="19"/>
  <c r="E105" i="19"/>
  <c r="H105" i="19" s="1"/>
  <c r="P104" i="19"/>
  <c r="L104" i="19"/>
  <c r="J104" i="19"/>
  <c r="N104" i="19" s="1"/>
  <c r="E104" i="19"/>
  <c r="H104" i="19" s="1"/>
  <c r="P103" i="19"/>
  <c r="L103" i="19"/>
  <c r="J103" i="19"/>
  <c r="N103" i="19" s="1"/>
  <c r="E103" i="19"/>
  <c r="H103" i="19" s="1"/>
  <c r="P102" i="19"/>
  <c r="L102" i="19"/>
  <c r="J102" i="19"/>
  <c r="E102" i="19"/>
  <c r="H102" i="19" s="1"/>
  <c r="P101" i="19"/>
  <c r="L101" i="19"/>
  <c r="J101" i="19"/>
  <c r="N101" i="19" s="1"/>
  <c r="E101" i="19"/>
  <c r="H101" i="19" s="1"/>
  <c r="P100" i="19"/>
  <c r="L100" i="19"/>
  <c r="J100" i="19"/>
  <c r="N100" i="19" s="1"/>
  <c r="E100" i="19"/>
  <c r="H100" i="19" s="1"/>
  <c r="P99" i="19"/>
  <c r="L99" i="19"/>
  <c r="J99" i="19"/>
  <c r="E99" i="19"/>
  <c r="H99" i="19" s="1"/>
  <c r="P98" i="19"/>
  <c r="L98" i="19"/>
  <c r="J98" i="19"/>
  <c r="N98" i="19" s="1"/>
  <c r="E98" i="19"/>
  <c r="H98" i="19" s="1"/>
  <c r="P97" i="19"/>
  <c r="L97" i="19"/>
  <c r="J97" i="19"/>
  <c r="N97" i="19" s="1"/>
  <c r="E97" i="19"/>
  <c r="H97" i="19" s="1"/>
  <c r="P96" i="19"/>
  <c r="L96" i="19"/>
  <c r="J96" i="19"/>
  <c r="E96" i="19"/>
  <c r="H96" i="19" s="1"/>
  <c r="P95" i="19"/>
  <c r="L95" i="19"/>
  <c r="J95" i="19"/>
  <c r="N95" i="19" s="1"/>
  <c r="E95" i="19"/>
  <c r="H95" i="19" s="1"/>
  <c r="P94" i="19"/>
  <c r="L94" i="19"/>
  <c r="J94" i="19"/>
  <c r="N94" i="19" s="1"/>
  <c r="E94" i="19"/>
  <c r="H94" i="19" s="1"/>
  <c r="P93" i="19"/>
  <c r="L93" i="19"/>
  <c r="J93" i="19"/>
  <c r="E93" i="19"/>
  <c r="H93" i="19" s="1"/>
  <c r="P92" i="19"/>
  <c r="L92" i="19"/>
  <c r="J92" i="19"/>
  <c r="N92" i="19" s="1"/>
  <c r="E92" i="19"/>
  <c r="H92" i="19" s="1"/>
  <c r="P91" i="19"/>
  <c r="L91" i="19"/>
  <c r="J91" i="19"/>
  <c r="N91" i="19" s="1"/>
  <c r="E91" i="19"/>
  <c r="H91" i="19" s="1"/>
  <c r="P90" i="19"/>
  <c r="L90" i="19"/>
  <c r="J90" i="19"/>
  <c r="O90" i="19" s="1"/>
  <c r="E90" i="19"/>
  <c r="H90" i="19" s="1"/>
  <c r="P89" i="19"/>
  <c r="L89" i="19"/>
  <c r="J89" i="19"/>
  <c r="N89" i="19" s="1"/>
  <c r="E89" i="19"/>
  <c r="H89" i="19" s="1"/>
  <c r="P88" i="19"/>
  <c r="L88" i="19"/>
  <c r="J88" i="19"/>
  <c r="N88" i="19" s="1"/>
  <c r="E88" i="19"/>
  <c r="H88" i="19" s="1"/>
  <c r="P87" i="19"/>
  <c r="L87" i="19"/>
  <c r="J87" i="19"/>
  <c r="E87" i="19"/>
  <c r="H87" i="19" s="1"/>
  <c r="P86" i="19"/>
  <c r="L86" i="19"/>
  <c r="J86" i="19"/>
  <c r="N86" i="19" s="1"/>
  <c r="E86" i="19"/>
  <c r="H86" i="19" s="1"/>
  <c r="P85" i="19"/>
  <c r="L85" i="19"/>
  <c r="J85" i="19"/>
  <c r="N85" i="19" s="1"/>
  <c r="E85" i="19"/>
  <c r="H85" i="19" s="1"/>
  <c r="P84" i="19"/>
  <c r="L84" i="19"/>
  <c r="J84" i="19"/>
  <c r="E84" i="19"/>
  <c r="H84" i="19" s="1"/>
  <c r="P83" i="19"/>
  <c r="L83" i="19"/>
  <c r="J83" i="19"/>
  <c r="N83" i="19" s="1"/>
  <c r="E83" i="19"/>
  <c r="H83" i="19" s="1"/>
  <c r="P82" i="19"/>
  <c r="L82" i="19"/>
  <c r="J82" i="19"/>
  <c r="N82" i="19" s="1"/>
  <c r="E82" i="19"/>
  <c r="H82" i="19" s="1"/>
  <c r="P81" i="19"/>
  <c r="L81" i="19"/>
  <c r="J81" i="19"/>
  <c r="E81" i="19"/>
  <c r="H81" i="19" s="1"/>
  <c r="P80" i="19"/>
  <c r="L80" i="19"/>
  <c r="J80" i="19"/>
  <c r="N80" i="19" s="1"/>
  <c r="E80" i="19"/>
  <c r="H80" i="19" s="1"/>
  <c r="P79" i="19"/>
  <c r="L79" i="19"/>
  <c r="J79" i="19"/>
  <c r="N79" i="19" s="1"/>
  <c r="E79" i="19"/>
  <c r="H79" i="19" s="1"/>
  <c r="P78" i="19"/>
  <c r="L78" i="19"/>
  <c r="J78" i="19"/>
  <c r="E78" i="19"/>
  <c r="H78" i="19" s="1"/>
  <c r="P77" i="19"/>
  <c r="L77" i="19"/>
  <c r="J77" i="19"/>
  <c r="N77" i="19" s="1"/>
  <c r="E77" i="19"/>
  <c r="H77" i="19" s="1"/>
  <c r="P76" i="19"/>
  <c r="L76" i="19"/>
  <c r="J76" i="19"/>
  <c r="N76" i="19" s="1"/>
  <c r="E76" i="19"/>
  <c r="H76" i="19" s="1"/>
  <c r="P75" i="19"/>
  <c r="L75" i="19"/>
  <c r="J75" i="19"/>
  <c r="E75" i="19"/>
  <c r="H75" i="19" s="1"/>
  <c r="P74" i="19"/>
  <c r="L74" i="19"/>
  <c r="J74" i="19"/>
  <c r="N74" i="19" s="1"/>
  <c r="E74" i="19"/>
  <c r="H74" i="19" s="1"/>
  <c r="P73" i="19"/>
  <c r="L73" i="19"/>
  <c r="J73" i="19"/>
  <c r="N73" i="19" s="1"/>
  <c r="E73" i="19"/>
  <c r="H73" i="19" s="1"/>
  <c r="P72" i="19"/>
  <c r="L72" i="19"/>
  <c r="J72" i="19"/>
  <c r="E72" i="19"/>
  <c r="H72" i="19" s="1"/>
  <c r="P71" i="19"/>
  <c r="L71" i="19"/>
  <c r="J71" i="19"/>
  <c r="N71" i="19" s="1"/>
  <c r="E71" i="19"/>
  <c r="H71" i="19" s="1"/>
  <c r="P70" i="19"/>
  <c r="L70" i="19"/>
  <c r="J70" i="19"/>
  <c r="N70" i="19" s="1"/>
  <c r="E70" i="19"/>
  <c r="H70" i="19" s="1"/>
  <c r="P69" i="19"/>
  <c r="L69" i="19"/>
  <c r="J69" i="19"/>
  <c r="E69" i="19"/>
  <c r="H69" i="19" s="1"/>
  <c r="P68" i="19"/>
  <c r="L68" i="19"/>
  <c r="J68" i="19"/>
  <c r="N68" i="19" s="1"/>
  <c r="E68" i="19"/>
  <c r="H68" i="19" s="1"/>
  <c r="P67" i="19"/>
  <c r="L67" i="19"/>
  <c r="J67" i="19"/>
  <c r="N67" i="19" s="1"/>
  <c r="E67" i="19"/>
  <c r="H67" i="19" s="1"/>
  <c r="P66" i="19"/>
  <c r="L66" i="19"/>
  <c r="J66" i="19"/>
  <c r="E66" i="19"/>
  <c r="H66" i="19" s="1"/>
  <c r="P65" i="19"/>
  <c r="L65" i="19"/>
  <c r="J65" i="19"/>
  <c r="N65" i="19" s="1"/>
  <c r="E65" i="19"/>
  <c r="H65" i="19" s="1"/>
  <c r="P64" i="19"/>
  <c r="L64" i="19"/>
  <c r="J64" i="19"/>
  <c r="N64" i="19" s="1"/>
  <c r="E64" i="19"/>
  <c r="H64" i="19" s="1"/>
  <c r="P63" i="19"/>
  <c r="L63" i="19"/>
  <c r="J63" i="19"/>
  <c r="E63" i="19"/>
  <c r="H63" i="19" s="1"/>
  <c r="P62" i="19"/>
  <c r="L62" i="19"/>
  <c r="J62" i="19"/>
  <c r="N62" i="19" s="1"/>
  <c r="E62" i="19"/>
  <c r="H62" i="19" s="1"/>
  <c r="P61" i="19"/>
  <c r="L61" i="19"/>
  <c r="J61" i="19"/>
  <c r="N61" i="19" s="1"/>
  <c r="E61" i="19"/>
  <c r="H61" i="19" s="1"/>
  <c r="P60" i="19"/>
  <c r="L60" i="19"/>
  <c r="J60" i="19"/>
  <c r="E60" i="19"/>
  <c r="H60" i="19" s="1"/>
  <c r="P59" i="19"/>
  <c r="L59" i="19"/>
  <c r="J59" i="19"/>
  <c r="N59" i="19" s="1"/>
  <c r="E59" i="19"/>
  <c r="H59" i="19" s="1"/>
  <c r="P58" i="19"/>
  <c r="L58" i="19"/>
  <c r="J58" i="19"/>
  <c r="N58" i="19" s="1"/>
  <c r="E58" i="19"/>
  <c r="H58" i="19" s="1"/>
  <c r="P57" i="19"/>
  <c r="L57" i="19"/>
  <c r="J57" i="19"/>
  <c r="O57" i="19" s="1"/>
  <c r="E57" i="19"/>
  <c r="H57" i="19" s="1"/>
  <c r="P56" i="19"/>
  <c r="L56" i="19"/>
  <c r="J56" i="19"/>
  <c r="N56" i="19" s="1"/>
  <c r="E56" i="19"/>
  <c r="H56" i="19" s="1"/>
  <c r="P55" i="19"/>
  <c r="L55" i="19"/>
  <c r="J55" i="19"/>
  <c r="N55" i="19" s="1"/>
  <c r="E55" i="19"/>
  <c r="H55" i="19" s="1"/>
  <c r="P54" i="19"/>
  <c r="L54" i="19"/>
  <c r="J54" i="19"/>
  <c r="O54" i="19" s="1"/>
  <c r="E54" i="19"/>
  <c r="H54" i="19" s="1"/>
  <c r="P53" i="19"/>
  <c r="L53" i="19"/>
  <c r="J53" i="19"/>
  <c r="N53" i="19" s="1"/>
  <c r="E53" i="19"/>
  <c r="H53" i="19" s="1"/>
  <c r="P52" i="19"/>
  <c r="L52" i="19"/>
  <c r="J52" i="19"/>
  <c r="N52" i="19" s="1"/>
  <c r="E52" i="19"/>
  <c r="H52" i="19" s="1"/>
  <c r="P51" i="19"/>
  <c r="L51" i="19"/>
  <c r="J51" i="19"/>
  <c r="E51" i="19"/>
  <c r="J47" i="19"/>
  <c r="M46" i="19"/>
  <c r="I46" i="19"/>
  <c r="K46" i="19" s="1"/>
  <c r="E46" i="19"/>
  <c r="G46" i="19" s="1"/>
  <c r="M45" i="19"/>
  <c r="M47" i="19" s="1"/>
  <c r="N148" i="19" s="1"/>
  <c r="I45" i="19"/>
  <c r="E45" i="19"/>
  <c r="G45" i="19" s="1"/>
  <c r="M44" i="19"/>
  <c r="I44" i="19"/>
  <c r="E44" i="19"/>
  <c r="G44" i="19" s="1"/>
  <c r="J40" i="19"/>
  <c r="F40" i="19"/>
  <c r="M39" i="19"/>
  <c r="I39" i="19"/>
  <c r="K39" i="19" s="1"/>
  <c r="E39" i="19"/>
  <c r="M38" i="19"/>
  <c r="I38" i="19"/>
  <c r="K38" i="19" s="1"/>
  <c r="E38" i="19"/>
  <c r="E40" i="19" s="1"/>
  <c r="J34" i="19"/>
  <c r="F34" i="19"/>
  <c r="M33" i="19"/>
  <c r="I33" i="19"/>
  <c r="K33" i="19" s="1"/>
  <c r="E33" i="19"/>
  <c r="G33" i="19" s="1"/>
  <c r="M32" i="19"/>
  <c r="I32" i="19"/>
  <c r="K32" i="19" s="1"/>
  <c r="E32" i="19"/>
  <c r="M31" i="19"/>
  <c r="I31" i="19"/>
  <c r="K31" i="19" s="1"/>
  <c r="E31" i="19"/>
  <c r="M30" i="19"/>
  <c r="I30" i="19"/>
  <c r="K30" i="19" s="1"/>
  <c r="E30" i="19"/>
  <c r="M29" i="19"/>
  <c r="I29" i="19"/>
  <c r="E29" i="19"/>
  <c r="G29" i="19" s="1"/>
  <c r="J25" i="19"/>
  <c r="F25" i="19"/>
  <c r="M24" i="19"/>
  <c r="I24" i="19"/>
  <c r="K24" i="19" s="1"/>
  <c r="E24" i="19"/>
  <c r="L24" i="19" s="1"/>
  <c r="M23" i="19"/>
  <c r="M25" i="19" s="1"/>
  <c r="N151" i="19" s="1"/>
  <c r="I23" i="19"/>
  <c r="E23" i="19"/>
  <c r="G23" i="19" s="1"/>
  <c r="O19" i="19"/>
  <c r="J19" i="19"/>
  <c r="F19" i="19"/>
  <c r="M18" i="19"/>
  <c r="I18" i="19"/>
  <c r="K18" i="19" s="1"/>
  <c r="E18" i="19"/>
  <c r="L18" i="19" s="1"/>
  <c r="M17" i="19"/>
  <c r="I17" i="19"/>
  <c r="K17" i="19" s="1"/>
  <c r="E17" i="19"/>
  <c r="G17" i="19" s="1"/>
  <c r="M16" i="19"/>
  <c r="I16" i="19"/>
  <c r="K16" i="19" s="1"/>
  <c r="E16" i="19"/>
  <c r="M15" i="19"/>
  <c r="I15" i="19"/>
  <c r="K15" i="19" s="1"/>
  <c r="E15" i="19"/>
  <c r="M14" i="19"/>
  <c r="I14" i="19"/>
  <c r="E14" i="19"/>
  <c r="G14" i="19" s="1"/>
  <c r="M13" i="19"/>
  <c r="I13" i="19"/>
  <c r="E13" i="19"/>
  <c r="G13" i="19" s="1"/>
  <c r="M12" i="19"/>
  <c r="I12" i="19"/>
  <c r="L12" i="19" s="1"/>
  <c r="G12" i="19"/>
  <c r="E12" i="19"/>
  <c r="M11" i="19"/>
  <c r="I11" i="19"/>
  <c r="K11" i="19" s="1"/>
  <c r="E11" i="19"/>
  <c r="G11" i="19" s="1"/>
  <c r="M10" i="19"/>
  <c r="I10" i="19"/>
  <c r="K10" i="19" s="1"/>
  <c r="E10" i="19"/>
  <c r="M9" i="19"/>
  <c r="I9" i="19"/>
  <c r="K9" i="19" s="1"/>
  <c r="E9" i="19"/>
  <c r="M8" i="19"/>
  <c r="I8" i="19"/>
  <c r="K8" i="19" s="1"/>
  <c r="E8" i="19"/>
  <c r="M7" i="19"/>
  <c r="I7" i="19"/>
  <c r="E7" i="19"/>
  <c r="G7" i="19" s="1"/>
  <c r="M6" i="19"/>
  <c r="I6" i="19"/>
  <c r="K6" i="19" s="1"/>
  <c r="E6" i="19"/>
  <c r="M5" i="19"/>
  <c r="I5" i="19"/>
  <c r="K5" i="19" s="1"/>
  <c r="E5" i="19"/>
  <c r="G5" i="19" s="1"/>
  <c r="H60" i="18"/>
  <c r="H61" i="18"/>
  <c r="H62" i="18"/>
  <c r="J140" i="18"/>
  <c r="M139" i="18"/>
  <c r="I139" i="18"/>
  <c r="L139" i="18" s="1"/>
  <c r="N139" i="18" s="1"/>
  <c r="E140" i="18"/>
  <c r="F140" i="18"/>
  <c r="G139" i="18"/>
  <c r="E139" i="18"/>
  <c r="F47" i="18"/>
  <c r="L142" i="18"/>
  <c r="M138" i="18"/>
  <c r="I138" i="18"/>
  <c r="K138" i="18" s="1"/>
  <c r="E138" i="18"/>
  <c r="L138" i="18" s="1"/>
  <c r="N138" i="18" s="1"/>
  <c r="M137" i="18"/>
  <c r="I137" i="18"/>
  <c r="K137" i="18" s="1"/>
  <c r="E137" i="18"/>
  <c r="M136" i="18"/>
  <c r="I136" i="18"/>
  <c r="K136" i="18" s="1"/>
  <c r="E136" i="18"/>
  <c r="L136" i="18" s="1"/>
  <c r="N136" i="18" s="1"/>
  <c r="M135" i="18"/>
  <c r="I135" i="18"/>
  <c r="K135" i="18" s="1"/>
  <c r="E135" i="18"/>
  <c r="G135" i="18" s="1"/>
  <c r="M134" i="18"/>
  <c r="I134" i="18"/>
  <c r="K134" i="18" s="1"/>
  <c r="E134" i="18"/>
  <c r="M133" i="18"/>
  <c r="I133" i="18"/>
  <c r="K133" i="18" s="1"/>
  <c r="E133" i="18"/>
  <c r="L133" i="18" s="1"/>
  <c r="N133" i="18" s="1"/>
  <c r="M132" i="18"/>
  <c r="I132" i="18"/>
  <c r="K132" i="18" s="1"/>
  <c r="E132" i="18"/>
  <c r="M131" i="18"/>
  <c r="I131" i="18"/>
  <c r="K131" i="18" s="1"/>
  <c r="E131" i="18"/>
  <c r="L131" i="18" s="1"/>
  <c r="M130" i="18"/>
  <c r="I130" i="18"/>
  <c r="E130" i="18"/>
  <c r="G130" i="18" s="1"/>
  <c r="M129" i="18"/>
  <c r="I129" i="18"/>
  <c r="K129" i="18" s="1"/>
  <c r="E129" i="18"/>
  <c r="L129" i="18" s="1"/>
  <c r="N129" i="18" s="1"/>
  <c r="M128" i="18"/>
  <c r="I128" i="18"/>
  <c r="K128" i="18" s="1"/>
  <c r="E128" i="18"/>
  <c r="G128" i="18" s="1"/>
  <c r="M127" i="18"/>
  <c r="I127" i="18"/>
  <c r="K127" i="18" s="1"/>
  <c r="E127" i="18"/>
  <c r="L127" i="18" s="1"/>
  <c r="M126" i="18"/>
  <c r="M140" i="18" s="1"/>
  <c r="I126" i="18"/>
  <c r="K126" i="18" s="1"/>
  <c r="E126" i="18"/>
  <c r="M125" i="18"/>
  <c r="I125" i="18"/>
  <c r="K125" i="18" s="1"/>
  <c r="E125" i="18"/>
  <c r="G125" i="18" s="1"/>
  <c r="M124" i="18"/>
  <c r="I124" i="18"/>
  <c r="K124" i="18" s="1"/>
  <c r="E124" i="18"/>
  <c r="M123" i="18"/>
  <c r="I123" i="18"/>
  <c r="K123" i="18" s="1"/>
  <c r="E123" i="18"/>
  <c r="G123" i="18" s="1"/>
  <c r="M122" i="18"/>
  <c r="I122" i="18"/>
  <c r="K122" i="18" s="1"/>
  <c r="E122" i="18"/>
  <c r="M121" i="18"/>
  <c r="I121" i="18"/>
  <c r="K121" i="18" s="1"/>
  <c r="E121" i="18"/>
  <c r="L121" i="18" s="1"/>
  <c r="R117" i="18"/>
  <c r="M117" i="18"/>
  <c r="G117" i="18"/>
  <c r="P116" i="18"/>
  <c r="L116" i="18"/>
  <c r="J116" i="18"/>
  <c r="E116" i="18"/>
  <c r="H116" i="18" s="1"/>
  <c r="P115" i="18"/>
  <c r="L115" i="18"/>
  <c r="J115" i="18"/>
  <c r="N115" i="18" s="1"/>
  <c r="E115" i="18"/>
  <c r="O115" i="18" s="1"/>
  <c r="Q115" i="18" s="1"/>
  <c r="P114" i="18"/>
  <c r="L114" i="18"/>
  <c r="J114" i="18"/>
  <c r="N114" i="18" s="1"/>
  <c r="E114" i="18"/>
  <c r="H114" i="18" s="1"/>
  <c r="P113" i="18"/>
  <c r="L113" i="18"/>
  <c r="J113" i="18"/>
  <c r="E113" i="18"/>
  <c r="H113" i="18" s="1"/>
  <c r="P112" i="18"/>
  <c r="L112" i="18"/>
  <c r="J112" i="18"/>
  <c r="N112" i="18" s="1"/>
  <c r="E112" i="18"/>
  <c r="O112" i="18" s="1"/>
  <c r="P111" i="18"/>
  <c r="L111" i="18"/>
  <c r="J111" i="18"/>
  <c r="E111" i="18"/>
  <c r="H111" i="18" s="1"/>
  <c r="P110" i="18"/>
  <c r="L110" i="18"/>
  <c r="J110" i="18"/>
  <c r="E110" i="18"/>
  <c r="H110" i="18" s="1"/>
  <c r="P109" i="18"/>
  <c r="L109" i="18"/>
  <c r="J109" i="18"/>
  <c r="N109" i="18" s="1"/>
  <c r="E109" i="18"/>
  <c r="O109" i="18" s="1"/>
  <c r="P108" i="18"/>
  <c r="L108" i="18"/>
  <c r="J108" i="18"/>
  <c r="E108" i="18"/>
  <c r="H108" i="18" s="1"/>
  <c r="P107" i="18"/>
  <c r="L107" i="18"/>
  <c r="J107" i="18"/>
  <c r="E107" i="18"/>
  <c r="H107" i="18" s="1"/>
  <c r="P106" i="18"/>
  <c r="L106" i="18"/>
  <c r="J106" i="18"/>
  <c r="N106" i="18" s="1"/>
  <c r="E106" i="18"/>
  <c r="O106" i="18" s="1"/>
  <c r="P105" i="18"/>
  <c r="L105" i="18"/>
  <c r="J105" i="18"/>
  <c r="N105" i="18" s="1"/>
  <c r="E105" i="18"/>
  <c r="H105" i="18" s="1"/>
  <c r="P104" i="18"/>
  <c r="L104" i="18"/>
  <c r="J104" i="18"/>
  <c r="E104" i="18"/>
  <c r="H104" i="18" s="1"/>
  <c r="P103" i="18"/>
  <c r="L103" i="18"/>
  <c r="J103" i="18"/>
  <c r="N103" i="18" s="1"/>
  <c r="E103" i="18"/>
  <c r="P102" i="18"/>
  <c r="L102" i="18"/>
  <c r="J102" i="18"/>
  <c r="N102" i="18" s="1"/>
  <c r="E102" i="18"/>
  <c r="H102" i="18" s="1"/>
  <c r="P101" i="18"/>
  <c r="L101" i="18"/>
  <c r="J101" i="18"/>
  <c r="E101" i="18"/>
  <c r="H101" i="18" s="1"/>
  <c r="P100" i="18"/>
  <c r="L100" i="18"/>
  <c r="J100" i="18"/>
  <c r="N100" i="18" s="1"/>
  <c r="E100" i="18"/>
  <c r="P99" i="18"/>
  <c r="L99" i="18"/>
  <c r="J99" i="18"/>
  <c r="E99" i="18"/>
  <c r="H99" i="18" s="1"/>
  <c r="P98" i="18"/>
  <c r="L98" i="18"/>
  <c r="J98" i="18"/>
  <c r="E98" i="18"/>
  <c r="H98" i="18" s="1"/>
  <c r="P97" i="18"/>
  <c r="L97" i="18"/>
  <c r="J97" i="18"/>
  <c r="N97" i="18" s="1"/>
  <c r="E97" i="18"/>
  <c r="P96" i="18"/>
  <c r="L96" i="18"/>
  <c r="J96" i="18"/>
  <c r="E96" i="18"/>
  <c r="H96" i="18" s="1"/>
  <c r="P95" i="18"/>
  <c r="L95" i="18"/>
  <c r="J95" i="18"/>
  <c r="E95" i="18"/>
  <c r="H95" i="18" s="1"/>
  <c r="P94" i="18"/>
  <c r="L94" i="18"/>
  <c r="J94" i="18"/>
  <c r="N94" i="18" s="1"/>
  <c r="E94" i="18"/>
  <c r="P93" i="18"/>
  <c r="L93" i="18"/>
  <c r="J93" i="18"/>
  <c r="N93" i="18" s="1"/>
  <c r="E93" i="18"/>
  <c r="H93" i="18" s="1"/>
  <c r="P92" i="18"/>
  <c r="L92" i="18"/>
  <c r="J92" i="18"/>
  <c r="E92" i="18"/>
  <c r="H92" i="18" s="1"/>
  <c r="P91" i="18"/>
  <c r="L91" i="18"/>
  <c r="J91" i="18"/>
  <c r="N91" i="18" s="1"/>
  <c r="E91" i="18"/>
  <c r="P90" i="18"/>
  <c r="L90" i="18"/>
  <c r="J90" i="18"/>
  <c r="E90" i="18"/>
  <c r="H90" i="18" s="1"/>
  <c r="P89" i="18"/>
  <c r="L89" i="18"/>
  <c r="J89" i="18"/>
  <c r="E89" i="18"/>
  <c r="H89" i="18" s="1"/>
  <c r="P88" i="18"/>
  <c r="L88" i="18"/>
  <c r="J88" i="18"/>
  <c r="N88" i="18" s="1"/>
  <c r="E88" i="18"/>
  <c r="O88" i="18" s="1"/>
  <c r="P87" i="18"/>
  <c r="L87" i="18"/>
  <c r="J87" i="18"/>
  <c r="N87" i="18" s="1"/>
  <c r="E87" i="18"/>
  <c r="H87" i="18" s="1"/>
  <c r="P86" i="18"/>
  <c r="L86" i="18"/>
  <c r="J86" i="18"/>
  <c r="E86" i="18"/>
  <c r="H86" i="18" s="1"/>
  <c r="P85" i="18"/>
  <c r="L85" i="18"/>
  <c r="J85" i="18"/>
  <c r="N85" i="18" s="1"/>
  <c r="E85" i="18"/>
  <c r="O85" i="18" s="1"/>
  <c r="P84" i="18"/>
  <c r="L84" i="18"/>
  <c r="J84" i="18"/>
  <c r="N84" i="18" s="1"/>
  <c r="E84" i="18"/>
  <c r="H84" i="18" s="1"/>
  <c r="P83" i="18"/>
  <c r="L83" i="18"/>
  <c r="J83" i="18"/>
  <c r="E83" i="18"/>
  <c r="H83" i="18" s="1"/>
  <c r="P82" i="18"/>
  <c r="L82" i="18"/>
  <c r="J82" i="18"/>
  <c r="N82" i="18" s="1"/>
  <c r="E82" i="18"/>
  <c r="P81" i="18"/>
  <c r="L81" i="18"/>
  <c r="J81" i="18"/>
  <c r="N81" i="18" s="1"/>
  <c r="E81" i="18"/>
  <c r="H81" i="18" s="1"/>
  <c r="P80" i="18"/>
  <c r="L80" i="18"/>
  <c r="J80" i="18"/>
  <c r="E80" i="18"/>
  <c r="H80" i="18" s="1"/>
  <c r="P79" i="18"/>
  <c r="L79" i="18"/>
  <c r="J79" i="18"/>
  <c r="N79" i="18" s="1"/>
  <c r="E79" i="18"/>
  <c r="P78" i="18"/>
  <c r="L78" i="18"/>
  <c r="J78" i="18"/>
  <c r="N78" i="18" s="1"/>
  <c r="E78" i="18"/>
  <c r="H78" i="18" s="1"/>
  <c r="P77" i="18"/>
  <c r="L77" i="18"/>
  <c r="J77" i="18"/>
  <c r="E77" i="18"/>
  <c r="H77" i="18" s="1"/>
  <c r="P76" i="18"/>
  <c r="L76" i="18"/>
  <c r="J76" i="18"/>
  <c r="N76" i="18" s="1"/>
  <c r="E76" i="18"/>
  <c r="P75" i="18"/>
  <c r="L75" i="18"/>
  <c r="J75" i="18"/>
  <c r="N75" i="18" s="1"/>
  <c r="E75" i="18"/>
  <c r="H75" i="18" s="1"/>
  <c r="P74" i="18"/>
  <c r="L74" i="18"/>
  <c r="J74" i="18"/>
  <c r="E74" i="18"/>
  <c r="H74" i="18" s="1"/>
  <c r="P73" i="18"/>
  <c r="L73" i="18"/>
  <c r="J73" i="18"/>
  <c r="N73" i="18" s="1"/>
  <c r="E73" i="18"/>
  <c r="P72" i="18"/>
  <c r="L72" i="18"/>
  <c r="J72" i="18"/>
  <c r="E72" i="18"/>
  <c r="H72" i="18" s="1"/>
  <c r="P71" i="18"/>
  <c r="L71" i="18"/>
  <c r="J71" i="18"/>
  <c r="E71" i="18"/>
  <c r="H71" i="18" s="1"/>
  <c r="P70" i="18"/>
  <c r="L70" i="18"/>
  <c r="J70" i="18"/>
  <c r="N70" i="18" s="1"/>
  <c r="E70" i="18"/>
  <c r="P69" i="18"/>
  <c r="L69" i="18"/>
  <c r="J69" i="18"/>
  <c r="E69" i="18"/>
  <c r="H69" i="18" s="1"/>
  <c r="P68" i="18"/>
  <c r="L68" i="18"/>
  <c r="J68" i="18"/>
  <c r="E68" i="18"/>
  <c r="H68" i="18" s="1"/>
  <c r="P67" i="18"/>
  <c r="L67" i="18"/>
  <c r="J67" i="18"/>
  <c r="N67" i="18" s="1"/>
  <c r="E67" i="18"/>
  <c r="O67" i="18" s="1"/>
  <c r="Q67" i="18" s="1"/>
  <c r="P66" i="18"/>
  <c r="L66" i="18"/>
  <c r="J66" i="18"/>
  <c r="E66" i="18"/>
  <c r="H66" i="18" s="1"/>
  <c r="P65" i="18"/>
  <c r="L65" i="18"/>
  <c r="J65" i="18"/>
  <c r="E65" i="18"/>
  <c r="H65" i="18" s="1"/>
  <c r="P64" i="18"/>
  <c r="L64" i="18"/>
  <c r="J64" i="18"/>
  <c r="N64" i="18" s="1"/>
  <c r="E64" i="18"/>
  <c r="P63" i="18"/>
  <c r="L63" i="18"/>
  <c r="J63" i="18"/>
  <c r="N63" i="18" s="1"/>
  <c r="E63" i="18"/>
  <c r="H63" i="18" s="1"/>
  <c r="P62" i="18"/>
  <c r="L62" i="18"/>
  <c r="J62" i="18"/>
  <c r="E62" i="18"/>
  <c r="P61" i="18"/>
  <c r="L61" i="18"/>
  <c r="J61" i="18"/>
  <c r="N61" i="18" s="1"/>
  <c r="E61" i="18"/>
  <c r="P60" i="18"/>
  <c r="L60" i="18"/>
  <c r="J60" i="18"/>
  <c r="E60" i="18"/>
  <c r="P59" i="18"/>
  <c r="L59" i="18"/>
  <c r="J59" i="18"/>
  <c r="E59" i="18"/>
  <c r="H59" i="18" s="1"/>
  <c r="P58" i="18"/>
  <c r="L58" i="18"/>
  <c r="J58" i="18"/>
  <c r="N58" i="18" s="1"/>
  <c r="E58" i="18"/>
  <c r="P57" i="18"/>
  <c r="L57" i="18"/>
  <c r="J57" i="18"/>
  <c r="E57" i="18"/>
  <c r="H57" i="18" s="1"/>
  <c r="P56" i="18"/>
  <c r="L56" i="18"/>
  <c r="J56" i="18"/>
  <c r="E56" i="18"/>
  <c r="H56" i="18" s="1"/>
  <c r="P55" i="18"/>
  <c r="L55" i="18"/>
  <c r="J55" i="18"/>
  <c r="N55" i="18" s="1"/>
  <c r="E55" i="18"/>
  <c r="O55" i="18" s="1"/>
  <c r="Q55" i="18" s="1"/>
  <c r="P54" i="18"/>
  <c r="L54" i="18"/>
  <c r="J54" i="18"/>
  <c r="O54" i="18" s="1"/>
  <c r="E54" i="18"/>
  <c r="H54" i="18" s="1"/>
  <c r="P53" i="18"/>
  <c r="L53" i="18"/>
  <c r="J53" i="18"/>
  <c r="E53" i="18"/>
  <c r="H53" i="18" s="1"/>
  <c r="P52" i="18"/>
  <c r="L52" i="18"/>
  <c r="J52" i="18"/>
  <c r="N52" i="18" s="1"/>
  <c r="E52" i="18"/>
  <c r="H52" i="18" s="1"/>
  <c r="P51" i="18"/>
  <c r="L51" i="18"/>
  <c r="J51" i="18"/>
  <c r="N51" i="18" s="1"/>
  <c r="E51" i="18"/>
  <c r="H51" i="18" s="1"/>
  <c r="J47" i="18"/>
  <c r="I46" i="18"/>
  <c r="K46" i="18" s="1"/>
  <c r="E46" i="18"/>
  <c r="L46" i="18" s="1"/>
  <c r="M45" i="18"/>
  <c r="I45" i="18"/>
  <c r="E45" i="18"/>
  <c r="M44" i="18"/>
  <c r="I44" i="18"/>
  <c r="K44" i="18" s="1"/>
  <c r="E44" i="18"/>
  <c r="J40" i="18"/>
  <c r="F40" i="18"/>
  <c r="M39" i="18"/>
  <c r="I39" i="18"/>
  <c r="K39" i="18" s="1"/>
  <c r="E39" i="18"/>
  <c r="M38" i="18"/>
  <c r="I38" i="18"/>
  <c r="E38" i="18"/>
  <c r="J34" i="18"/>
  <c r="F34" i="18"/>
  <c r="M33" i="18"/>
  <c r="I33" i="18"/>
  <c r="K33" i="18" s="1"/>
  <c r="E33" i="18"/>
  <c r="L33" i="18" s="1"/>
  <c r="M32" i="18"/>
  <c r="I32" i="18"/>
  <c r="E32" i="18"/>
  <c r="G32" i="18" s="1"/>
  <c r="M31" i="18"/>
  <c r="I31" i="18"/>
  <c r="K31" i="18" s="1"/>
  <c r="E31" i="18"/>
  <c r="M30" i="18"/>
  <c r="I30" i="18"/>
  <c r="K30" i="18" s="1"/>
  <c r="E30" i="18"/>
  <c r="L30" i="18" s="1"/>
  <c r="M29" i="18"/>
  <c r="I29" i="18"/>
  <c r="K29" i="18" s="1"/>
  <c r="E29" i="18"/>
  <c r="J25" i="18"/>
  <c r="F25" i="18"/>
  <c r="M24" i="18"/>
  <c r="I24" i="18"/>
  <c r="K24" i="18" s="1"/>
  <c r="E24" i="18"/>
  <c r="G24" i="18" s="1"/>
  <c r="M23" i="18"/>
  <c r="I23" i="18"/>
  <c r="E23" i="18"/>
  <c r="O19" i="18"/>
  <c r="J19" i="18"/>
  <c r="F19" i="18"/>
  <c r="M18" i="18"/>
  <c r="I18" i="18"/>
  <c r="E18" i="18"/>
  <c r="G18" i="18" s="1"/>
  <c r="M17" i="18"/>
  <c r="I17" i="18"/>
  <c r="K17" i="18" s="1"/>
  <c r="E17" i="18"/>
  <c r="M16" i="18"/>
  <c r="I16" i="18"/>
  <c r="K16" i="18" s="1"/>
  <c r="E16" i="18"/>
  <c r="G16" i="18" s="1"/>
  <c r="M15" i="18"/>
  <c r="I15" i="18"/>
  <c r="K15" i="18" s="1"/>
  <c r="E15" i="18"/>
  <c r="M14" i="18"/>
  <c r="I14" i="18"/>
  <c r="K14" i="18" s="1"/>
  <c r="E14" i="18"/>
  <c r="M13" i="18"/>
  <c r="I13" i="18"/>
  <c r="K13" i="18" s="1"/>
  <c r="E13" i="18"/>
  <c r="M12" i="18"/>
  <c r="I12" i="18"/>
  <c r="K12" i="18" s="1"/>
  <c r="E12" i="18"/>
  <c r="L12" i="18" s="1"/>
  <c r="M11" i="18"/>
  <c r="I11" i="18"/>
  <c r="K11" i="18" s="1"/>
  <c r="E11" i="18"/>
  <c r="G11" i="18" s="1"/>
  <c r="M10" i="18"/>
  <c r="I10" i="18"/>
  <c r="K10" i="18" s="1"/>
  <c r="E10" i="18"/>
  <c r="M9" i="18"/>
  <c r="I9" i="18"/>
  <c r="K9" i="18" s="1"/>
  <c r="E9" i="18"/>
  <c r="G9" i="18" s="1"/>
  <c r="M8" i="18"/>
  <c r="I8" i="18"/>
  <c r="K8" i="18" s="1"/>
  <c r="E8" i="18"/>
  <c r="L8" i="18" s="1"/>
  <c r="M7" i="18"/>
  <c r="I7" i="18"/>
  <c r="E7" i="18"/>
  <c r="L7" i="18" s="1"/>
  <c r="M6" i="18"/>
  <c r="I6" i="18"/>
  <c r="K6" i="18" s="1"/>
  <c r="E6" i="18"/>
  <c r="M5" i="18"/>
  <c r="I5" i="18"/>
  <c r="K5" i="18" s="1"/>
  <c r="E5" i="18"/>
  <c r="L5" i="18" s="1"/>
  <c r="N5" i="18" s="1"/>
  <c r="J47" i="17"/>
  <c r="L6" i="17"/>
  <c r="L141" i="17"/>
  <c r="J139" i="17"/>
  <c r="F139" i="17"/>
  <c r="M138" i="17"/>
  <c r="I138" i="17"/>
  <c r="K138" i="17" s="1"/>
  <c r="E138" i="17"/>
  <c r="L138" i="17" s="1"/>
  <c r="M137" i="17"/>
  <c r="I137" i="17"/>
  <c r="K137" i="17" s="1"/>
  <c r="E137" i="17"/>
  <c r="G137" i="17" s="1"/>
  <c r="M136" i="17"/>
  <c r="I136" i="17"/>
  <c r="K136" i="17" s="1"/>
  <c r="E136" i="17"/>
  <c r="G136" i="17" s="1"/>
  <c r="M135" i="17"/>
  <c r="I135" i="17"/>
  <c r="K135" i="17" s="1"/>
  <c r="E135" i="17"/>
  <c r="G135" i="17" s="1"/>
  <c r="M134" i="17"/>
  <c r="I134" i="17"/>
  <c r="K134" i="17" s="1"/>
  <c r="E134" i="17"/>
  <c r="G134" i="17" s="1"/>
  <c r="M133" i="17"/>
  <c r="I133" i="17"/>
  <c r="K133" i="17" s="1"/>
  <c r="E133" i="17"/>
  <c r="M132" i="17"/>
  <c r="I132" i="17"/>
  <c r="K132" i="17" s="1"/>
  <c r="E132" i="17"/>
  <c r="G132" i="17" s="1"/>
  <c r="M131" i="17"/>
  <c r="I131" i="17"/>
  <c r="E131" i="17"/>
  <c r="G131" i="17" s="1"/>
  <c r="M130" i="17"/>
  <c r="I130" i="17"/>
  <c r="E130" i="17"/>
  <c r="G130" i="17" s="1"/>
  <c r="M129" i="17"/>
  <c r="I129" i="17"/>
  <c r="K129" i="17" s="1"/>
  <c r="E129" i="17"/>
  <c r="G129" i="17" s="1"/>
  <c r="M128" i="17"/>
  <c r="I128" i="17"/>
  <c r="K128" i="17" s="1"/>
  <c r="E128" i="17"/>
  <c r="M127" i="17"/>
  <c r="I127" i="17"/>
  <c r="K127" i="17" s="1"/>
  <c r="G127" i="17"/>
  <c r="E127" i="17"/>
  <c r="M126" i="17"/>
  <c r="I126" i="17"/>
  <c r="K126" i="17" s="1"/>
  <c r="E126" i="17"/>
  <c r="M125" i="17"/>
  <c r="I125" i="17"/>
  <c r="K125" i="17" s="1"/>
  <c r="E125" i="17"/>
  <c r="G125" i="17" s="1"/>
  <c r="M124" i="17"/>
  <c r="I124" i="17"/>
  <c r="K124" i="17" s="1"/>
  <c r="E124" i="17"/>
  <c r="G124" i="17" s="1"/>
  <c r="M123" i="17"/>
  <c r="I123" i="17"/>
  <c r="K123" i="17" s="1"/>
  <c r="E123" i="17"/>
  <c r="G123" i="17" s="1"/>
  <c r="M122" i="17"/>
  <c r="I122" i="17"/>
  <c r="K122" i="17" s="1"/>
  <c r="E122" i="17"/>
  <c r="G122" i="17" s="1"/>
  <c r="M121" i="17"/>
  <c r="I121" i="17"/>
  <c r="K121" i="17" s="1"/>
  <c r="E121" i="17"/>
  <c r="R117" i="17"/>
  <c r="M117" i="17"/>
  <c r="G117" i="17"/>
  <c r="P116" i="17"/>
  <c r="L116" i="17"/>
  <c r="J116" i="17"/>
  <c r="N116" i="17" s="1"/>
  <c r="E116" i="17"/>
  <c r="H116" i="17" s="1"/>
  <c r="P115" i="17"/>
  <c r="L115" i="17"/>
  <c r="J115" i="17"/>
  <c r="E115" i="17"/>
  <c r="H115" i="17" s="1"/>
  <c r="P114" i="17"/>
  <c r="L114" i="17"/>
  <c r="J114" i="17"/>
  <c r="E114" i="17"/>
  <c r="H114" i="17" s="1"/>
  <c r="P113" i="17"/>
  <c r="L113" i="17"/>
  <c r="J113" i="17"/>
  <c r="N113" i="17" s="1"/>
  <c r="E113" i="17"/>
  <c r="H113" i="17" s="1"/>
  <c r="P112" i="17"/>
  <c r="L112" i="17"/>
  <c r="J112" i="17"/>
  <c r="E112" i="17"/>
  <c r="H112" i="17" s="1"/>
  <c r="P111" i="17"/>
  <c r="L111" i="17"/>
  <c r="J111" i="17"/>
  <c r="E111" i="17"/>
  <c r="H111" i="17" s="1"/>
  <c r="P110" i="17"/>
  <c r="L110" i="17"/>
  <c r="J110" i="17"/>
  <c r="N110" i="17" s="1"/>
  <c r="E110" i="17"/>
  <c r="H110" i="17" s="1"/>
  <c r="P109" i="17"/>
  <c r="L109" i="17"/>
  <c r="J109" i="17"/>
  <c r="E109" i="17"/>
  <c r="H109" i="17" s="1"/>
  <c r="P108" i="17"/>
  <c r="L108" i="17"/>
  <c r="J108" i="17"/>
  <c r="E108" i="17"/>
  <c r="H108" i="17" s="1"/>
  <c r="P107" i="17"/>
  <c r="L107" i="17"/>
  <c r="J107" i="17"/>
  <c r="N107" i="17" s="1"/>
  <c r="E107" i="17"/>
  <c r="H107" i="17" s="1"/>
  <c r="P106" i="17"/>
  <c r="L106" i="17"/>
  <c r="J106" i="17"/>
  <c r="E106" i="17"/>
  <c r="H106" i="17" s="1"/>
  <c r="P105" i="17"/>
  <c r="L105" i="17"/>
  <c r="J105" i="17"/>
  <c r="E105" i="17"/>
  <c r="H105" i="17" s="1"/>
  <c r="P104" i="17"/>
  <c r="L104" i="17"/>
  <c r="J104" i="17"/>
  <c r="N104" i="17" s="1"/>
  <c r="E104" i="17"/>
  <c r="H104" i="17" s="1"/>
  <c r="P103" i="17"/>
  <c r="L103" i="17"/>
  <c r="J103" i="17"/>
  <c r="E103" i="17"/>
  <c r="H103" i="17" s="1"/>
  <c r="P102" i="17"/>
  <c r="L102" i="17"/>
  <c r="J102" i="17"/>
  <c r="E102" i="17"/>
  <c r="H102" i="17" s="1"/>
  <c r="P101" i="17"/>
  <c r="L101" i="17"/>
  <c r="J101" i="17"/>
  <c r="N101" i="17" s="1"/>
  <c r="E101" i="17"/>
  <c r="H101" i="17" s="1"/>
  <c r="P100" i="17"/>
  <c r="L100" i="17"/>
  <c r="J100" i="17"/>
  <c r="E100" i="17"/>
  <c r="H100" i="17" s="1"/>
  <c r="P99" i="17"/>
  <c r="L99" i="17"/>
  <c r="J99" i="17"/>
  <c r="E99" i="17"/>
  <c r="H99" i="17" s="1"/>
  <c r="P98" i="17"/>
  <c r="L98" i="17"/>
  <c r="J98" i="17"/>
  <c r="N98" i="17" s="1"/>
  <c r="E98" i="17"/>
  <c r="H98" i="17" s="1"/>
  <c r="P97" i="17"/>
  <c r="L97" i="17"/>
  <c r="J97" i="17"/>
  <c r="E97" i="17"/>
  <c r="H97" i="17" s="1"/>
  <c r="P96" i="17"/>
  <c r="L96" i="17"/>
  <c r="J96" i="17"/>
  <c r="E96" i="17"/>
  <c r="H96" i="17" s="1"/>
  <c r="P95" i="17"/>
  <c r="L95" i="17"/>
  <c r="J95" i="17"/>
  <c r="N95" i="17" s="1"/>
  <c r="E95" i="17"/>
  <c r="H95" i="17" s="1"/>
  <c r="P94" i="17"/>
  <c r="L94" i="17"/>
  <c r="J94" i="17"/>
  <c r="E94" i="17"/>
  <c r="H94" i="17" s="1"/>
  <c r="P93" i="17"/>
  <c r="L93" i="17"/>
  <c r="J93" i="17"/>
  <c r="E93" i="17"/>
  <c r="H93" i="17" s="1"/>
  <c r="P92" i="17"/>
  <c r="L92" i="17"/>
  <c r="J92" i="17"/>
  <c r="N92" i="17" s="1"/>
  <c r="E92" i="17"/>
  <c r="H92" i="17" s="1"/>
  <c r="P91" i="17"/>
  <c r="L91" i="17"/>
  <c r="J91" i="17"/>
  <c r="E91" i="17"/>
  <c r="H91" i="17" s="1"/>
  <c r="P90" i="17"/>
  <c r="L90" i="17"/>
  <c r="J90" i="17"/>
  <c r="E90" i="17"/>
  <c r="H90" i="17" s="1"/>
  <c r="P89" i="17"/>
  <c r="L89" i="17"/>
  <c r="J89" i="17"/>
  <c r="N89" i="17" s="1"/>
  <c r="E89" i="17"/>
  <c r="H89" i="17" s="1"/>
  <c r="P88" i="17"/>
  <c r="L88" i="17"/>
  <c r="J88" i="17"/>
  <c r="E88" i="17"/>
  <c r="H88" i="17" s="1"/>
  <c r="P87" i="17"/>
  <c r="L87" i="17"/>
  <c r="J87" i="17"/>
  <c r="E87" i="17"/>
  <c r="H87" i="17" s="1"/>
  <c r="P86" i="17"/>
  <c r="L86" i="17"/>
  <c r="J86" i="17"/>
  <c r="N86" i="17" s="1"/>
  <c r="E86" i="17"/>
  <c r="H86" i="17" s="1"/>
  <c r="P85" i="17"/>
  <c r="L85" i="17"/>
  <c r="J85" i="17"/>
  <c r="E85" i="17"/>
  <c r="H85" i="17" s="1"/>
  <c r="P84" i="17"/>
  <c r="L84" i="17"/>
  <c r="J84" i="17"/>
  <c r="E84" i="17"/>
  <c r="H84" i="17" s="1"/>
  <c r="P83" i="17"/>
  <c r="L83" i="17"/>
  <c r="J83" i="17"/>
  <c r="N83" i="17" s="1"/>
  <c r="E83" i="17"/>
  <c r="H83" i="17" s="1"/>
  <c r="P82" i="17"/>
  <c r="L82" i="17"/>
  <c r="J82" i="17"/>
  <c r="E82" i="17"/>
  <c r="H82" i="17" s="1"/>
  <c r="P81" i="17"/>
  <c r="L81" i="17"/>
  <c r="J81" i="17"/>
  <c r="E81" i="17"/>
  <c r="H81" i="17" s="1"/>
  <c r="P80" i="17"/>
  <c r="L80" i="17"/>
  <c r="J80" i="17"/>
  <c r="N80" i="17" s="1"/>
  <c r="E80" i="17"/>
  <c r="H80" i="17" s="1"/>
  <c r="P79" i="17"/>
  <c r="L79" i="17"/>
  <c r="J79" i="17"/>
  <c r="E79" i="17"/>
  <c r="H79" i="17" s="1"/>
  <c r="P78" i="17"/>
  <c r="L78" i="17"/>
  <c r="J78" i="17"/>
  <c r="E78" i="17"/>
  <c r="H78" i="17" s="1"/>
  <c r="P77" i="17"/>
  <c r="L77" i="17"/>
  <c r="J77" i="17"/>
  <c r="N77" i="17" s="1"/>
  <c r="E77" i="17"/>
  <c r="H77" i="17" s="1"/>
  <c r="P76" i="17"/>
  <c r="L76" i="17"/>
  <c r="J76" i="17"/>
  <c r="E76" i="17"/>
  <c r="H76" i="17" s="1"/>
  <c r="P75" i="17"/>
  <c r="L75" i="17"/>
  <c r="J75" i="17"/>
  <c r="E75" i="17"/>
  <c r="H75" i="17" s="1"/>
  <c r="P74" i="17"/>
  <c r="L74" i="17"/>
  <c r="J74" i="17"/>
  <c r="N74" i="17" s="1"/>
  <c r="E74" i="17"/>
  <c r="H74" i="17" s="1"/>
  <c r="P73" i="17"/>
  <c r="L73" i="17"/>
  <c r="J73" i="17"/>
  <c r="E73" i="17"/>
  <c r="H73" i="17" s="1"/>
  <c r="P72" i="17"/>
  <c r="L72" i="17"/>
  <c r="J72" i="17"/>
  <c r="E72" i="17"/>
  <c r="H72" i="17" s="1"/>
  <c r="P71" i="17"/>
  <c r="L71" i="17"/>
  <c r="J71" i="17"/>
  <c r="N71" i="17" s="1"/>
  <c r="E71" i="17"/>
  <c r="H71" i="17" s="1"/>
  <c r="P70" i="17"/>
  <c r="L70" i="17"/>
  <c r="J70" i="17"/>
  <c r="E70" i="17"/>
  <c r="H70" i="17" s="1"/>
  <c r="P69" i="17"/>
  <c r="L69" i="17"/>
  <c r="J69" i="17"/>
  <c r="E69" i="17"/>
  <c r="H69" i="17" s="1"/>
  <c r="P68" i="17"/>
  <c r="L68" i="17"/>
  <c r="J68" i="17"/>
  <c r="N68" i="17" s="1"/>
  <c r="E68" i="17"/>
  <c r="H68" i="17" s="1"/>
  <c r="P67" i="17"/>
  <c r="L67" i="17"/>
  <c r="J67" i="17"/>
  <c r="N67" i="17" s="1"/>
  <c r="E67" i="17"/>
  <c r="H67" i="17" s="1"/>
  <c r="P66" i="17"/>
  <c r="L66" i="17"/>
  <c r="J66" i="17"/>
  <c r="E66" i="17"/>
  <c r="H66" i="17" s="1"/>
  <c r="P65" i="17"/>
  <c r="L65" i="17"/>
  <c r="J65" i="17"/>
  <c r="N65" i="17" s="1"/>
  <c r="E65" i="17"/>
  <c r="H65" i="17" s="1"/>
  <c r="P64" i="17"/>
  <c r="L64" i="17"/>
  <c r="J64" i="17"/>
  <c r="O64" i="17" s="1"/>
  <c r="E64" i="17"/>
  <c r="H64" i="17" s="1"/>
  <c r="P63" i="17"/>
  <c r="L63" i="17"/>
  <c r="J63" i="17"/>
  <c r="E63" i="17"/>
  <c r="H63" i="17" s="1"/>
  <c r="P62" i="17"/>
  <c r="L62" i="17"/>
  <c r="J62" i="17"/>
  <c r="N62" i="17" s="1"/>
  <c r="E62" i="17"/>
  <c r="H62" i="17" s="1"/>
  <c r="P61" i="17"/>
  <c r="L61" i="17"/>
  <c r="J61" i="17"/>
  <c r="N61" i="17" s="1"/>
  <c r="E61" i="17"/>
  <c r="H61" i="17" s="1"/>
  <c r="P60" i="17"/>
  <c r="L60" i="17"/>
  <c r="J60" i="17"/>
  <c r="E60" i="17"/>
  <c r="H60" i="17" s="1"/>
  <c r="P59" i="17"/>
  <c r="L59" i="17"/>
  <c r="J59" i="17"/>
  <c r="N59" i="17" s="1"/>
  <c r="E59" i="17"/>
  <c r="H59" i="17" s="1"/>
  <c r="P58" i="17"/>
  <c r="L58" i="17"/>
  <c r="J58" i="17"/>
  <c r="E58" i="17"/>
  <c r="H58" i="17" s="1"/>
  <c r="P57" i="17"/>
  <c r="L57" i="17"/>
  <c r="J57" i="17"/>
  <c r="E57" i="17"/>
  <c r="H57" i="17" s="1"/>
  <c r="P56" i="17"/>
  <c r="L56" i="17"/>
  <c r="J56" i="17"/>
  <c r="N56" i="17" s="1"/>
  <c r="E56" i="17"/>
  <c r="H56" i="17" s="1"/>
  <c r="P55" i="17"/>
  <c r="L55" i="17"/>
  <c r="J55" i="17"/>
  <c r="E55" i="17"/>
  <c r="H55" i="17" s="1"/>
  <c r="P54" i="17"/>
  <c r="L54" i="17"/>
  <c r="J54" i="17"/>
  <c r="E54" i="17"/>
  <c r="H54" i="17" s="1"/>
  <c r="P53" i="17"/>
  <c r="L53" i="17"/>
  <c r="J53" i="17"/>
  <c r="N53" i="17" s="1"/>
  <c r="E53" i="17"/>
  <c r="H53" i="17" s="1"/>
  <c r="P52" i="17"/>
  <c r="L52" i="17"/>
  <c r="J52" i="17"/>
  <c r="E52" i="17"/>
  <c r="H52" i="17" s="1"/>
  <c r="P51" i="17"/>
  <c r="L51" i="17"/>
  <c r="J51" i="17"/>
  <c r="E51" i="17"/>
  <c r="F47" i="17"/>
  <c r="M46" i="17"/>
  <c r="I46" i="17"/>
  <c r="K46" i="17" s="1"/>
  <c r="E46" i="17"/>
  <c r="G46" i="17" s="1"/>
  <c r="M45" i="17"/>
  <c r="I45" i="17"/>
  <c r="K45" i="17" s="1"/>
  <c r="E45" i="17"/>
  <c r="L45" i="17" s="1"/>
  <c r="M44" i="17"/>
  <c r="I44" i="17"/>
  <c r="K44" i="17" s="1"/>
  <c r="E44" i="17"/>
  <c r="G44" i="17" s="1"/>
  <c r="J40" i="17"/>
  <c r="F40" i="17"/>
  <c r="M39" i="17"/>
  <c r="I39" i="17"/>
  <c r="K39" i="17" s="1"/>
  <c r="E39" i="17"/>
  <c r="G39" i="17" s="1"/>
  <c r="M38" i="17"/>
  <c r="I38" i="17"/>
  <c r="K38" i="17" s="1"/>
  <c r="K40" i="17" s="1"/>
  <c r="E38" i="17"/>
  <c r="J34" i="17"/>
  <c r="F34" i="17"/>
  <c r="M33" i="17"/>
  <c r="I33" i="17"/>
  <c r="K33" i="17" s="1"/>
  <c r="E33" i="17"/>
  <c r="L33" i="17" s="1"/>
  <c r="M32" i="17"/>
  <c r="I32" i="17"/>
  <c r="K32" i="17" s="1"/>
  <c r="E32" i="17"/>
  <c r="M31" i="17"/>
  <c r="I31" i="17"/>
  <c r="K31" i="17" s="1"/>
  <c r="E31" i="17"/>
  <c r="L31" i="17" s="1"/>
  <c r="M30" i="17"/>
  <c r="I30" i="17"/>
  <c r="E30" i="17"/>
  <c r="G30" i="17" s="1"/>
  <c r="M29" i="17"/>
  <c r="I29" i="17"/>
  <c r="K29" i="17" s="1"/>
  <c r="E29" i="17"/>
  <c r="L29" i="17" s="1"/>
  <c r="J25" i="17"/>
  <c r="F25" i="17"/>
  <c r="M24" i="17"/>
  <c r="I24" i="17"/>
  <c r="K24" i="17" s="1"/>
  <c r="E24" i="17"/>
  <c r="M23" i="17"/>
  <c r="I23" i="17"/>
  <c r="K23" i="17" s="1"/>
  <c r="E23" i="17"/>
  <c r="G23" i="17" s="1"/>
  <c r="O19" i="17"/>
  <c r="J19" i="17"/>
  <c r="F19" i="17"/>
  <c r="M18" i="17"/>
  <c r="I18" i="17"/>
  <c r="K18" i="17" s="1"/>
  <c r="E18" i="17"/>
  <c r="G18" i="17" s="1"/>
  <c r="M17" i="17"/>
  <c r="I17" i="17"/>
  <c r="E17" i="17"/>
  <c r="G17" i="17" s="1"/>
  <c r="M16" i="17"/>
  <c r="I16" i="17"/>
  <c r="K16" i="17" s="1"/>
  <c r="E16" i="17"/>
  <c r="L16" i="17" s="1"/>
  <c r="N16" i="17" s="1"/>
  <c r="M15" i="17"/>
  <c r="I15" i="17"/>
  <c r="K15" i="17" s="1"/>
  <c r="E15" i="17"/>
  <c r="M14" i="17"/>
  <c r="I14" i="17"/>
  <c r="K14" i="17" s="1"/>
  <c r="E14" i="17"/>
  <c r="G14" i="17" s="1"/>
  <c r="M13" i="17"/>
  <c r="I13" i="17"/>
  <c r="E13" i="17"/>
  <c r="G13" i="17" s="1"/>
  <c r="M12" i="17"/>
  <c r="I12" i="17"/>
  <c r="K12" i="17" s="1"/>
  <c r="E12" i="17"/>
  <c r="G12" i="17" s="1"/>
  <c r="M11" i="17"/>
  <c r="I11" i="17"/>
  <c r="K11" i="17" s="1"/>
  <c r="E11" i="17"/>
  <c r="M10" i="17"/>
  <c r="I10" i="17"/>
  <c r="K10" i="17" s="1"/>
  <c r="E10" i="17"/>
  <c r="G10" i="17" s="1"/>
  <c r="M9" i="17"/>
  <c r="I9" i="17"/>
  <c r="K9" i="17" s="1"/>
  <c r="E9" i="17"/>
  <c r="M8" i="17"/>
  <c r="I8" i="17"/>
  <c r="K8" i="17" s="1"/>
  <c r="E8" i="17"/>
  <c r="G8" i="17" s="1"/>
  <c r="M7" i="17"/>
  <c r="I7" i="17"/>
  <c r="K7" i="17" s="1"/>
  <c r="E7" i="17"/>
  <c r="M6" i="17"/>
  <c r="N6" i="17" s="1"/>
  <c r="I6" i="17"/>
  <c r="K6" i="17" s="1"/>
  <c r="E6" i="17"/>
  <c r="G6" i="17" s="1"/>
  <c r="M5" i="17"/>
  <c r="I5" i="17"/>
  <c r="K5" i="17" s="1"/>
  <c r="E5" i="17"/>
  <c r="G5" i="17" s="1"/>
  <c r="J47" i="16"/>
  <c r="L141" i="16"/>
  <c r="J139" i="16"/>
  <c r="F139" i="16"/>
  <c r="M138" i="16"/>
  <c r="I138" i="16"/>
  <c r="K138" i="16" s="1"/>
  <c r="E138" i="16"/>
  <c r="G138" i="16" s="1"/>
  <c r="M137" i="16"/>
  <c r="I137" i="16"/>
  <c r="K137" i="16" s="1"/>
  <c r="E137" i="16"/>
  <c r="G137" i="16" s="1"/>
  <c r="M136" i="16"/>
  <c r="I136" i="16"/>
  <c r="K136" i="16" s="1"/>
  <c r="E136" i="16"/>
  <c r="G136" i="16" s="1"/>
  <c r="M135" i="16"/>
  <c r="I135" i="16"/>
  <c r="K135" i="16" s="1"/>
  <c r="E135" i="16"/>
  <c r="M134" i="16"/>
  <c r="I134" i="16"/>
  <c r="L134" i="16" s="1"/>
  <c r="N134" i="16" s="1"/>
  <c r="E134" i="16"/>
  <c r="G134" i="16" s="1"/>
  <c r="M133" i="16"/>
  <c r="I133" i="16"/>
  <c r="K133" i="16" s="1"/>
  <c r="E133" i="16"/>
  <c r="G133" i="16" s="1"/>
  <c r="M132" i="16"/>
  <c r="I132" i="16"/>
  <c r="K132" i="16" s="1"/>
  <c r="E132" i="16"/>
  <c r="G132" i="16" s="1"/>
  <c r="M131" i="16"/>
  <c r="I131" i="16"/>
  <c r="L131" i="16" s="1"/>
  <c r="N131" i="16" s="1"/>
  <c r="E131" i="16"/>
  <c r="G131" i="16" s="1"/>
  <c r="M130" i="16"/>
  <c r="I130" i="16"/>
  <c r="K130" i="16" s="1"/>
  <c r="G130" i="16"/>
  <c r="E130" i="16"/>
  <c r="M129" i="16"/>
  <c r="I129" i="16"/>
  <c r="K129" i="16" s="1"/>
  <c r="E129" i="16"/>
  <c r="L129" i="16" s="1"/>
  <c r="N129" i="16" s="1"/>
  <c r="M128" i="16"/>
  <c r="I128" i="16"/>
  <c r="K128" i="16" s="1"/>
  <c r="E128" i="16"/>
  <c r="M127" i="16"/>
  <c r="I127" i="16"/>
  <c r="E127" i="16"/>
  <c r="G127" i="16" s="1"/>
  <c r="M126" i="16"/>
  <c r="I126" i="16"/>
  <c r="K126" i="16" s="1"/>
  <c r="E126" i="16"/>
  <c r="G126" i="16" s="1"/>
  <c r="M125" i="16"/>
  <c r="I125" i="16"/>
  <c r="K125" i="16" s="1"/>
  <c r="E125" i="16"/>
  <c r="G125" i="16" s="1"/>
  <c r="M124" i="16"/>
  <c r="I124" i="16"/>
  <c r="K124" i="16" s="1"/>
  <c r="E124" i="16"/>
  <c r="G124" i="16" s="1"/>
  <c r="M123" i="16"/>
  <c r="I123" i="16"/>
  <c r="K123" i="16" s="1"/>
  <c r="E123" i="16"/>
  <c r="M122" i="16"/>
  <c r="I122" i="16"/>
  <c r="E122" i="16"/>
  <c r="G122" i="16" s="1"/>
  <c r="M121" i="16"/>
  <c r="I121" i="16"/>
  <c r="K121" i="16" s="1"/>
  <c r="E121" i="16"/>
  <c r="R117" i="16"/>
  <c r="M117" i="16"/>
  <c r="P117" i="16" s="1"/>
  <c r="N142" i="16" s="1"/>
  <c r="G117" i="16"/>
  <c r="P116" i="16"/>
  <c r="L116" i="16"/>
  <c r="J116" i="16"/>
  <c r="E116" i="16"/>
  <c r="H116" i="16" s="1"/>
  <c r="P115" i="16"/>
  <c r="L115" i="16"/>
  <c r="J115" i="16"/>
  <c r="E115" i="16"/>
  <c r="H115" i="16" s="1"/>
  <c r="P114" i="16"/>
  <c r="L114" i="16"/>
  <c r="J114" i="16"/>
  <c r="E114" i="16"/>
  <c r="H114" i="16" s="1"/>
  <c r="P113" i="16"/>
  <c r="L113" i="16"/>
  <c r="J113" i="16"/>
  <c r="E113" i="16"/>
  <c r="H113" i="16" s="1"/>
  <c r="P112" i="16"/>
  <c r="L112" i="16"/>
  <c r="J112" i="16"/>
  <c r="N112" i="16" s="1"/>
  <c r="E112" i="16"/>
  <c r="H112" i="16" s="1"/>
  <c r="P111" i="16"/>
  <c r="L111" i="16"/>
  <c r="J111" i="16"/>
  <c r="E111" i="16"/>
  <c r="H111" i="16" s="1"/>
  <c r="P110" i="16"/>
  <c r="L110" i="16"/>
  <c r="J110" i="16"/>
  <c r="E110" i="16"/>
  <c r="H110" i="16" s="1"/>
  <c r="P109" i="16"/>
  <c r="L109" i="16"/>
  <c r="J109" i="16"/>
  <c r="N109" i="16" s="1"/>
  <c r="E109" i="16"/>
  <c r="H109" i="16" s="1"/>
  <c r="P108" i="16"/>
  <c r="L108" i="16"/>
  <c r="J108" i="16"/>
  <c r="E108" i="16"/>
  <c r="H108" i="16" s="1"/>
  <c r="P107" i="16"/>
  <c r="L107" i="16"/>
  <c r="J107" i="16"/>
  <c r="E107" i="16"/>
  <c r="H107" i="16" s="1"/>
  <c r="P106" i="16"/>
  <c r="L106" i="16"/>
  <c r="J106" i="16"/>
  <c r="E106" i="16"/>
  <c r="H106" i="16" s="1"/>
  <c r="P105" i="16"/>
  <c r="L105" i="16"/>
  <c r="J105" i="16"/>
  <c r="E105" i="16"/>
  <c r="H105" i="16" s="1"/>
  <c r="P104" i="16"/>
  <c r="L104" i="16"/>
  <c r="J104" i="16"/>
  <c r="E104" i="16"/>
  <c r="H104" i="16" s="1"/>
  <c r="P103" i="16"/>
  <c r="L103" i="16"/>
  <c r="J103" i="16"/>
  <c r="N103" i="16" s="1"/>
  <c r="E103" i="16"/>
  <c r="H103" i="16" s="1"/>
  <c r="P102" i="16"/>
  <c r="L102" i="16"/>
  <c r="J102" i="16"/>
  <c r="E102" i="16"/>
  <c r="H102" i="16" s="1"/>
  <c r="P101" i="16"/>
  <c r="L101" i="16"/>
  <c r="J101" i="16"/>
  <c r="E101" i="16"/>
  <c r="H101" i="16" s="1"/>
  <c r="P100" i="16"/>
  <c r="L100" i="16"/>
  <c r="J100" i="16"/>
  <c r="N100" i="16" s="1"/>
  <c r="E100" i="16"/>
  <c r="H100" i="16" s="1"/>
  <c r="P99" i="16"/>
  <c r="L99" i="16"/>
  <c r="J99" i="16"/>
  <c r="E99" i="16"/>
  <c r="H99" i="16" s="1"/>
  <c r="P98" i="16"/>
  <c r="L98" i="16"/>
  <c r="J98" i="16"/>
  <c r="E98" i="16"/>
  <c r="H98" i="16" s="1"/>
  <c r="P97" i="16"/>
  <c r="L97" i="16"/>
  <c r="J97" i="16"/>
  <c r="E97" i="16"/>
  <c r="H97" i="16" s="1"/>
  <c r="P96" i="16"/>
  <c r="L96" i="16"/>
  <c r="J96" i="16"/>
  <c r="E96" i="16"/>
  <c r="H96" i="16" s="1"/>
  <c r="P95" i="16"/>
  <c r="L95" i="16"/>
  <c r="J95" i="16"/>
  <c r="E95" i="16"/>
  <c r="H95" i="16" s="1"/>
  <c r="P94" i="16"/>
  <c r="L94" i="16"/>
  <c r="J94" i="16"/>
  <c r="N94" i="16" s="1"/>
  <c r="E94" i="16"/>
  <c r="H94" i="16" s="1"/>
  <c r="P93" i="16"/>
  <c r="L93" i="16"/>
  <c r="J93" i="16"/>
  <c r="E93" i="16"/>
  <c r="H93" i="16" s="1"/>
  <c r="P92" i="16"/>
  <c r="L92" i="16"/>
  <c r="J92" i="16"/>
  <c r="E92" i="16"/>
  <c r="H92" i="16" s="1"/>
  <c r="P91" i="16"/>
  <c r="L91" i="16"/>
  <c r="J91" i="16"/>
  <c r="N91" i="16" s="1"/>
  <c r="E91" i="16"/>
  <c r="H91" i="16" s="1"/>
  <c r="P90" i="16"/>
  <c r="L90" i="16"/>
  <c r="J90" i="16"/>
  <c r="E90" i="16"/>
  <c r="H90" i="16" s="1"/>
  <c r="P89" i="16"/>
  <c r="L89" i="16"/>
  <c r="J89" i="16"/>
  <c r="E89" i="16"/>
  <c r="H89" i="16" s="1"/>
  <c r="P88" i="16"/>
  <c r="L88" i="16"/>
  <c r="J88" i="16"/>
  <c r="E88" i="16"/>
  <c r="H88" i="16" s="1"/>
  <c r="P87" i="16"/>
  <c r="L87" i="16"/>
  <c r="J87" i="16"/>
  <c r="E87" i="16"/>
  <c r="H87" i="16" s="1"/>
  <c r="P86" i="16"/>
  <c r="L86" i="16"/>
  <c r="J86" i="16"/>
  <c r="E86" i="16"/>
  <c r="H86" i="16" s="1"/>
  <c r="P85" i="16"/>
  <c r="L85" i="16"/>
  <c r="J85" i="16"/>
  <c r="N85" i="16" s="1"/>
  <c r="E85" i="16"/>
  <c r="H85" i="16" s="1"/>
  <c r="P84" i="16"/>
  <c r="L84" i="16"/>
  <c r="J84" i="16"/>
  <c r="E84" i="16"/>
  <c r="H84" i="16" s="1"/>
  <c r="P83" i="16"/>
  <c r="L83" i="16"/>
  <c r="J83" i="16"/>
  <c r="N83" i="16" s="1"/>
  <c r="E83" i="16"/>
  <c r="H83" i="16" s="1"/>
  <c r="P82" i="16"/>
  <c r="L82" i="16"/>
  <c r="J82" i="16"/>
  <c r="N82" i="16" s="1"/>
  <c r="E82" i="16"/>
  <c r="H82" i="16" s="1"/>
  <c r="P81" i="16"/>
  <c r="L81" i="16"/>
  <c r="J81" i="16"/>
  <c r="E81" i="16"/>
  <c r="H81" i="16" s="1"/>
  <c r="P80" i="16"/>
  <c r="L80" i="16"/>
  <c r="J80" i="16"/>
  <c r="E80" i="16"/>
  <c r="H80" i="16" s="1"/>
  <c r="P79" i="16"/>
  <c r="L79" i="16"/>
  <c r="J79" i="16"/>
  <c r="E79" i="16"/>
  <c r="H79" i="16" s="1"/>
  <c r="P78" i="16"/>
  <c r="L78" i="16"/>
  <c r="J78" i="16"/>
  <c r="E78" i="16"/>
  <c r="H78" i="16" s="1"/>
  <c r="P77" i="16"/>
  <c r="L77" i="16"/>
  <c r="J77" i="16"/>
  <c r="E77" i="16"/>
  <c r="H77" i="16" s="1"/>
  <c r="P76" i="16"/>
  <c r="L76" i="16"/>
  <c r="J76" i="16"/>
  <c r="N76" i="16" s="1"/>
  <c r="E76" i="16"/>
  <c r="H76" i="16" s="1"/>
  <c r="P75" i="16"/>
  <c r="L75" i="16"/>
  <c r="J75" i="16"/>
  <c r="E75" i="16"/>
  <c r="H75" i="16" s="1"/>
  <c r="P74" i="16"/>
  <c r="L74" i="16"/>
  <c r="J74" i="16"/>
  <c r="E74" i="16"/>
  <c r="H74" i="16" s="1"/>
  <c r="P73" i="16"/>
  <c r="L73" i="16"/>
  <c r="J73" i="16"/>
  <c r="N73" i="16" s="1"/>
  <c r="E73" i="16"/>
  <c r="H73" i="16" s="1"/>
  <c r="P72" i="16"/>
  <c r="L72" i="16"/>
  <c r="J72" i="16"/>
  <c r="E72" i="16"/>
  <c r="H72" i="16" s="1"/>
  <c r="P71" i="16"/>
  <c r="L71" i="16"/>
  <c r="J71" i="16"/>
  <c r="E71" i="16"/>
  <c r="H71" i="16" s="1"/>
  <c r="P70" i="16"/>
  <c r="L70" i="16"/>
  <c r="J70" i="16"/>
  <c r="E70" i="16"/>
  <c r="H70" i="16" s="1"/>
  <c r="P69" i="16"/>
  <c r="L69" i="16"/>
  <c r="J69" i="16"/>
  <c r="E69" i="16"/>
  <c r="H69" i="16" s="1"/>
  <c r="P68" i="16"/>
  <c r="L68" i="16"/>
  <c r="J68" i="16"/>
  <c r="E68" i="16"/>
  <c r="H68" i="16" s="1"/>
  <c r="P67" i="16"/>
  <c r="L67" i="16"/>
  <c r="J67" i="16"/>
  <c r="N67" i="16" s="1"/>
  <c r="E67" i="16"/>
  <c r="H67" i="16" s="1"/>
  <c r="P66" i="16"/>
  <c r="L66" i="16"/>
  <c r="J66" i="16"/>
  <c r="E66" i="16"/>
  <c r="H66" i="16" s="1"/>
  <c r="P65" i="16"/>
  <c r="L65" i="16"/>
  <c r="J65" i="16"/>
  <c r="E65" i="16"/>
  <c r="H65" i="16" s="1"/>
  <c r="P64" i="16"/>
  <c r="L64" i="16"/>
  <c r="J64" i="16"/>
  <c r="N64" i="16" s="1"/>
  <c r="E64" i="16"/>
  <c r="H64" i="16" s="1"/>
  <c r="P63" i="16"/>
  <c r="L63" i="16"/>
  <c r="J63" i="16"/>
  <c r="E63" i="16"/>
  <c r="H63" i="16" s="1"/>
  <c r="P62" i="16"/>
  <c r="L62" i="16"/>
  <c r="J62" i="16"/>
  <c r="E62" i="16"/>
  <c r="H62" i="16" s="1"/>
  <c r="P61" i="16"/>
  <c r="L61" i="16"/>
  <c r="J61" i="16"/>
  <c r="E61" i="16"/>
  <c r="H61" i="16" s="1"/>
  <c r="P60" i="16"/>
  <c r="L60" i="16"/>
  <c r="J60" i="16"/>
  <c r="E60" i="16"/>
  <c r="H60" i="16" s="1"/>
  <c r="P59" i="16"/>
  <c r="L59" i="16"/>
  <c r="J59" i="16"/>
  <c r="E59" i="16"/>
  <c r="H59" i="16" s="1"/>
  <c r="P58" i="16"/>
  <c r="L58" i="16"/>
  <c r="J58" i="16"/>
  <c r="N58" i="16" s="1"/>
  <c r="E58" i="16"/>
  <c r="H58" i="16" s="1"/>
  <c r="P57" i="16"/>
  <c r="L57" i="16"/>
  <c r="J57" i="16"/>
  <c r="E57" i="16"/>
  <c r="H57" i="16" s="1"/>
  <c r="P56" i="16"/>
  <c r="L56" i="16"/>
  <c r="J56" i="16"/>
  <c r="E56" i="16"/>
  <c r="H56" i="16" s="1"/>
  <c r="P55" i="16"/>
  <c r="L55" i="16"/>
  <c r="J55" i="16"/>
  <c r="N55" i="16" s="1"/>
  <c r="E55" i="16"/>
  <c r="H55" i="16" s="1"/>
  <c r="P54" i="16"/>
  <c r="L54" i="16"/>
  <c r="J54" i="16"/>
  <c r="E54" i="16"/>
  <c r="H54" i="16" s="1"/>
  <c r="P53" i="16"/>
  <c r="L53" i="16"/>
  <c r="J53" i="16"/>
  <c r="E53" i="16"/>
  <c r="H53" i="16" s="1"/>
  <c r="P52" i="16"/>
  <c r="L52" i="16"/>
  <c r="J52" i="16"/>
  <c r="E52" i="16"/>
  <c r="H52" i="16" s="1"/>
  <c r="P51" i="16"/>
  <c r="L51" i="16"/>
  <c r="J51" i="16"/>
  <c r="E51" i="16"/>
  <c r="H51" i="16" s="1"/>
  <c r="F47" i="16"/>
  <c r="M46" i="16"/>
  <c r="I46" i="16"/>
  <c r="K46" i="16" s="1"/>
  <c r="E46" i="16"/>
  <c r="L46" i="16" s="1"/>
  <c r="M45" i="16"/>
  <c r="I45" i="16"/>
  <c r="K45" i="16" s="1"/>
  <c r="E45" i="16"/>
  <c r="M44" i="16"/>
  <c r="I44" i="16"/>
  <c r="E44" i="16"/>
  <c r="G44" i="16" s="1"/>
  <c r="J40" i="16"/>
  <c r="F40" i="16"/>
  <c r="M39" i="16"/>
  <c r="I39" i="16"/>
  <c r="K39" i="16" s="1"/>
  <c r="E39" i="16"/>
  <c r="G39" i="16" s="1"/>
  <c r="M38" i="16"/>
  <c r="I38" i="16"/>
  <c r="K38" i="16" s="1"/>
  <c r="E38" i="16"/>
  <c r="L38" i="16" s="1"/>
  <c r="J34" i="16"/>
  <c r="F34" i="16"/>
  <c r="M33" i="16"/>
  <c r="I33" i="16"/>
  <c r="K33" i="16" s="1"/>
  <c r="E33" i="16"/>
  <c r="M32" i="16"/>
  <c r="I32" i="16"/>
  <c r="K32" i="16" s="1"/>
  <c r="E32" i="16"/>
  <c r="M31" i="16"/>
  <c r="I31" i="16"/>
  <c r="K31" i="16" s="1"/>
  <c r="E31" i="16"/>
  <c r="G31" i="16" s="1"/>
  <c r="M30" i="16"/>
  <c r="I30" i="16"/>
  <c r="E30" i="16"/>
  <c r="M29" i="16"/>
  <c r="M34" i="16" s="1"/>
  <c r="I29" i="16"/>
  <c r="K29" i="16" s="1"/>
  <c r="E29" i="16"/>
  <c r="J25" i="16"/>
  <c r="F25" i="16"/>
  <c r="M24" i="16"/>
  <c r="I24" i="16"/>
  <c r="K24" i="16" s="1"/>
  <c r="E24" i="16"/>
  <c r="M23" i="16"/>
  <c r="I23" i="16"/>
  <c r="E23" i="16"/>
  <c r="G23" i="16" s="1"/>
  <c r="O19" i="16"/>
  <c r="J19" i="16"/>
  <c r="F19" i="16"/>
  <c r="M18" i="16"/>
  <c r="I18" i="16"/>
  <c r="K18" i="16" s="1"/>
  <c r="E18" i="16"/>
  <c r="L18" i="16" s="1"/>
  <c r="N18" i="16" s="1"/>
  <c r="M17" i="16"/>
  <c r="I17" i="16"/>
  <c r="K17" i="16" s="1"/>
  <c r="E17" i="16"/>
  <c r="L17" i="16" s="1"/>
  <c r="M16" i="16"/>
  <c r="I16" i="16"/>
  <c r="K16" i="16" s="1"/>
  <c r="E16" i="16"/>
  <c r="G16" i="16" s="1"/>
  <c r="M15" i="16"/>
  <c r="I15" i="16"/>
  <c r="E15" i="16"/>
  <c r="G15" i="16" s="1"/>
  <c r="M14" i="16"/>
  <c r="I14" i="16"/>
  <c r="K14" i="16" s="1"/>
  <c r="E14" i="16"/>
  <c r="M13" i="16"/>
  <c r="I13" i="16"/>
  <c r="K13" i="16" s="1"/>
  <c r="E13" i="16"/>
  <c r="G13" i="16" s="1"/>
  <c r="M12" i="16"/>
  <c r="I12" i="16"/>
  <c r="K12" i="16" s="1"/>
  <c r="E12" i="16"/>
  <c r="G12" i="16" s="1"/>
  <c r="M11" i="16"/>
  <c r="I11" i="16"/>
  <c r="K11" i="16" s="1"/>
  <c r="E11" i="16"/>
  <c r="M10" i="16"/>
  <c r="I10" i="16"/>
  <c r="E10" i="16"/>
  <c r="G10" i="16" s="1"/>
  <c r="M9" i="16"/>
  <c r="I9" i="16"/>
  <c r="K9" i="16" s="1"/>
  <c r="E9" i="16"/>
  <c r="M8" i="16"/>
  <c r="I8" i="16"/>
  <c r="K8" i="16" s="1"/>
  <c r="E8" i="16"/>
  <c r="G8" i="16" s="1"/>
  <c r="M7" i="16"/>
  <c r="I7" i="16"/>
  <c r="K7" i="16" s="1"/>
  <c r="E7" i="16"/>
  <c r="G7" i="16" s="1"/>
  <c r="M6" i="16"/>
  <c r="N6" i="16" s="1"/>
  <c r="I6" i="16"/>
  <c r="K6" i="16" s="1"/>
  <c r="E6" i="16"/>
  <c r="G6" i="16" s="1"/>
  <c r="M5" i="16"/>
  <c r="I5" i="16"/>
  <c r="E5" i="16"/>
  <c r="G5" i="16" s="1"/>
  <c r="K47" i="15"/>
  <c r="I47" i="15"/>
  <c r="J47" i="15"/>
  <c r="L47" i="15"/>
  <c r="M47" i="15"/>
  <c r="N47" i="15" s="1"/>
  <c r="M44" i="15"/>
  <c r="I44" i="15"/>
  <c r="K44" i="15" s="1"/>
  <c r="E44" i="15"/>
  <c r="F139" i="15"/>
  <c r="J139" i="15"/>
  <c r="M138" i="15"/>
  <c r="I138" i="15"/>
  <c r="K138" i="15" s="1"/>
  <c r="E138" i="15"/>
  <c r="L138" i="15" s="1"/>
  <c r="N138" i="15" s="1"/>
  <c r="L137" i="15"/>
  <c r="N137" i="15" s="1"/>
  <c r="K137" i="15"/>
  <c r="M137" i="15"/>
  <c r="I137" i="15"/>
  <c r="E137" i="15"/>
  <c r="G137" i="15" s="1"/>
  <c r="M136" i="15"/>
  <c r="I136" i="15"/>
  <c r="K136" i="15" s="1"/>
  <c r="E136" i="15"/>
  <c r="L136" i="15" s="1"/>
  <c r="N136" i="15" s="1"/>
  <c r="E105" i="15"/>
  <c r="H105" i="15" s="1"/>
  <c r="L141" i="15"/>
  <c r="M135" i="15"/>
  <c r="I135" i="15"/>
  <c r="K135" i="15" s="1"/>
  <c r="E135" i="15"/>
  <c r="M134" i="15"/>
  <c r="I134" i="15"/>
  <c r="K134" i="15" s="1"/>
  <c r="E134" i="15"/>
  <c r="G134" i="15" s="1"/>
  <c r="M133" i="15"/>
  <c r="I133" i="15"/>
  <c r="K133" i="15" s="1"/>
  <c r="E133" i="15"/>
  <c r="G133" i="15" s="1"/>
  <c r="M132" i="15"/>
  <c r="I132" i="15"/>
  <c r="K132" i="15" s="1"/>
  <c r="E132" i="15"/>
  <c r="G132" i="15" s="1"/>
  <c r="M131" i="15"/>
  <c r="I131" i="15"/>
  <c r="E131" i="15"/>
  <c r="G131" i="15" s="1"/>
  <c r="M130" i="15"/>
  <c r="I130" i="15"/>
  <c r="K130" i="15" s="1"/>
  <c r="E130" i="15"/>
  <c r="L130" i="15" s="1"/>
  <c r="N130" i="15" s="1"/>
  <c r="M129" i="15"/>
  <c r="I129" i="15"/>
  <c r="E129" i="15"/>
  <c r="G129" i="15" s="1"/>
  <c r="M128" i="15"/>
  <c r="I128" i="15"/>
  <c r="K128" i="15" s="1"/>
  <c r="E128" i="15"/>
  <c r="M127" i="15"/>
  <c r="I127" i="15"/>
  <c r="K127" i="15" s="1"/>
  <c r="E127" i="15"/>
  <c r="L127" i="15" s="1"/>
  <c r="M126" i="15"/>
  <c r="I126" i="15"/>
  <c r="K126" i="15" s="1"/>
  <c r="E126" i="15"/>
  <c r="M125" i="15"/>
  <c r="I125" i="15"/>
  <c r="K125" i="15" s="1"/>
  <c r="E125" i="15"/>
  <c r="G125" i="15" s="1"/>
  <c r="M124" i="15"/>
  <c r="I124" i="15"/>
  <c r="K124" i="15" s="1"/>
  <c r="E124" i="15"/>
  <c r="G124" i="15" s="1"/>
  <c r="M123" i="15"/>
  <c r="I123" i="15"/>
  <c r="K123" i="15" s="1"/>
  <c r="E123" i="15"/>
  <c r="L123" i="15" s="1"/>
  <c r="M122" i="15"/>
  <c r="I122" i="15"/>
  <c r="K122" i="15" s="1"/>
  <c r="E122" i="15"/>
  <c r="G122" i="15" s="1"/>
  <c r="M121" i="15"/>
  <c r="I121" i="15"/>
  <c r="K121" i="15" s="1"/>
  <c r="E121" i="15"/>
  <c r="G121" i="15" s="1"/>
  <c r="R117" i="15"/>
  <c r="M117" i="15"/>
  <c r="G117" i="15"/>
  <c r="P116" i="15"/>
  <c r="L116" i="15"/>
  <c r="J116" i="15"/>
  <c r="E116" i="15"/>
  <c r="H116" i="15" s="1"/>
  <c r="P115" i="15"/>
  <c r="L115" i="15"/>
  <c r="J115" i="15"/>
  <c r="E115" i="15"/>
  <c r="H115" i="15" s="1"/>
  <c r="P114" i="15"/>
  <c r="L114" i="15"/>
  <c r="J114" i="15"/>
  <c r="N114" i="15" s="1"/>
  <c r="E114" i="15"/>
  <c r="H114" i="15" s="1"/>
  <c r="P113" i="15"/>
  <c r="L113" i="15"/>
  <c r="J113" i="15"/>
  <c r="E113" i="15"/>
  <c r="H113" i="15" s="1"/>
  <c r="P112" i="15"/>
  <c r="L112" i="15"/>
  <c r="J112" i="15"/>
  <c r="E112" i="15"/>
  <c r="H112" i="15" s="1"/>
  <c r="P111" i="15"/>
  <c r="L111" i="15"/>
  <c r="J111" i="15"/>
  <c r="N111" i="15" s="1"/>
  <c r="E111" i="15"/>
  <c r="H111" i="15" s="1"/>
  <c r="P110" i="15"/>
  <c r="L110" i="15"/>
  <c r="J110" i="15"/>
  <c r="E110" i="15"/>
  <c r="H110" i="15" s="1"/>
  <c r="P109" i="15"/>
  <c r="L109" i="15"/>
  <c r="J109" i="15"/>
  <c r="E109" i="15"/>
  <c r="H109" i="15" s="1"/>
  <c r="P108" i="15"/>
  <c r="L108" i="15"/>
  <c r="J108" i="15"/>
  <c r="N108" i="15" s="1"/>
  <c r="E108" i="15"/>
  <c r="H108" i="15" s="1"/>
  <c r="P107" i="15"/>
  <c r="L107" i="15"/>
  <c r="J107" i="15"/>
  <c r="E107" i="15"/>
  <c r="H107" i="15" s="1"/>
  <c r="P106" i="15"/>
  <c r="L106" i="15"/>
  <c r="J106" i="15"/>
  <c r="E106" i="15"/>
  <c r="H106" i="15" s="1"/>
  <c r="P105" i="15"/>
  <c r="L105" i="15"/>
  <c r="J105" i="15"/>
  <c r="N105" i="15" s="1"/>
  <c r="P104" i="15"/>
  <c r="L104" i="15"/>
  <c r="J104" i="15"/>
  <c r="E104" i="15"/>
  <c r="H104" i="15" s="1"/>
  <c r="P103" i="15"/>
  <c r="L103" i="15"/>
  <c r="J103" i="15"/>
  <c r="E103" i="15"/>
  <c r="H103" i="15" s="1"/>
  <c r="P102" i="15"/>
  <c r="L102" i="15"/>
  <c r="J102" i="15"/>
  <c r="N102" i="15" s="1"/>
  <c r="E102" i="15"/>
  <c r="H102" i="15" s="1"/>
  <c r="P101" i="15"/>
  <c r="L101" i="15"/>
  <c r="J101" i="15"/>
  <c r="E101" i="15"/>
  <c r="H101" i="15" s="1"/>
  <c r="P100" i="15"/>
  <c r="L100" i="15"/>
  <c r="J100" i="15"/>
  <c r="E100" i="15"/>
  <c r="H100" i="15" s="1"/>
  <c r="P99" i="15"/>
  <c r="L99" i="15"/>
  <c r="J99" i="15"/>
  <c r="N99" i="15" s="1"/>
  <c r="E99" i="15"/>
  <c r="H99" i="15" s="1"/>
  <c r="P98" i="15"/>
  <c r="L98" i="15"/>
  <c r="J98" i="15"/>
  <c r="E98" i="15"/>
  <c r="H98" i="15" s="1"/>
  <c r="P97" i="15"/>
  <c r="L97" i="15"/>
  <c r="J97" i="15"/>
  <c r="E97" i="15"/>
  <c r="H97" i="15" s="1"/>
  <c r="P96" i="15"/>
  <c r="L96" i="15"/>
  <c r="J96" i="15"/>
  <c r="N96" i="15" s="1"/>
  <c r="E96" i="15"/>
  <c r="H96" i="15" s="1"/>
  <c r="P95" i="15"/>
  <c r="L95" i="15"/>
  <c r="J95" i="15"/>
  <c r="E95" i="15"/>
  <c r="H95" i="15" s="1"/>
  <c r="P94" i="15"/>
  <c r="L94" i="15"/>
  <c r="J94" i="15"/>
  <c r="E94" i="15"/>
  <c r="H94" i="15" s="1"/>
  <c r="P93" i="15"/>
  <c r="L93" i="15"/>
  <c r="J93" i="15"/>
  <c r="N93" i="15" s="1"/>
  <c r="E93" i="15"/>
  <c r="H93" i="15" s="1"/>
  <c r="P92" i="15"/>
  <c r="L92" i="15"/>
  <c r="J92" i="15"/>
  <c r="E92" i="15"/>
  <c r="H92" i="15" s="1"/>
  <c r="P91" i="15"/>
  <c r="L91" i="15"/>
  <c r="J91" i="15"/>
  <c r="E91" i="15"/>
  <c r="H91" i="15" s="1"/>
  <c r="P90" i="15"/>
  <c r="L90" i="15"/>
  <c r="J90" i="15"/>
  <c r="N90" i="15" s="1"/>
  <c r="E90" i="15"/>
  <c r="H90" i="15" s="1"/>
  <c r="P89" i="15"/>
  <c r="L89" i="15"/>
  <c r="J89" i="15"/>
  <c r="E89" i="15"/>
  <c r="H89" i="15" s="1"/>
  <c r="P88" i="15"/>
  <c r="L88" i="15"/>
  <c r="J88" i="15"/>
  <c r="E88" i="15"/>
  <c r="H88" i="15" s="1"/>
  <c r="P87" i="15"/>
  <c r="L87" i="15"/>
  <c r="J87" i="15"/>
  <c r="N87" i="15" s="1"/>
  <c r="E87" i="15"/>
  <c r="H87" i="15" s="1"/>
  <c r="P86" i="15"/>
  <c r="L86" i="15"/>
  <c r="J86" i="15"/>
  <c r="E86" i="15"/>
  <c r="H86" i="15" s="1"/>
  <c r="P85" i="15"/>
  <c r="L85" i="15"/>
  <c r="J85" i="15"/>
  <c r="N85" i="15" s="1"/>
  <c r="E85" i="15"/>
  <c r="H85" i="15" s="1"/>
  <c r="P84" i="15"/>
  <c r="L84" i="15"/>
  <c r="J84" i="15"/>
  <c r="N84" i="15" s="1"/>
  <c r="E84" i="15"/>
  <c r="H84" i="15" s="1"/>
  <c r="P83" i="15"/>
  <c r="L83" i="15"/>
  <c r="J83" i="15"/>
  <c r="E83" i="15"/>
  <c r="H83" i="15" s="1"/>
  <c r="P82" i="15"/>
  <c r="L82" i="15"/>
  <c r="J82" i="15"/>
  <c r="E82" i="15"/>
  <c r="H82" i="15" s="1"/>
  <c r="P81" i="15"/>
  <c r="L81" i="15"/>
  <c r="J81" i="15"/>
  <c r="N81" i="15" s="1"/>
  <c r="E81" i="15"/>
  <c r="H81" i="15" s="1"/>
  <c r="P80" i="15"/>
  <c r="L80" i="15"/>
  <c r="J80" i="15"/>
  <c r="E80" i="15"/>
  <c r="H80" i="15" s="1"/>
  <c r="P79" i="15"/>
  <c r="L79" i="15"/>
  <c r="J79" i="15"/>
  <c r="E79" i="15"/>
  <c r="H79" i="15" s="1"/>
  <c r="P78" i="15"/>
  <c r="L78" i="15"/>
  <c r="J78" i="15"/>
  <c r="N78" i="15" s="1"/>
  <c r="E78" i="15"/>
  <c r="H78" i="15" s="1"/>
  <c r="P77" i="15"/>
  <c r="L77" i="15"/>
  <c r="J77" i="15"/>
  <c r="E77" i="15"/>
  <c r="H77" i="15" s="1"/>
  <c r="P76" i="15"/>
  <c r="L76" i="15"/>
  <c r="J76" i="15"/>
  <c r="E76" i="15"/>
  <c r="H76" i="15" s="1"/>
  <c r="P75" i="15"/>
  <c r="L75" i="15"/>
  <c r="J75" i="15"/>
  <c r="N75" i="15" s="1"/>
  <c r="E75" i="15"/>
  <c r="H75" i="15" s="1"/>
  <c r="P74" i="15"/>
  <c r="L74" i="15"/>
  <c r="J74" i="15"/>
  <c r="E74" i="15"/>
  <c r="H74" i="15" s="1"/>
  <c r="P73" i="15"/>
  <c r="L73" i="15"/>
  <c r="J73" i="15"/>
  <c r="N73" i="15" s="1"/>
  <c r="E73" i="15"/>
  <c r="H73" i="15" s="1"/>
  <c r="P72" i="15"/>
  <c r="L72" i="15"/>
  <c r="J72" i="15"/>
  <c r="N72" i="15" s="1"/>
  <c r="E72" i="15"/>
  <c r="H72" i="15" s="1"/>
  <c r="P71" i="15"/>
  <c r="L71" i="15"/>
  <c r="J71" i="15"/>
  <c r="E71" i="15"/>
  <c r="H71" i="15" s="1"/>
  <c r="P70" i="15"/>
  <c r="L70" i="15"/>
  <c r="J70" i="15"/>
  <c r="E70" i="15"/>
  <c r="H70" i="15" s="1"/>
  <c r="P69" i="15"/>
  <c r="L69" i="15"/>
  <c r="J69" i="15"/>
  <c r="N69" i="15" s="1"/>
  <c r="E69" i="15"/>
  <c r="H69" i="15" s="1"/>
  <c r="P68" i="15"/>
  <c r="L68" i="15"/>
  <c r="J68" i="15"/>
  <c r="E68" i="15"/>
  <c r="H68" i="15" s="1"/>
  <c r="P67" i="15"/>
  <c r="L67" i="15"/>
  <c r="J67" i="15"/>
  <c r="E67" i="15"/>
  <c r="H67" i="15" s="1"/>
  <c r="P66" i="15"/>
  <c r="L66" i="15"/>
  <c r="J66" i="15"/>
  <c r="N66" i="15" s="1"/>
  <c r="E66" i="15"/>
  <c r="H66" i="15" s="1"/>
  <c r="P65" i="15"/>
  <c r="L65" i="15"/>
  <c r="J65" i="15"/>
  <c r="E65" i="15"/>
  <c r="H65" i="15" s="1"/>
  <c r="P64" i="15"/>
  <c r="L64" i="15"/>
  <c r="J64" i="15"/>
  <c r="E64" i="15"/>
  <c r="H64" i="15" s="1"/>
  <c r="P63" i="15"/>
  <c r="L63" i="15"/>
  <c r="J63" i="15"/>
  <c r="N63" i="15" s="1"/>
  <c r="E63" i="15"/>
  <c r="H63" i="15" s="1"/>
  <c r="P62" i="15"/>
  <c r="L62" i="15"/>
  <c r="J62" i="15"/>
  <c r="E62" i="15"/>
  <c r="H62" i="15" s="1"/>
  <c r="P61" i="15"/>
  <c r="L61" i="15"/>
  <c r="J61" i="15"/>
  <c r="E61" i="15"/>
  <c r="H61" i="15" s="1"/>
  <c r="P60" i="15"/>
  <c r="L60" i="15"/>
  <c r="J60" i="15"/>
  <c r="N60" i="15" s="1"/>
  <c r="E60" i="15"/>
  <c r="H60" i="15" s="1"/>
  <c r="P59" i="15"/>
  <c r="L59" i="15"/>
  <c r="J59" i="15"/>
  <c r="E59" i="15"/>
  <c r="H59" i="15" s="1"/>
  <c r="P58" i="15"/>
  <c r="L58" i="15"/>
  <c r="J58" i="15"/>
  <c r="E58" i="15"/>
  <c r="H58" i="15" s="1"/>
  <c r="P57" i="15"/>
  <c r="L57" i="15"/>
  <c r="J57" i="15"/>
  <c r="N57" i="15" s="1"/>
  <c r="E57" i="15"/>
  <c r="H57" i="15" s="1"/>
  <c r="P56" i="15"/>
  <c r="L56" i="15"/>
  <c r="J56" i="15"/>
  <c r="E56" i="15"/>
  <c r="H56" i="15" s="1"/>
  <c r="P55" i="15"/>
  <c r="L55" i="15"/>
  <c r="J55" i="15"/>
  <c r="E55" i="15"/>
  <c r="H55" i="15" s="1"/>
  <c r="P54" i="15"/>
  <c r="L54" i="15"/>
  <c r="J54" i="15"/>
  <c r="N54" i="15" s="1"/>
  <c r="E54" i="15"/>
  <c r="H54" i="15" s="1"/>
  <c r="P53" i="15"/>
  <c r="L53" i="15"/>
  <c r="J53" i="15"/>
  <c r="E53" i="15"/>
  <c r="H53" i="15" s="1"/>
  <c r="P52" i="15"/>
  <c r="L52" i="15"/>
  <c r="J52" i="15"/>
  <c r="E52" i="15"/>
  <c r="H52" i="15" s="1"/>
  <c r="P51" i="15"/>
  <c r="L51" i="15"/>
  <c r="J51" i="15"/>
  <c r="N51" i="15" s="1"/>
  <c r="E51" i="15"/>
  <c r="H51" i="15" s="1"/>
  <c r="F47" i="15"/>
  <c r="M46" i="15"/>
  <c r="I46" i="15"/>
  <c r="E46" i="15"/>
  <c r="M45" i="15"/>
  <c r="I45" i="15"/>
  <c r="K45" i="15" s="1"/>
  <c r="E45" i="15"/>
  <c r="J40" i="15"/>
  <c r="F40" i="15"/>
  <c r="M39" i="15"/>
  <c r="I39" i="15"/>
  <c r="K39" i="15" s="1"/>
  <c r="E39" i="15"/>
  <c r="L39" i="15" s="1"/>
  <c r="M38" i="15"/>
  <c r="I38" i="15"/>
  <c r="E38" i="15"/>
  <c r="J34" i="15"/>
  <c r="F34" i="15"/>
  <c r="M33" i="15"/>
  <c r="I33" i="15"/>
  <c r="K33" i="15" s="1"/>
  <c r="E33" i="15"/>
  <c r="M32" i="15"/>
  <c r="I32" i="15"/>
  <c r="K32" i="15" s="1"/>
  <c r="E32" i="15"/>
  <c r="M31" i="15"/>
  <c r="I31" i="15"/>
  <c r="K31" i="15" s="1"/>
  <c r="E31" i="15"/>
  <c r="M30" i="15"/>
  <c r="I30" i="15"/>
  <c r="K30" i="15" s="1"/>
  <c r="E30" i="15"/>
  <c r="M29" i="15"/>
  <c r="I29" i="15"/>
  <c r="E29" i="15"/>
  <c r="J25" i="15"/>
  <c r="F25" i="15"/>
  <c r="M24" i="15"/>
  <c r="I24" i="15"/>
  <c r="K24" i="15" s="1"/>
  <c r="E24" i="15"/>
  <c r="G24" i="15" s="1"/>
  <c r="M23" i="15"/>
  <c r="I23" i="15"/>
  <c r="E23" i="15"/>
  <c r="O19" i="15"/>
  <c r="J19" i="15"/>
  <c r="F19" i="15"/>
  <c r="M18" i="15"/>
  <c r="I18" i="15"/>
  <c r="E18" i="15"/>
  <c r="G18" i="15" s="1"/>
  <c r="M17" i="15"/>
  <c r="I17" i="15"/>
  <c r="K17" i="15" s="1"/>
  <c r="E17" i="15"/>
  <c r="M16" i="15"/>
  <c r="I16" i="15"/>
  <c r="K16" i="15" s="1"/>
  <c r="E16" i="15"/>
  <c r="M15" i="15"/>
  <c r="I15" i="15"/>
  <c r="K15" i="15" s="1"/>
  <c r="E15" i="15"/>
  <c r="M14" i="15"/>
  <c r="I14" i="15"/>
  <c r="K14" i="15" s="1"/>
  <c r="E14" i="15"/>
  <c r="L14" i="15" s="1"/>
  <c r="M13" i="15"/>
  <c r="I13" i="15"/>
  <c r="K13" i="15" s="1"/>
  <c r="E13" i="15"/>
  <c r="M12" i="15"/>
  <c r="I12" i="15"/>
  <c r="K12" i="15" s="1"/>
  <c r="E12" i="15"/>
  <c r="G12" i="15" s="1"/>
  <c r="M11" i="15"/>
  <c r="I11" i="15"/>
  <c r="K11" i="15" s="1"/>
  <c r="E11" i="15"/>
  <c r="G11" i="15" s="1"/>
  <c r="M10" i="15"/>
  <c r="I10" i="15"/>
  <c r="K10" i="15" s="1"/>
  <c r="E10" i="15"/>
  <c r="L10" i="15" s="1"/>
  <c r="N10" i="15" s="1"/>
  <c r="M9" i="15"/>
  <c r="I9" i="15"/>
  <c r="K9" i="15" s="1"/>
  <c r="E9" i="15"/>
  <c r="M8" i="15"/>
  <c r="I8" i="15"/>
  <c r="K8" i="15" s="1"/>
  <c r="E8" i="15"/>
  <c r="G8" i="15" s="1"/>
  <c r="M7" i="15"/>
  <c r="I7" i="15"/>
  <c r="E7" i="15"/>
  <c r="G7" i="15" s="1"/>
  <c r="M6" i="15"/>
  <c r="I6" i="15"/>
  <c r="K6" i="15" s="1"/>
  <c r="E6" i="15"/>
  <c r="G6" i="15" s="1"/>
  <c r="M5" i="15"/>
  <c r="I5" i="15"/>
  <c r="K5" i="15" s="1"/>
  <c r="E5" i="15"/>
  <c r="G5" i="15" s="1"/>
  <c r="M116" i="14"/>
  <c r="M16" i="14"/>
  <c r="I16" i="14"/>
  <c r="E16" i="14"/>
  <c r="G16" i="14" s="1"/>
  <c r="L137" i="14"/>
  <c r="J135" i="14"/>
  <c r="F135" i="14"/>
  <c r="M134" i="14"/>
  <c r="I134" i="14"/>
  <c r="K134" i="14" s="1"/>
  <c r="E134" i="14"/>
  <c r="G134" i="14" s="1"/>
  <c r="M133" i="14"/>
  <c r="I133" i="14"/>
  <c r="E133" i="14"/>
  <c r="G133" i="14" s="1"/>
  <c r="M132" i="14"/>
  <c r="I132" i="14"/>
  <c r="K132" i="14" s="1"/>
  <c r="E132" i="14"/>
  <c r="M131" i="14"/>
  <c r="I131" i="14"/>
  <c r="K131" i="14" s="1"/>
  <c r="E131" i="14"/>
  <c r="M130" i="14"/>
  <c r="I130" i="14"/>
  <c r="K130" i="14" s="1"/>
  <c r="E130" i="14"/>
  <c r="L130" i="14" s="1"/>
  <c r="N130" i="14" s="1"/>
  <c r="M129" i="14"/>
  <c r="I129" i="14"/>
  <c r="K129" i="14" s="1"/>
  <c r="E129" i="14"/>
  <c r="G129" i="14" s="1"/>
  <c r="M128" i="14"/>
  <c r="I128" i="14"/>
  <c r="E128" i="14"/>
  <c r="G128" i="14" s="1"/>
  <c r="M127" i="14"/>
  <c r="I127" i="14"/>
  <c r="K127" i="14" s="1"/>
  <c r="E127" i="14"/>
  <c r="M126" i="14"/>
  <c r="I126" i="14"/>
  <c r="K126" i="14" s="1"/>
  <c r="E126" i="14"/>
  <c r="M125" i="14"/>
  <c r="I125" i="14"/>
  <c r="K125" i="14" s="1"/>
  <c r="E125" i="14"/>
  <c r="L125" i="14" s="1"/>
  <c r="N125" i="14" s="1"/>
  <c r="M124" i="14"/>
  <c r="I124" i="14"/>
  <c r="E124" i="14"/>
  <c r="G124" i="14" s="1"/>
  <c r="M123" i="14"/>
  <c r="I123" i="14"/>
  <c r="K123" i="14" s="1"/>
  <c r="E123" i="14"/>
  <c r="L123" i="14" s="1"/>
  <c r="N123" i="14" s="1"/>
  <c r="M122" i="14"/>
  <c r="I122" i="14"/>
  <c r="K122" i="14" s="1"/>
  <c r="E122" i="14"/>
  <c r="G122" i="14" s="1"/>
  <c r="M121" i="14"/>
  <c r="I121" i="14"/>
  <c r="E121" i="14"/>
  <c r="G121" i="14" s="1"/>
  <c r="M120" i="14"/>
  <c r="I120" i="14"/>
  <c r="K120" i="14" s="1"/>
  <c r="E120" i="14"/>
  <c r="L120" i="14" s="1"/>
  <c r="R116" i="14"/>
  <c r="G116" i="14"/>
  <c r="P115" i="14"/>
  <c r="L115" i="14"/>
  <c r="J115" i="14"/>
  <c r="N115" i="14" s="1"/>
  <c r="E115" i="14"/>
  <c r="P114" i="14"/>
  <c r="L114" i="14"/>
  <c r="J114" i="14"/>
  <c r="N114" i="14" s="1"/>
  <c r="E114" i="14"/>
  <c r="P113" i="14"/>
  <c r="L113" i="14"/>
  <c r="J113" i="14"/>
  <c r="E113" i="14"/>
  <c r="H113" i="14" s="1"/>
  <c r="P112" i="14"/>
  <c r="L112" i="14"/>
  <c r="J112" i="14"/>
  <c r="N112" i="14" s="1"/>
  <c r="E112" i="14"/>
  <c r="P111" i="14"/>
  <c r="L111" i="14"/>
  <c r="J111" i="14"/>
  <c r="N111" i="14" s="1"/>
  <c r="E111" i="14"/>
  <c r="P110" i="14"/>
  <c r="L110" i="14"/>
  <c r="J110" i="14"/>
  <c r="E110" i="14"/>
  <c r="H110" i="14" s="1"/>
  <c r="P109" i="14"/>
  <c r="L109" i="14"/>
  <c r="J109" i="14"/>
  <c r="N109" i="14" s="1"/>
  <c r="E109" i="14"/>
  <c r="P108" i="14"/>
  <c r="L108" i="14"/>
  <c r="J108" i="14"/>
  <c r="N108" i="14" s="1"/>
  <c r="E108" i="14"/>
  <c r="P107" i="14"/>
  <c r="L107" i="14"/>
  <c r="J107" i="14"/>
  <c r="E107" i="14"/>
  <c r="H107" i="14" s="1"/>
  <c r="P106" i="14"/>
  <c r="L106" i="14"/>
  <c r="J106" i="14"/>
  <c r="N106" i="14" s="1"/>
  <c r="E106" i="14"/>
  <c r="P105" i="14"/>
  <c r="L105" i="14"/>
  <c r="J105" i="14"/>
  <c r="N105" i="14" s="1"/>
  <c r="E105" i="14"/>
  <c r="O105" i="14" s="1"/>
  <c r="P104" i="14"/>
  <c r="L104" i="14"/>
  <c r="J104" i="14"/>
  <c r="E104" i="14"/>
  <c r="H104" i="14" s="1"/>
  <c r="P103" i="14"/>
  <c r="L103" i="14"/>
  <c r="J103" i="14"/>
  <c r="N103" i="14" s="1"/>
  <c r="E103" i="14"/>
  <c r="P102" i="14"/>
  <c r="L102" i="14"/>
  <c r="J102" i="14"/>
  <c r="N102" i="14" s="1"/>
  <c r="E102" i="14"/>
  <c r="P101" i="14"/>
  <c r="L101" i="14"/>
  <c r="J101" i="14"/>
  <c r="E101" i="14"/>
  <c r="H101" i="14" s="1"/>
  <c r="P100" i="14"/>
  <c r="L100" i="14"/>
  <c r="J100" i="14"/>
  <c r="N100" i="14" s="1"/>
  <c r="E100" i="14"/>
  <c r="P99" i="14"/>
  <c r="L99" i="14"/>
  <c r="J99" i="14"/>
  <c r="N99" i="14" s="1"/>
  <c r="E99" i="14"/>
  <c r="P98" i="14"/>
  <c r="L98" i="14"/>
  <c r="J98" i="14"/>
  <c r="E98" i="14"/>
  <c r="H98" i="14" s="1"/>
  <c r="P97" i="14"/>
  <c r="L97" i="14"/>
  <c r="J97" i="14"/>
  <c r="N97" i="14" s="1"/>
  <c r="E97" i="14"/>
  <c r="P96" i="14"/>
  <c r="L96" i="14"/>
  <c r="J96" i="14"/>
  <c r="N96" i="14" s="1"/>
  <c r="E96" i="14"/>
  <c r="P95" i="14"/>
  <c r="L95" i="14"/>
  <c r="J95" i="14"/>
  <c r="N95" i="14" s="1"/>
  <c r="E95" i="14"/>
  <c r="H95" i="14" s="1"/>
  <c r="P94" i="14"/>
  <c r="L94" i="14"/>
  <c r="J94" i="14"/>
  <c r="N94" i="14" s="1"/>
  <c r="E94" i="14"/>
  <c r="P93" i="14"/>
  <c r="L93" i="14"/>
  <c r="J93" i="14"/>
  <c r="N93" i="14" s="1"/>
  <c r="E93" i="14"/>
  <c r="H93" i="14" s="1"/>
  <c r="P92" i="14"/>
  <c r="L92" i="14"/>
  <c r="J92" i="14"/>
  <c r="N92" i="14" s="1"/>
  <c r="E92" i="14"/>
  <c r="H92" i="14" s="1"/>
  <c r="P91" i="14"/>
  <c r="L91" i="14"/>
  <c r="J91" i="14"/>
  <c r="N91" i="14" s="1"/>
  <c r="E91" i="14"/>
  <c r="O91" i="14" s="1"/>
  <c r="P90" i="14"/>
  <c r="L90" i="14"/>
  <c r="J90" i="14"/>
  <c r="E90" i="14"/>
  <c r="H90" i="14" s="1"/>
  <c r="P89" i="14"/>
  <c r="L89" i="14"/>
  <c r="J89" i="14"/>
  <c r="E89" i="14"/>
  <c r="H89" i="14" s="1"/>
  <c r="P88" i="14"/>
  <c r="L88" i="14"/>
  <c r="J88" i="14"/>
  <c r="N88" i="14" s="1"/>
  <c r="E88" i="14"/>
  <c r="P87" i="14"/>
  <c r="L87" i="14"/>
  <c r="J87" i="14"/>
  <c r="N87" i="14" s="1"/>
  <c r="E87" i="14"/>
  <c r="H87" i="14" s="1"/>
  <c r="P86" i="14"/>
  <c r="L86" i="14"/>
  <c r="J86" i="14"/>
  <c r="N86" i="14" s="1"/>
  <c r="E86" i="14"/>
  <c r="H86" i="14" s="1"/>
  <c r="P85" i="14"/>
  <c r="L85" i="14"/>
  <c r="J85" i="14"/>
  <c r="N85" i="14" s="1"/>
  <c r="E85" i="14"/>
  <c r="P84" i="14"/>
  <c r="L84" i="14"/>
  <c r="J84" i="14"/>
  <c r="E84" i="14"/>
  <c r="H84" i="14" s="1"/>
  <c r="P83" i="14"/>
  <c r="L83" i="14"/>
  <c r="J83" i="14"/>
  <c r="N83" i="14" s="1"/>
  <c r="E83" i="14"/>
  <c r="H83" i="14" s="1"/>
  <c r="P82" i="14"/>
  <c r="L82" i="14"/>
  <c r="J82" i="14"/>
  <c r="N82" i="14" s="1"/>
  <c r="E82" i="14"/>
  <c r="P81" i="14"/>
  <c r="L81" i="14"/>
  <c r="J81" i="14"/>
  <c r="E81" i="14"/>
  <c r="H81" i="14" s="1"/>
  <c r="P80" i="14"/>
  <c r="L80" i="14"/>
  <c r="J80" i="14"/>
  <c r="E80" i="14"/>
  <c r="H80" i="14" s="1"/>
  <c r="P79" i="14"/>
  <c r="L79" i="14"/>
  <c r="J79" i="14"/>
  <c r="N79" i="14" s="1"/>
  <c r="E79" i="14"/>
  <c r="P78" i="14"/>
  <c r="L78" i="14"/>
  <c r="J78" i="14"/>
  <c r="E78" i="14"/>
  <c r="H78" i="14" s="1"/>
  <c r="P77" i="14"/>
  <c r="L77" i="14"/>
  <c r="J77" i="14"/>
  <c r="N77" i="14" s="1"/>
  <c r="E77" i="14"/>
  <c r="H77" i="14" s="1"/>
  <c r="P76" i="14"/>
  <c r="L76" i="14"/>
  <c r="J76" i="14"/>
  <c r="N76" i="14" s="1"/>
  <c r="E76" i="14"/>
  <c r="O76" i="14" s="1"/>
  <c r="P75" i="14"/>
  <c r="L75" i="14"/>
  <c r="J75" i="14"/>
  <c r="N75" i="14" s="1"/>
  <c r="E75" i="14"/>
  <c r="H75" i="14" s="1"/>
  <c r="P74" i="14"/>
  <c r="L74" i="14"/>
  <c r="J74" i="14"/>
  <c r="N74" i="14" s="1"/>
  <c r="E74" i="14"/>
  <c r="H74" i="14" s="1"/>
  <c r="P73" i="14"/>
  <c r="L73" i="14"/>
  <c r="J73" i="14"/>
  <c r="N73" i="14" s="1"/>
  <c r="E73" i="14"/>
  <c r="P72" i="14"/>
  <c r="L72" i="14"/>
  <c r="J72" i="14"/>
  <c r="N72" i="14" s="1"/>
  <c r="E72" i="14"/>
  <c r="H72" i="14" s="1"/>
  <c r="P71" i="14"/>
  <c r="L71" i="14"/>
  <c r="J71" i="14"/>
  <c r="E71" i="14"/>
  <c r="H71" i="14" s="1"/>
  <c r="P70" i="14"/>
  <c r="L70" i="14"/>
  <c r="J70" i="14"/>
  <c r="N70" i="14" s="1"/>
  <c r="E70" i="14"/>
  <c r="P69" i="14"/>
  <c r="L69" i="14"/>
  <c r="J69" i="14"/>
  <c r="E69" i="14"/>
  <c r="H69" i="14" s="1"/>
  <c r="P68" i="14"/>
  <c r="L68" i="14"/>
  <c r="J68" i="14"/>
  <c r="E68" i="14"/>
  <c r="H68" i="14" s="1"/>
  <c r="P67" i="14"/>
  <c r="L67" i="14"/>
  <c r="J67" i="14"/>
  <c r="N67" i="14" s="1"/>
  <c r="E67" i="14"/>
  <c r="O67" i="14" s="1"/>
  <c r="P66" i="14"/>
  <c r="L66" i="14"/>
  <c r="J66" i="14"/>
  <c r="E66" i="14"/>
  <c r="H66" i="14" s="1"/>
  <c r="P65" i="14"/>
  <c r="L65" i="14"/>
  <c r="J65" i="14"/>
  <c r="E65" i="14"/>
  <c r="H65" i="14" s="1"/>
  <c r="P64" i="14"/>
  <c r="L64" i="14"/>
  <c r="J64" i="14"/>
  <c r="N64" i="14" s="1"/>
  <c r="E64" i="14"/>
  <c r="O64" i="14" s="1"/>
  <c r="P63" i="14"/>
  <c r="L63" i="14"/>
  <c r="J63" i="14"/>
  <c r="E63" i="14"/>
  <c r="H63" i="14" s="1"/>
  <c r="P62" i="14"/>
  <c r="L62" i="14"/>
  <c r="J62" i="14"/>
  <c r="E62" i="14"/>
  <c r="H62" i="14" s="1"/>
  <c r="P61" i="14"/>
  <c r="L61" i="14"/>
  <c r="J61" i="14"/>
  <c r="N61" i="14" s="1"/>
  <c r="E61" i="14"/>
  <c r="P60" i="14"/>
  <c r="L60" i="14"/>
  <c r="J60" i="14"/>
  <c r="E60" i="14"/>
  <c r="H60" i="14" s="1"/>
  <c r="P59" i="14"/>
  <c r="L59" i="14"/>
  <c r="J59" i="14"/>
  <c r="E59" i="14"/>
  <c r="H59" i="14" s="1"/>
  <c r="P58" i="14"/>
  <c r="L58" i="14"/>
  <c r="J58" i="14"/>
  <c r="N58" i="14" s="1"/>
  <c r="E58" i="14"/>
  <c r="O58" i="14" s="1"/>
  <c r="P57" i="14"/>
  <c r="L57" i="14"/>
  <c r="J57" i="14"/>
  <c r="E57" i="14"/>
  <c r="H57" i="14" s="1"/>
  <c r="P56" i="14"/>
  <c r="L56" i="14"/>
  <c r="J56" i="14"/>
  <c r="N56" i="14" s="1"/>
  <c r="E56" i="14"/>
  <c r="H56" i="14" s="1"/>
  <c r="P55" i="14"/>
  <c r="L55" i="14"/>
  <c r="J55" i="14"/>
  <c r="N55" i="14" s="1"/>
  <c r="E55" i="14"/>
  <c r="O55" i="14" s="1"/>
  <c r="P54" i="14"/>
  <c r="L54" i="14"/>
  <c r="J54" i="14"/>
  <c r="E54" i="14"/>
  <c r="H54" i="14" s="1"/>
  <c r="P53" i="14"/>
  <c r="L53" i="14"/>
  <c r="J53" i="14"/>
  <c r="E53" i="14"/>
  <c r="H53" i="14" s="1"/>
  <c r="P52" i="14"/>
  <c r="L52" i="14"/>
  <c r="J52" i="14"/>
  <c r="N52" i="14" s="1"/>
  <c r="E52" i="14"/>
  <c r="P51" i="14"/>
  <c r="L51" i="14"/>
  <c r="J51" i="14"/>
  <c r="N51" i="14" s="1"/>
  <c r="E51" i="14"/>
  <c r="H51" i="14" s="1"/>
  <c r="P50" i="14"/>
  <c r="L50" i="14"/>
  <c r="J50" i="14"/>
  <c r="N50" i="14" s="1"/>
  <c r="E50" i="14"/>
  <c r="H50" i="14" s="1"/>
  <c r="J46" i="14"/>
  <c r="F46" i="14"/>
  <c r="M45" i="14"/>
  <c r="I45" i="14"/>
  <c r="K45" i="14" s="1"/>
  <c r="E45" i="14"/>
  <c r="L45" i="14" s="1"/>
  <c r="M44" i="14"/>
  <c r="I44" i="14"/>
  <c r="E44" i="14"/>
  <c r="G44" i="14" s="1"/>
  <c r="J40" i="14"/>
  <c r="F40" i="14"/>
  <c r="M39" i="14"/>
  <c r="I39" i="14"/>
  <c r="K39" i="14" s="1"/>
  <c r="E39" i="14"/>
  <c r="G39" i="14" s="1"/>
  <c r="M38" i="14"/>
  <c r="I38" i="14"/>
  <c r="I40" i="14" s="1"/>
  <c r="E38" i="14"/>
  <c r="J34" i="14"/>
  <c r="F34" i="14"/>
  <c r="M33" i="14"/>
  <c r="I33" i="14"/>
  <c r="K33" i="14" s="1"/>
  <c r="E33" i="14"/>
  <c r="L33" i="14" s="1"/>
  <c r="M32" i="14"/>
  <c r="I32" i="14"/>
  <c r="K32" i="14" s="1"/>
  <c r="E32" i="14"/>
  <c r="G32" i="14" s="1"/>
  <c r="M31" i="14"/>
  <c r="I31" i="14"/>
  <c r="K31" i="14" s="1"/>
  <c r="E31" i="14"/>
  <c r="G31" i="14" s="1"/>
  <c r="M30" i="14"/>
  <c r="I30" i="14"/>
  <c r="K30" i="14" s="1"/>
  <c r="E30" i="14"/>
  <c r="M29" i="14"/>
  <c r="I29" i="14"/>
  <c r="K29" i="14" s="1"/>
  <c r="E29" i="14"/>
  <c r="J25" i="14"/>
  <c r="F25" i="14"/>
  <c r="M24" i="14"/>
  <c r="I24" i="14"/>
  <c r="K24" i="14" s="1"/>
  <c r="E24" i="14"/>
  <c r="G24" i="14" s="1"/>
  <c r="M23" i="14"/>
  <c r="I23" i="14"/>
  <c r="K23" i="14" s="1"/>
  <c r="K25" i="14" s="1"/>
  <c r="E23" i="14"/>
  <c r="O19" i="14"/>
  <c r="J19" i="14"/>
  <c r="M18" i="14"/>
  <c r="I18" i="14"/>
  <c r="K18" i="14" s="1"/>
  <c r="E18" i="14"/>
  <c r="G18" i="14" s="1"/>
  <c r="M17" i="14"/>
  <c r="I17" i="14"/>
  <c r="K17" i="14" s="1"/>
  <c r="E17" i="14"/>
  <c r="M15" i="14"/>
  <c r="I15" i="14"/>
  <c r="K15" i="14" s="1"/>
  <c r="E15" i="14"/>
  <c r="L15" i="14" s="1"/>
  <c r="M14" i="14"/>
  <c r="I14" i="14"/>
  <c r="K14" i="14" s="1"/>
  <c r="E14" i="14"/>
  <c r="G14" i="14" s="1"/>
  <c r="M13" i="14"/>
  <c r="I13" i="14"/>
  <c r="K13" i="14" s="1"/>
  <c r="E13" i="14"/>
  <c r="M12" i="14"/>
  <c r="I12" i="14"/>
  <c r="K12" i="14" s="1"/>
  <c r="E12" i="14"/>
  <c r="L12" i="14" s="1"/>
  <c r="M11" i="14"/>
  <c r="I11" i="14"/>
  <c r="E11" i="14"/>
  <c r="G11" i="14" s="1"/>
  <c r="I10" i="14"/>
  <c r="K10" i="14" s="1"/>
  <c r="F19" i="14"/>
  <c r="E10" i="14"/>
  <c r="M9" i="14"/>
  <c r="I9" i="14"/>
  <c r="K9" i="14" s="1"/>
  <c r="E9" i="14"/>
  <c r="G9" i="14" s="1"/>
  <c r="M8" i="14"/>
  <c r="I8" i="14"/>
  <c r="K8" i="14" s="1"/>
  <c r="E8" i="14"/>
  <c r="M7" i="14"/>
  <c r="I7" i="14"/>
  <c r="E7" i="14"/>
  <c r="M6" i="14"/>
  <c r="I6" i="14"/>
  <c r="K6" i="14" s="1"/>
  <c r="E6" i="14"/>
  <c r="G6" i="14" s="1"/>
  <c r="M5" i="14"/>
  <c r="I5" i="14"/>
  <c r="K5" i="14" s="1"/>
  <c r="E5" i="14"/>
  <c r="G5" i="14" s="1"/>
  <c r="N113" i="13"/>
  <c r="P113" i="13"/>
  <c r="Q113" i="13" s="1"/>
  <c r="N112" i="13"/>
  <c r="P112" i="13"/>
  <c r="Q112" i="13" s="1"/>
  <c r="N111" i="13"/>
  <c r="P111" i="13"/>
  <c r="Q111" i="13"/>
  <c r="N110" i="13"/>
  <c r="P110" i="13"/>
  <c r="Q110" i="13"/>
  <c r="N109" i="13"/>
  <c r="P109" i="13"/>
  <c r="Q109" i="13" s="1"/>
  <c r="L113" i="13"/>
  <c r="L112" i="13"/>
  <c r="L111" i="13"/>
  <c r="L110" i="13"/>
  <c r="L109" i="13"/>
  <c r="J113" i="13"/>
  <c r="O113" i="13"/>
  <c r="J112" i="13"/>
  <c r="O112" i="13" s="1"/>
  <c r="J111" i="13"/>
  <c r="O111" i="13"/>
  <c r="J110" i="13"/>
  <c r="O110" i="13"/>
  <c r="J109" i="13"/>
  <c r="O109" i="13" s="1"/>
  <c r="H113" i="13"/>
  <c r="H112" i="13"/>
  <c r="H111" i="13"/>
  <c r="H110" i="13"/>
  <c r="H109" i="13"/>
  <c r="E113" i="13"/>
  <c r="E112" i="13"/>
  <c r="E111" i="13"/>
  <c r="E110" i="13"/>
  <c r="E109" i="13"/>
  <c r="R115" i="13"/>
  <c r="L125" i="21" l="1"/>
  <c r="N125" i="21" s="1"/>
  <c r="L129" i="21"/>
  <c r="N129" i="21" s="1"/>
  <c r="N74" i="21"/>
  <c r="P117" i="21"/>
  <c r="N145" i="21" s="1"/>
  <c r="K46" i="21"/>
  <c r="J47" i="21"/>
  <c r="O55" i="21"/>
  <c r="Q55" i="21" s="1"/>
  <c r="O58" i="21"/>
  <c r="Q58" i="21" s="1"/>
  <c r="O75" i="21"/>
  <c r="Q75" i="21" s="1"/>
  <c r="O64" i="21"/>
  <c r="Q64" i="21" s="1"/>
  <c r="L5" i="21"/>
  <c r="N5" i="21" s="1"/>
  <c r="L9" i="21"/>
  <c r="N9" i="21" s="1"/>
  <c r="L13" i="21"/>
  <c r="N13" i="21" s="1"/>
  <c r="L17" i="21"/>
  <c r="N17" i="21" s="1"/>
  <c r="L39" i="21"/>
  <c r="E47" i="21"/>
  <c r="I40" i="21"/>
  <c r="L32" i="21"/>
  <c r="N32" i="21" s="1"/>
  <c r="L133" i="21"/>
  <c r="N133" i="21" s="1"/>
  <c r="N150" i="21"/>
  <c r="N134" i="21"/>
  <c r="G125" i="21"/>
  <c r="L123" i="21"/>
  <c r="N123" i="21" s="1"/>
  <c r="L138" i="21"/>
  <c r="N138" i="21" s="1"/>
  <c r="K122" i="21"/>
  <c r="L140" i="21"/>
  <c r="N140" i="21" s="1"/>
  <c r="L126" i="21"/>
  <c r="N126" i="21" s="1"/>
  <c r="L121" i="21"/>
  <c r="N121" i="21" s="1"/>
  <c r="L127" i="21"/>
  <c r="N127" i="21" s="1"/>
  <c r="L130" i="21"/>
  <c r="N130" i="21" s="1"/>
  <c r="L135" i="21"/>
  <c r="N135" i="21" s="1"/>
  <c r="G134" i="21"/>
  <c r="L139" i="21"/>
  <c r="N139" i="21" s="1"/>
  <c r="L128" i="21"/>
  <c r="N128" i="21" s="1"/>
  <c r="L131" i="21"/>
  <c r="N131" i="21" s="1"/>
  <c r="O52" i="21"/>
  <c r="Q52" i="21" s="1"/>
  <c r="N64" i="21"/>
  <c r="O97" i="21"/>
  <c r="Q97" i="21" s="1"/>
  <c r="O86" i="21"/>
  <c r="Q86" i="21" s="1"/>
  <c r="O70" i="21"/>
  <c r="Q70" i="21" s="1"/>
  <c r="O106" i="21"/>
  <c r="Q106" i="21" s="1"/>
  <c r="O79" i="21"/>
  <c r="Q79" i="21" s="1"/>
  <c r="O82" i="21"/>
  <c r="Q82" i="21" s="1"/>
  <c r="O85" i="21"/>
  <c r="O104" i="21"/>
  <c r="Q104" i="21" s="1"/>
  <c r="O115" i="21"/>
  <c r="Q115" i="21" s="1"/>
  <c r="O67" i="21"/>
  <c r="Q67" i="21" s="1"/>
  <c r="O100" i="21"/>
  <c r="Q100" i="21" s="1"/>
  <c r="O103" i="21"/>
  <c r="Q103" i="21" s="1"/>
  <c r="O73" i="21"/>
  <c r="Q73" i="21" s="1"/>
  <c r="O95" i="21"/>
  <c r="Q95" i="21" s="1"/>
  <c r="O109" i="21"/>
  <c r="Q109" i="21" s="1"/>
  <c r="O112" i="21"/>
  <c r="O88" i="21"/>
  <c r="Q88" i="21" s="1"/>
  <c r="O91" i="21"/>
  <c r="Q91" i="21" s="1"/>
  <c r="O94" i="21"/>
  <c r="O113" i="21"/>
  <c r="Q113" i="21" s="1"/>
  <c r="L117" i="21"/>
  <c r="Q85" i="21"/>
  <c r="N55" i="21"/>
  <c r="O62" i="21"/>
  <c r="Q62" i="21" s="1"/>
  <c r="N73" i="21"/>
  <c r="N82" i="21"/>
  <c r="N91" i="21"/>
  <c r="N100" i="21"/>
  <c r="N109" i="21"/>
  <c r="O51" i="21"/>
  <c r="Q51" i="21" s="1"/>
  <c r="N58" i="21"/>
  <c r="N67" i="21"/>
  <c r="O89" i="21"/>
  <c r="Q89" i="21" s="1"/>
  <c r="O98" i="21"/>
  <c r="Q98" i="21" s="1"/>
  <c r="O107" i="21"/>
  <c r="Q107" i="21" s="1"/>
  <c r="O116" i="21"/>
  <c r="Q116" i="21" s="1"/>
  <c r="O65" i="21"/>
  <c r="Q65" i="21" s="1"/>
  <c r="O54" i="21"/>
  <c r="Q54" i="21" s="1"/>
  <c r="N85" i="21"/>
  <c r="N94" i="21"/>
  <c r="N103" i="21"/>
  <c r="N112" i="21"/>
  <c r="O61" i="21"/>
  <c r="Q61" i="21" s="1"/>
  <c r="O76" i="21"/>
  <c r="Q76" i="21" s="1"/>
  <c r="O83" i="21"/>
  <c r="Q83" i="21" s="1"/>
  <c r="N70" i="21"/>
  <c r="O72" i="21"/>
  <c r="Q72" i="21" s="1"/>
  <c r="O92" i="21"/>
  <c r="Q92" i="21" s="1"/>
  <c r="Q94" i="21"/>
  <c r="O101" i="21"/>
  <c r="Q101" i="21" s="1"/>
  <c r="O110" i="21"/>
  <c r="Q110" i="21" s="1"/>
  <c r="Q112" i="21"/>
  <c r="O68" i="21"/>
  <c r="Q68" i="21" s="1"/>
  <c r="O71" i="21"/>
  <c r="Q71" i="21" s="1"/>
  <c r="G46" i="21"/>
  <c r="L46" i="21"/>
  <c r="N46" i="21" s="1"/>
  <c r="L45" i="21"/>
  <c r="M40" i="21"/>
  <c r="N148" i="21" s="1"/>
  <c r="I34" i="21"/>
  <c r="M25" i="21"/>
  <c r="N152" i="21" s="1"/>
  <c r="K25" i="21"/>
  <c r="I25" i="21"/>
  <c r="E25" i="21"/>
  <c r="N8" i="21"/>
  <c r="L6" i="21"/>
  <c r="N6" i="21" s="1"/>
  <c r="G9" i="21"/>
  <c r="N15" i="21"/>
  <c r="L18" i="21"/>
  <c r="N18" i="21" s="1"/>
  <c r="G13" i="21"/>
  <c r="G7" i="21"/>
  <c r="G16" i="21"/>
  <c r="N16" i="21"/>
  <c r="N147" i="21"/>
  <c r="L38" i="21"/>
  <c r="E40" i="21"/>
  <c r="G38" i="21"/>
  <c r="K45" i="21"/>
  <c r="K47" i="21" s="1"/>
  <c r="O60" i="21"/>
  <c r="Q60" i="21" s="1"/>
  <c r="J117" i="21"/>
  <c r="N117" i="21" s="1"/>
  <c r="I19" i="21"/>
  <c r="K19" i="21" s="1"/>
  <c r="L11" i="21"/>
  <c r="N11" i="21" s="1"/>
  <c r="L14" i="21"/>
  <c r="N14" i="21" s="1"/>
  <c r="G14" i="21"/>
  <c r="K18" i="21"/>
  <c r="L23" i="21"/>
  <c r="N23" i="21" s="1"/>
  <c r="L31" i="21"/>
  <c r="G33" i="21"/>
  <c r="M45" i="21"/>
  <c r="M47" i="21" s="1"/>
  <c r="E117" i="21"/>
  <c r="O56" i="21"/>
  <c r="Q56" i="21" s="1"/>
  <c r="N75" i="21"/>
  <c r="O81" i="21"/>
  <c r="Q81" i="21" s="1"/>
  <c r="N81" i="21"/>
  <c r="O87" i="21"/>
  <c r="Q87" i="21" s="1"/>
  <c r="N87" i="21"/>
  <c r="O93" i="21"/>
  <c r="Q93" i="21" s="1"/>
  <c r="N93" i="21"/>
  <c r="O99" i="21"/>
  <c r="Q99" i="21" s="1"/>
  <c r="N99" i="21"/>
  <c r="O105" i="21"/>
  <c r="Q105" i="21" s="1"/>
  <c r="N105" i="21"/>
  <c r="O111" i="21"/>
  <c r="Q111" i="21" s="1"/>
  <c r="N111" i="21"/>
  <c r="K135" i="21"/>
  <c r="G5" i="21"/>
  <c r="N54" i="21"/>
  <c r="N60" i="21"/>
  <c r="O66" i="21"/>
  <c r="Q66" i="21" s="1"/>
  <c r="O77" i="21"/>
  <c r="Q77" i="21" s="1"/>
  <c r="G130" i="21"/>
  <c r="N31" i="21"/>
  <c r="N51" i="21"/>
  <c r="G8" i="21"/>
  <c r="G10" i="21"/>
  <c r="G17" i="21"/>
  <c r="J143" i="21"/>
  <c r="C146" i="21" s="1"/>
  <c r="L24" i="21"/>
  <c r="N24" i="21" s="1"/>
  <c r="L29" i="21"/>
  <c r="N29" i="21" s="1"/>
  <c r="O53" i="21"/>
  <c r="Q53" i="21" s="1"/>
  <c r="N72" i="21"/>
  <c r="O78" i="21"/>
  <c r="Q78" i="21" s="1"/>
  <c r="K123" i="21"/>
  <c r="E142" i="21"/>
  <c r="K6" i="21"/>
  <c r="G15" i="21"/>
  <c r="O63" i="21"/>
  <c r="Q63" i="21" s="1"/>
  <c r="O74" i="21"/>
  <c r="Q74" i="21" s="1"/>
  <c r="O84" i="21"/>
  <c r="Q84" i="21" s="1"/>
  <c r="N84" i="21"/>
  <c r="O90" i="21"/>
  <c r="Q90" i="21" s="1"/>
  <c r="N90" i="21"/>
  <c r="O96" i="21"/>
  <c r="Q96" i="21" s="1"/>
  <c r="N96" i="21"/>
  <c r="O102" i="21"/>
  <c r="Q102" i="21" s="1"/>
  <c r="N102" i="21"/>
  <c r="O108" i="21"/>
  <c r="Q108" i="21" s="1"/>
  <c r="N108" i="21"/>
  <c r="O114" i="21"/>
  <c r="Q114" i="21" s="1"/>
  <c r="N114" i="21"/>
  <c r="L132" i="21"/>
  <c r="N132" i="21" s="1"/>
  <c r="G132" i="21"/>
  <c r="I142" i="21"/>
  <c r="E19" i="21"/>
  <c r="N7" i="21"/>
  <c r="L44" i="21"/>
  <c r="G44" i="21"/>
  <c r="F143" i="21"/>
  <c r="C145" i="21" s="1"/>
  <c r="K29" i="21"/>
  <c r="K34" i="21" s="1"/>
  <c r="N34" i="21" s="1"/>
  <c r="G39" i="21"/>
  <c r="E34" i="21"/>
  <c r="L30" i="21"/>
  <c r="N30" i="21" s="1"/>
  <c r="G30" i="21"/>
  <c r="K39" i="21"/>
  <c r="K40" i="21" s="1"/>
  <c r="O59" i="21"/>
  <c r="Q59" i="21" s="1"/>
  <c r="N78" i="21"/>
  <c r="M142" i="21"/>
  <c r="O144" i="21" s="1"/>
  <c r="N151" i="21" s="1"/>
  <c r="G23" i="21"/>
  <c r="I47" i="21"/>
  <c r="M19" i="21"/>
  <c r="L12" i="21"/>
  <c r="N12" i="21" s="1"/>
  <c r="G12" i="21"/>
  <c r="O57" i="21"/>
  <c r="Q57" i="21" s="1"/>
  <c r="N39" i="21"/>
  <c r="G45" i="21"/>
  <c r="N63" i="21"/>
  <c r="O69" i="21"/>
  <c r="Q69" i="21" s="1"/>
  <c r="O80" i="21"/>
  <c r="Q80" i="21" s="1"/>
  <c r="G137" i="21"/>
  <c r="L124" i="21"/>
  <c r="N124" i="21" s="1"/>
  <c r="L136" i="21"/>
  <c r="N136" i="21" s="1"/>
  <c r="G127" i="21"/>
  <c r="G139" i="21"/>
  <c r="G129" i="21"/>
  <c r="G141" i="21"/>
  <c r="K141" i="20"/>
  <c r="L128" i="20"/>
  <c r="N128" i="20" s="1"/>
  <c r="L121" i="20"/>
  <c r="J47" i="20"/>
  <c r="L10" i="20"/>
  <c r="N132" i="20"/>
  <c r="I142" i="20"/>
  <c r="L23" i="20"/>
  <c r="N150" i="20"/>
  <c r="L122" i="20"/>
  <c r="N122" i="20" s="1"/>
  <c r="L126" i="20"/>
  <c r="N126" i="20" s="1"/>
  <c r="O99" i="20"/>
  <c r="Q99" i="20" s="1"/>
  <c r="G45" i="20"/>
  <c r="O108" i="20"/>
  <c r="Q108" i="20" s="1"/>
  <c r="O105" i="20"/>
  <c r="O96" i="20"/>
  <c r="Q96" i="20" s="1"/>
  <c r="O93" i="20"/>
  <c r="Q93" i="20" s="1"/>
  <c r="L125" i="20"/>
  <c r="N125" i="20" s="1"/>
  <c r="L140" i="20"/>
  <c r="N140" i="20" s="1"/>
  <c r="L138" i="20"/>
  <c r="N138" i="20" s="1"/>
  <c r="O102" i="20"/>
  <c r="O111" i="20"/>
  <c r="Q111" i="20" s="1"/>
  <c r="O51" i="20"/>
  <c r="Q51" i="20" s="1"/>
  <c r="O54" i="20"/>
  <c r="Q54" i="20" s="1"/>
  <c r="O57" i="20"/>
  <c r="Q57" i="20" s="1"/>
  <c r="O60" i="20"/>
  <c r="Q60" i="20" s="1"/>
  <c r="O66" i="20"/>
  <c r="Q66" i="20" s="1"/>
  <c r="O69" i="20"/>
  <c r="Q69" i="20" s="1"/>
  <c r="O114" i="20"/>
  <c r="Q114" i="20" s="1"/>
  <c r="O63" i="20"/>
  <c r="Q63" i="20" s="1"/>
  <c r="O75" i="20"/>
  <c r="Q75" i="20" s="1"/>
  <c r="O78" i="20"/>
  <c r="Q78" i="20" s="1"/>
  <c r="O72" i="20"/>
  <c r="Q72" i="20" s="1"/>
  <c r="O81" i="20"/>
  <c r="Q81" i="20" s="1"/>
  <c r="O87" i="20"/>
  <c r="Q87" i="20" s="1"/>
  <c r="O90" i="20"/>
  <c r="Q90" i="20" s="1"/>
  <c r="O84" i="20"/>
  <c r="Q84" i="20" s="1"/>
  <c r="E47" i="20"/>
  <c r="L29" i="20"/>
  <c r="L33" i="20"/>
  <c r="N33" i="20" s="1"/>
  <c r="L31" i="20"/>
  <c r="N31" i="20" s="1"/>
  <c r="N9" i="20"/>
  <c r="G125" i="20"/>
  <c r="L127" i="20"/>
  <c r="N127" i="20" s="1"/>
  <c r="L130" i="20"/>
  <c r="N130" i="20" s="1"/>
  <c r="L137" i="20"/>
  <c r="N137" i="20" s="1"/>
  <c r="G140" i="20"/>
  <c r="G128" i="20"/>
  <c r="L123" i="20"/>
  <c r="N123" i="20" s="1"/>
  <c r="L135" i="20"/>
  <c r="N135" i="20" s="1"/>
  <c r="L124" i="20"/>
  <c r="N124" i="20" s="1"/>
  <c r="Q105" i="20"/>
  <c r="P117" i="20"/>
  <c r="N145" i="20" s="1"/>
  <c r="Q102" i="20"/>
  <c r="O112" i="20"/>
  <c r="Q112" i="20" s="1"/>
  <c r="N54" i="20"/>
  <c r="O59" i="20"/>
  <c r="Q59" i="20" s="1"/>
  <c r="N75" i="20"/>
  <c r="O103" i="20"/>
  <c r="Q103" i="20" s="1"/>
  <c r="N105" i="20"/>
  <c r="O110" i="20"/>
  <c r="Q110" i="20" s="1"/>
  <c r="N112" i="20"/>
  <c r="N66" i="20"/>
  <c r="N87" i="20"/>
  <c r="N96" i="20"/>
  <c r="N57" i="20"/>
  <c r="N103" i="20"/>
  <c r="N78" i="20"/>
  <c r="N108" i="20"/>
  <c r="O76" i="20"/>
  <c r="Q76" i="20" s="1"/>
  <c r="N99" i="20"/>
  <c r="O67" i="20"/>
  <c r="Q67" i="20" s="1"/>
  <c r="N69" i="20"/>
  <c r="O74" i="20"/>
  <c r="Q74" i="20" s="1"/>
  <c r="N51" i="20"/>
  <c r="N60" i="20"/>
  <c r="N76" i="20"/>
  <c r="N81" i="20"/>
  <c r="N90" i="20"/>
  <c r="N111" i="20"/>
  <c r="N67" i="20"/>
  <c r="N74" i="20"/>
  <c r="O95" i="20"/>
  <c r="Q95" i="20" s="1"/>
  <c r="M47" i="20"/>
  <c r="N149" i="20" s="1"/>
  <c r="N46" i="20"/>
  <c r="M25" i="20"/>
  <c r="N152" i="20" s="1"/>
  <c r="M40" i="20"/>
  <c r="N148" i="20" s="1"/>
  <c r="I40" i="20"/>
  <c r="K31" i="20"/>
  <c r="G29" i="20"/>
  <c r="I34" i="20"/>
  <c r="G32" i="20"/>
  <c r="N32" i="20"/>
  <c r="K25" i="20"/>
  <c r="N23" i="20"/>
  <c r="L24" i="20"/>
  <c r="L25" i="20" s="1"/>
  <c r="N5" i="20"/>
  <c r="G16" i="20"/>
  <c r="G7" i="20"/>
  <c r="L13" i="20"/>
  <c r="N13" i="20" s="1"/>
  <c r="N7" i="20"/>
  <c r="L8" i="20"/>
  <c r="N8" i="20" s="1"/>
  <c r="L11" i="20"/>
  <c r="N11" i="20" s="1"/>
  <c r="L6" i="20"/>
  <c r="N6" i="20" s="1"/>
  <c r="L18" i="20"/>
  <c r="N18" i="20" s="1"/>
  <c r="O101" i="20"/>
  <c r="Q101" i="20" s="1"/>
  <c r="N101" i="20"/>
  <c r="N59" i="20"/>
  <c r="K137" i="20"/>
  <c r="G10" i="20"/>
  <c r="G39" i="20"/>
  <c r="O97" i="20"/>
  <c r="Q97" i="20" s="1"/>
  <c r="L117" i="20"/>
  <c r="N110" i="20"/>
  <c r="G132" i="20"/>
  <c r="G5" i="20"/>
  <c r="K39" i="20"/>
  <c r="K40" i="20" s="1"/>
  <c r="O82" i="20"/>
  <c r="Q82" i="20" s="1"/>
  <c r="N121" i="20"/>
  <c r="E19" i="20"/>
  <c r="O80" i="20"/>
  <c r="Q80" i="20" s="1"/>
  <c r="N80" i="20"/>
  <c r="N95" i="20"/>
  <c r="F143" i="20"/>
  <c r="C145" i="20" s="1"/>
  <c r="O65" i="20"/>
  <c r="Q65" i="20" s="1"/>
  <c r="N65" i="20"/>
  <c r="O52" i="20"/>
  <c r="Q52" i="20" s="1"/>
  <c r="O116" i="20"/>
  <c r="Q116" i="20" s="1"/>
  <c r="N116" i="20"/>
  <c r="K44" i="20"/>
  <c r="K47" i="20" s="1"/>
  <c r="I47" i="20"/>
  <c r="G12" i="20"/>
  <c r="N29" i="20"/>
  <c r="M34" i="20"/>
  <c r="M19" i="20"/>
  <c r="L14" i="20"/>
  <c r="N14" i="20" s="1"/>
  <c r="G14" i="20"/>
  <c r="L17" i="20"/>
  <c r="N17" i="20" s="1"/>
  <c r="G17" i="20"/>
  <c r="K29" i="20"/>
  <c r="K34" i="20" s="1"/>
  <c r="O61" i="20"/>
  <c r="Q61" i="20" s="1"/>
  <c r="E34" i="20"/>
  <c r="L30" i="20"/>
  <c r="N30" i="20" s="1"/>
  <c r="G30" i="20"/>
  <c r="O56" i="20"/>
  <c r="Q56" i="20" s="1"/>
  <c r="O58" i="20"/>
  <c r="Q58" i="20" s="1"/>
  <c r="O94" i="20"/>
  <c r="Q94" i="20" s="1"/>
  <c r="G124" i="20"/>
  <c r="L45" i="20"/>
  <c r="N45" i="20" s="1"/>
  <c r="G23" i="20"/>
  <c r="L38" i="20"/>
  <c r="E40" i="20"/>
  <c r="G38" i="20"/>
  <c r="N56" i="20"/>
  <c r="O62" i="20"/>
  <c r="Q62" i="20" s="1"/>
  <c r="O64" i="20"/>
  <c r="Q64" i="20" s="1"/>
  <c r="O98" i="20"/>
  <c r="Q98" i="20" s="1"/>
  <c r="O100" i="20"/>
  <c r="Q100" i="20" s="1"/>
  <c r="K13" i="20"/>
  <c r="I25" i="20"/>
  <c r="J117" i="20"/>
  <c r="N117" i="20" s="1"/>
  <c r="O83" i="20"/>
  <c r="Q83" i="20" s="1"/>
  <c r="O85" i="20"/>
  <c r="Q85" i="20" s="1"/>
  <c r="K122" i="20"/>
  <c r="L131" i="20"/>
  <c r="N131" i="20" s="1"/>
  <c r="G131" i="20"/>
  <c r="L136" i="20"/>
  <c r="N136" i="20" s="1"/>
  <c r="G136" i="20"/>
  <c r="N15" i="20"/>
  <c r="G33" i="20"/>
  <c r="N62" i="20"/>
  <c r="O68" i="20"/>
  <c r="Q68" i="20" s="1"/>
  <c r="O70" i="20"/>
  <c r="Q70" i="20" s="1"/>
  <c r="N98" i="20"/>
  <c r="O104" i="20"/>
  <c r="Q104" i="20" s="1"/>
  <c r="O106" i="20"/>
  <c r="Q106" i="20" s="1"/>
  <c r="L129" i="20"/>
  <c r="N129" i="20" s="1"/>
  <c r="L134" i="20"/>
  <c r="N134" i="20" s="1"/>
  <c r="O86" i="20"/>
  <c r="Q86" i="20" s="1"/>
  <c r="O88" i="20"/>
  <c r="Q88" i="20" s="1"/>
  <c r="O144" i="20"/>
  <c r="N151" i="20" s="1"/>
  <c r="N12" i="20"/>
  <c r="J143" i="20"/>
  <c r="C146" i="20" s="1"/>
  <c r="N39" i="20"/>
  <c r="O71" i="20"/>
  <c r="Q71" i="20" s="1"/>
  <c r="O73" i="20"/>
  <c r="Q73" i="20" s="1"/>
  <c r="O107" i="20"/>
  <c r="Q107" i="20" s="1"/>
  <c r="O109" i="20"/>
  <c r="Q109" i="20" s="1"/>
  <c r="K130" i="20"/>
  <c r="K8" i="20"/>
  <c r="G15" i="20"/>
  <c r="N86" i="20"/>
  <c r="O92" i="20"/>
  <c r="Q92" i="20" s="1"/>
  <c r="N10" i="20"/>
  <c r="E25" i="20"/>
  <c r="N71" i="20"/>
  <c r="O77" i="20"/>
  <c r="Q77" i="20" s="1"/>
  <c r="O79" i="20"/>
  <c r="Q79" i="20" s="1"/>
  <c r="N107" i="20"/>
  <c r="O113" i="20"/>
  <c r="Q113" i="20" s="1"/>
  <c r="O115" i="20"/>
  <c r="Q115" i="20" s="1"/>
  <c r="G122" i="20"/>
  <c r="L44" i="20"/>
  <c r="O53" i="20"/>
  <c r="Q53" i="20" s="1"/>
  <c r="O55" i="20"/>
  <c r="Q55" i="20" s="1"/>
  <c r="N83" i="20"/>
  <c r="O89" i="20"/>
  <c r="Q89" i="20" s="1"/>
  <c r="O91" i="20"/>
  <c r="Q91" i="20" s="1"/>
  <c r="G129" i="20"/>
  <c r="G134" i="20"/>
  <c r="L139" i="20"/>
  <c r="N139" i="20" s="1"/>
  <c r="I19" i="20"/>
  <c r="K19" i="20" s="1"/>
  <c r="G9" i="20"/>
  <c r="G46" i="20"/>
  <c r="G126" i="20"/>
  <c r="G138" i="20"/>
  <c r="G121" i="20"/>
  <c r="G133" i="20"/>
  <c r="E117" i="20"/>
  <c r="I141" i="19"/>
  <c r="L128" i="19"/>
  <c r="N128" i="19" s="1"/>
  <c r="L32" i="19"/>
  <c r="L10" i="19"/>
  <c r="N140" i="19"/>
  <c r="L8" i="19"/>
  <c r="Q90" i="19"/>
  <c r="L15" i="19"/>
  <c r="M19" i="19"/>
  <c r="N145" i="19" s="1"/>
  <c r="L130" i="19"/>
  <c r="N130" i="19" s="1"/>
  <c r="O108" i="19"/>
  <c r="Q108" i="19" s="1"/>
  <c r="L133" i="19"/>
  <c r="N133" i="19" s="1"/>
  <c r="L138" i="19"/>
  <c r="N138" i="19" s="1"/>
  <c r="L122" i="19"/>
  <c r="N122" i="19" s="1"/>
  <c r="L117" i="19"/>
  <c r="O76" i="19"/>
  <c r="Q76" i="19" s="1"/>
  <c r="O79" i="19"/>
  <c r="Q79" i="19" s="1"/>
  <c r="O85" i="19"/>
  <c r="Q85" i="19" s="1"/>
  <c r="O88" i="19"/>
  <c r="Q88" i="19" s="1"/>
  <c r="O94" i="19"/>
  <c r="Q94" i="19" s="1"/>
  <c r="O58" i="19"/>
  <c r="Q58" i="19" s="1"/>
  <c r="O81" i="19"/>
  <c r="Q81" i="19" s="1"/>
  <c r="O84" i="19"/>
  <c r="Q84" i="19" s="1"/>
  <c r="O112" i="19"/>
  <c r="Q112" i="19" s="1"/>
  <c r="O63" i="19"/>
  <c r="Q63" i="19" s="1"/>
  <c r="O66" i="19"/>
  <c r="Q66" i="19" s="1"/>
  <c r="O97" i="19"/>
  <c r="Q97" i="19" s="1"/>
  <c r="O72" i="19"/>
  <c r="Q72" i="19" s="1"/>
  <c r="O75" i="19"/>
  <c r="Q75" i="19" s="1"/>
  <c r="O103" i="19"/>
  <c r="Q103" i="19" s="1"/>
  <c r="O52" i="19"/>
  <c r="Q52" i="19" s="1"/>
  <c r="O106" i="19"/>
  <c r="Q106" i="19" s="1"/>
  <c r="O61" i="19"/>
  <c r="Q61" i="19" s="1"/>
  <c r="O115" i="19"/>
  <c r="Q115" i="19" s="1"/>
  <c r="O67" i="19"/>
  <c r="Q67" i="19" s="1"/>
  <c r="O93" i="19"/>
  <c r="Q93" i="19" s="1"/>
  <c r="O70" i="19"/>
  <c r="Q70" i="19" s="1"/>
  <c r="O99" i="19"/>
  <c r="Q99" i="19" s="1"/>
  <c r="O102" i="19"/>
  <c r="Q102" i="19" s="1"/>
  <c r="L46" i="19"/>
  <c r="N46" i="19" s="1"/>
  <c r="E47" i="19"/>
  <c r="L30" i="19"/>
  <c r="N30" i="19" s="1"/>
  <c r="I25" i="19"/>
  <c r="L16" i="19"/>
  <c r="L9" i="19"/>
  <c r="N9" i="19" s="1"/>
  <c r="L7" i="19"/>
  <c r="N7" i="19" s="1"/>
  <c r="L14" i="19"/>
  <c r="N14" i="19" s="1"/>
  <c r="N126" i="19"/>
  <c r="F142" i="19"/>
  <c r="C144" i="19" s="1"/>
  <c r="N149" i="19"/>
  <c r="O143" i="19" s="1"/>
  <c r="N150" i="19" s="1"/>
  <c r="G135" i="19"/>
  <c r="L123" i="19"/>
  <c r="N123" i="19" s="1"/>
  <c r="G126" i="19"/>
  <c r="G122" i="19"/>
  <c r="L124" i="19"/>
  <c r="N124" i="19" s="1"/>
  <c r="K124" i="19"/>
  <c r="G134" i="19"/>
  <c r="L136" i="19"/>
  <c r="N136" i="19" s="1"/>
  <c r="L132" i="19"/>
  <c r="N132" i="19" s="1"/>
  <c r="L125" i="19"/>
  <c r="N125" i="19" s="1"/>
  <c r="Q54" i="19"/>
  <c r="Q111" i="19"/>
  <c r="P117" i="19"/>
  <c r="N144" i="19" s="1"/>
  <c r="Q57" i="19"/>
  <c r="N54" i="19"/>
  <c r="N63" i="19"/>
  <c r="N72" i="19"/>
  <c r="N81" i="19"/>
  <c r="N90" i="19"/>
  <c r="N99" i="19"/>
  <c r="N108" i="19"/>
  <c r="E117" i="19"/>
  <c r="N57" i="19"/>
  <c r="N66" i="19"/>
  <c r="N75" i="19"/>
  <c r="N84" i="19"/>
  <c r="N93" i="19"/>
  <c r="N102" i="19"/>
  <c r="N111" i="19"/>
  <c r="H51" i="19"/>
  <c r="O51" i="19"/>
  <c r="Q51" i="19" s="1"/>
  <c r="O55" i="19"/>
  <c r="Q55" i="19" s="1"/>
  <c r="O60" i="19"/>
  <c r="Q60" i="19" s="1"/>
  <c r="O64" i="19"/>
  <c r="Q64" i="19" s="1"/>
  <c r="O69" i="19"/>
  <c r="Q69" i="19" s="1"/>
  <c r="O73" i="19"/>
  <c r="Q73" i="19" s="1"/>
  <c r="O78" i="19"/>
  <c r="Q78" i="19" s="1"/>
  <c r="O82" i="19"/>
  <c r="Q82" i="19" s="1"/>
  <c r="O87" i="19"/>
  <c r="Q87" i="19" s="1"/>
  <c r="O91" i="19"/>
  <c r="Q91" i="19" s="1"/>
  <c r="O96" i="19"/>
  <c r="Q96" i="19" s="1"/>
  <c r="O100" i="19"/>
  <c r="Q100" i="19" s="1"/>
  <c r="O105" i="19"/>
  <c r="Q105" i="19" s="1"/>
  <c r="O109" i="19"/>
  <c r="Q109" i="19" s="1"/>
  <c r="O114" i="19"/>
  <c r="Q114" i="19" s="1"/>
  <c r="N51" i="19"/>
  <c r="N60" i="19"/>
  <c r="N69" i="19"/>
  <c r="N78" i="19"/>
  <c r="N87" i="19"/>
  <c r="N96" i="19"/>
  <c r="N105" i="19"/>
  <c r="N114" i="19"/>
  <c r="I47" i="19"/>
  <c r="L44" i="19"/>
  <c r="N44" i="19" s="1"/>
  <c r="K44" i="19"/>
  <c r="M40" i="19"/>
  <c r="N147" i="19" s="1"/>
  <c r="L39" i="19"/>
  <c r="N39" i="19" s="1"/>
  <c r="G38" i="19"/>
  <c r="I40" i="19"/>
  <c r="L38" i="19"/>
  <c r="M34" i="19"/>
  <c r="N146" i="19" s="1"/>
  <c r="L29" i="19"/>
  <c r="N29" i="19" s="1"/>
  <c r="G32" i="19"/>
  <c r="G30" i="19"/>
  <c r="L31" i="19"/>
  <c r="N31" i="19" s="1"/>
  <c r="J142" i="19"/>
  <c r="C145" i="19" s="1"/>
  <c r="K23" i="19"/>
  <c r="K25" i="19" s="1"/>
  <c r="L23" i="19"/>
  <c r="N23" i="19" s="1"/>
  <c r="G24" i="19"/>
  <c r="E25" i="19"/>
  <c r="N8" i="19"/>
  <c r="N15" i="19"/>
  <c r="N12" i="19"/>
  <c r="G10" i="19"/>
  <c r="L11" i="19"/>
  <c r="N11" i="19" s="1"/>
  <c r="K14" i="19"/>
  <c r="E19" i="19"/>
  <c r="K12" i="19"/>
  <c r="G8" i="19"/>
  <c r="N10" i="19"/>
  <c r="L13" i="19"/>
  <c r="N13" i="19" s="1"/>
  <c r="G16" i="19"/>
  <c r="L6" i="19"/>
  <c r="N6" i="19" s="1"/>
  <c r="N121" i="19"/>
  <c r="K40" i="19"/>
  <c r="N32" i="19"/>
  <c r="N18" i="19"/>
  <c r="N16" i="19"/>
  <c r="N24" i="19"/>
  <c r="L137" i="19"/>
  <c r="N137" i="19" s="1"/>
  <c r="O53" i="19"/>
  <c r="Q53" i="19" s="1"/>
  <c r="O56" i="19"/>
  <c r="Q56" i="19" s="1"/>
  <c r="O59" i="19"/>
  <c r="Q59" i="19" s="1"/>
  <c r="O62" i="19"/>
  <c r="Q62" i="19" s="1"/>
  <c r="O65" i="19"/>
  <c r="Q65" i="19" s="1"/>
  <c r="O68" i="19"/>
  <c r="Q68" i="19" s="1"/>
  <c r="O71" i="19"/>
  <c r="Q71" i="19" s="1"/>
  <c r="O74" i="19"/>
  <c r="Q74" i="19" s="1"/>
  <c r="O77" i="19"/>
  <c r="Q77" i="19" s="1"/>
  <c r="O80" i="19"/>
  <c r="Q80" i="19" s="1"/>
  <c r="O83" i="19"/>
  <c r="Q83" i="19" s="1"/>
  <c r="O86" i="19"/>
  <c r="Q86" i="19" s="1"/>
  <c r="O89" i="19"/>
  <c r="Q89" i="19" s="1"/>
  <c r="O92" i="19"/>
  <c r="Q92" i="19" s="1"/>
  <c r="O95" i="19"/>
  <c r="Q95" i="19" s="1"/>
  <c r="O98" i="19"/>
  <c r="Q98" i="19" s="1"/>
  <c r="O101" i="19"/>
  <c r="Q101" i="19" s="1"/>
  <c r="O104" i="19"/>
  <c r="Q104" i="19" s="1"/>
  <c r="O107" i="19"/>
  <c r="Q107" i="19" s="1"/>
  <c r="O110" i="19"/>
  <c r="Q110" i="19" s="1"/>
  <c r="O113" i="19"/>
  <c r="Q113" i="19" s="1"/>
  <c r="O116" i="19"/>
  <c r="Q116" i="19" s="1"/>
  <c r="G131" i="19"/>
  <c r="L5" i="19"/>
  <c r="N5" i="19" s="1"/>
  <c r="L17" i="19"/>
  <c r="N17" i="19" s="1"/>
  <c r="I19" i="19"/>
  <c r="K19" i="19" s="1"/>
  <c r="L33" i="19"/>
  <c r="N33" i="19" s="1"/>
  <c r="L129" i="19"/>
  <c r="N129" i="19" s="1"/>
  <c r="K7" i="19"/>
  <c r="G9" i="19"/>
  <c r="G121" i="19"/>
  <c r="G133" i="19"/>
  <c r="G128" i="19"/>
  <c r="E34" i="19"/>
  <c r="G6" i="19"/>
  <c r="G18" i="19"/>
  <c r="J117" i="19"/>
  <c r="N117" i="19" s="1"/>
  <c r="G130" i="19"/>
  <c r="I34" i="19"/>
  <c r="K13" i="19"/>
  <c r="G15" i="19"/>
  <c r="K29" i="19"/>
  <c r="K34" i="19" s="1"/>
  <c r="G31" i="19"/>
  <c r="G39" i="19"/>
  <c r="K45" i="19"/>
  <c r="K125" i="19"/>
  <c r="G127" i="19"/>
  <c r="G139" i="19"/>
  <c r="L45" i="19"/>
  <c r="N45" i="19" s="1"/>
  <c r="K139" i="18"/>
  <c r="L31" i="18"/>
  <c r="O100" i="18"/>
  <c r="O64" i="18"/>
  <c r="Q64" i="18" s="1"/>
  <c r="L126" i="18"/>
  <c r="N126" i="18" s="1"/>
  <c r="I140" i="18"/>
  <c r="L15" i="18"/>
  <c r="L13" i="18"/>
  <c r="L117" i="18"/>
  <c r="I25" i="18"/>
  <c r="O103" i="18"/>
  <c r="O58" i="18"/>
  <c r="Q58" i="18" s="1"/>
  <c r="M46" i="18"/>
  <c r="I40" i="18"/>
  <c r="L39" i="18"/>
  <c r="N39" i="18" s="1"/>
  <c r="L17" i="18"/>
  <c r="N17" i="18" s="1"/>
  <c r="M19" i="18"/>
  <c r="N144" i="18" s="1"/>
  <c r="H100" i="18"/>
  <c r="O97" i="18"/>
  <c r="Q97" i="18" s="1"/>
  <c r="O94" i="18"/>
  <c r="Q94" i="18" s="1"/>
  <c r="O70" i="18"/>
  <c r="Q70" i="18" s="1"/>
  <c r="I47" i="18"/>
  <c r="L44" i="18"/>
  <c r="N44" i="18" s="1"/>
  <c r="L32" i="18"/>
  <c r="N32" i="18" s="1"/>
  <c r="L6" i="18"/>
  <c r="N6" i="18" s="1"/>
  <c r="L14" i="18"/>
  <c r="L16" i="18"/>
  <c r="L9" i="18"/>
  <c r="N9" i="18" s="1"/>
  <c r="G7" i="18"/>
  <c r="L18" i="18"/>
  <c r="N18" i="18" s="1"/>
  <c r="L124" i="18"/>
  <c r="N124" i="18" s="1"/>
  <c r="N148" i="18"/>
  <c r="N127" i="18"/>
  <c r="N131" i="18"/>
  <c r="G133" i="18"/>
  <c r="L130" i="18"/>
  <c r="N130" i="18" s="1"/>
  <c r="G121" i="18"/>
  <c r="G131" i="18"/>
  <c r="L128" i="18"/>
  <c r="N128" i="18" s="1"/>
  <c r="G127" i="18"/>
  <c r="O114" i="18"/>
  <c r="Q114" i="18" s="1"/>
  <c r="Q100" i="18"/>
  <c r="N54" i="18"/>
  <c r="O73" i="18"/>
  <c r="O76" i="18"/>
  <c r="Q76" i="18" s="1"/>
  <c r="O79" i="18"/>
  <c r="Q79" i="18" s="1"/>
  <c r="O86" i="18"/>
  <c r="Q86" i="18" s="1"/>
  <c r="O98" i="18"/>
  <c r="Q98" i="18" s="1"/>
  <c r="O72" i="18"/>
  <c r="Q72" i="18" s="1"/>
  <c r="Q112" i="18"/>
  <c r="O74" i="18"/>
  <c r="Q74" i="18" s="1"/>
  <c r="H109" i="18"/>
  <c r="O60" i="18"/>
  <c r="Q60" i="18" s="1"/>
  <c r="H112" i="18"/>
  <c r="O66" i="18"/>
  <c r="Q66" i="18" s="1"/>
  <c r="O90" i="18"/>
  <c r="Q90" i="18" s="1"/>
  <c r="O96" i="18"/>
  <c r="Q96" i="18" s="1"/>
  <c r="O84" i="18"/>
  <c r="Q84" i="18" s="1"/>
  <c r="O108" i="18"/>
  <c r="Q108" i="18" s="1"/>
  <c r="Q54" i="18"/>
  <c r="Q73" i="18"/>
  <c r="P117" i="18"/>
  <c r="N143" i="18" s="1"/>
  <c r="Q85" i="18"/>
  <c r="Q88" i="18"/>
  <c r="Q103" i="18"/>
  <c r="Q106" i="18"/>
  <c r="Q109" i="18"/>
  <c r="H55" i="18"/>
  <c r="O62" i="18"/>
  <c r="Q62" i="18" s="1"/>
  <c r="O78" i="18"/>
  <c r="Q78" i="18" s="1"/>
  <c r="H88" i="18"/>
  <c r="H97" i="18"/>
  <c r="O111" i="18"/>
  <c r="Q111" i="18" s="1"/>
  <c r="H58" i="18"/>
  <c r="H67" i="18"/>
  <c r="N90" i="18"/>
  <c r="O104" i="18"/>
  <c r="Q104" i="18" s="1"/>
  <c r="O68" i="18"/>
  <c r="Q68" i="18" s="1"/>
  <c r="H94" i="18"/>
  <c r="H103" i="18"/>
  <c r="H64" i="18"/>
  <c r="H73" i="18"/>
  <c r="N96" i="18"/>
  <c r="O110" i="18"/>
  <c r="Q110" i="18" s="1"/>
  <c r="O57" i="18"/>
  <c r="Q57" i="18" s="1"/>
  <c r="N66" i="18"/>
  <c r="O80" i="18"/>
  <c r="Q80" i="18" s="1"/>
  <c r="H106" i="18"/>
  <c r="H115" i="18"/>
  <c r="H76" i="18"/>
  <c r="H85" i="18"/>
  <c r="O99" i="18"/>
  <c r="Q99" i="18" s="1"/>
  <c r="N108" i="18"/>
  <c r="O69" i="18"/>
  <c r="Q69" i="18" s="1"/>
  <c r="O92" i="18"/>
  <c r="Q92" i="18" s="1"/>
  <c r="N60" i="18"/>
  <c r="H70" i="18"/>
  <c r="H79" i="18"/>
  <c r="O116" i="18"/>
  <c r="Q116" i="18" s="1"/>
  <c r="N72" i="18"/>
  <c r="O82" i="18"/>
  <c r="Q82" i="18" s="1"/>
  <c r="O91" i="18"/>
  <c r="Q91" i="18" s="1"/>
  <c r="O102" i="18"/>
  <c r="Q102" i="18" s="1"/>
  <c r="O52" i="18"/>
  <c r="Q52" i="18" s="1"/>
  <c r="O56" i="18"/>
  <c r="Q56" i="18" s="1"/>
  <c r="O61" i="18"/>
  <c r="Q61" i="18" s="1"/>
  <c r="H82" i="18"/>
  <c r="H91" i="18"/>
  <c r="N46" i="18"/>
  <c r="L45" i="18"/>
  <c r="N45" i="18" s="1"/>
  <c r="K38" i="18"/>
  <c r="K40" i="18"/>
  <c r="L38" i="18"/>
  <c r="L40" i="18" s="1"/>
  <c r="N33" i="18"/>
  <c r="K32" i="18"/>
  <c r="K34" i="18" s="1"/>
  <c r="N30" i="18"/>
  <c r="G31" i="18"/>
  <c r="N31" i="18"/>
  <c r="L24" i="18"/>
  <c r="N24" i="18" s="1"/>
  <c r="N14" i="18"/>
  <c r="N7" i="18"/>
  <c r="N8" i="18"/>
  <c r="N16" i="18"/>
  <c r="G6" i="18"/>
  <c r="L11" i="18"/>
  <c r="N11" i="18" s="1"/>
  <c r="I19" i="18"/>
  <c r="K19" i="18" s="1"/>
  <c r="K7" i="18"/>
  <c r="L122" i="18"/>
  <c r="N122" i="18" s="1"/>
  <c r="G122" i="18"/>
  <c r="G45" i="18"/>
  <c r="N12" i="18"/>
  <c r="G15" i="18"/>
  <c r="L135" i="18"/>
  <c r="N135" i="18" s="1"/>
  <c r="I34" i="18"/>
  <c r="K45" i="18"/>
  <c r="K47" i="18" s="1"/>
  <c r="O53" i="18"/>
  <c r="Q53" i="18" s="1"/>
  <c r="N57" i="18"/>
  <c r="O65" i="18"/>
  <c r="Q65" i="18" s="1"/>
  <c r="N69" i="18"/>
  <c r="O77" i="18"/>
  <c r="Q77" i="18" s="1"/>
  <c r="O83" i="18"/>
  <c r="Q83" i="18" s="1"/>
  <c r="O89" i="18"/>
  <c r="Q89" i="18" s="1"/>
  <c r="O95" i="18"/>
  <c r="Q95" i="18" s="1"/>
  <c r="N99" i="18"/>
  <c r="O101" i="18"/>
  <c r="Q101" i="18" s="1"/>
  <c r="O107" i="18"/>
  <c r="Q107" i="18" s="1"/>
  <c r="N111" i="18"/>
  <c r="O113" i="18"/>
  <c r="Q113" i="18" s="1"/>
  <c r="G13" i="18"/>
  <c r="O51" i="18"/>
  <c r="O63" i="18"/>
  <c r="Q63" i="18" s="1"/>
  <c r="O75" i="18"/>
  <c r="Q75" i="18" s="1"/>
  <c r="O81" i="18"/>
  <c r="Q81" i="18" s="1"/>
  <c r="O87" i="18"/>
  <c r="Q87" i="18" s="1"/>
  <c r="O93" i="18"/>
  <c r="Q93" i="18" s="1"/>
  <c r="O105" i="18"/>
  <c r="Q105" i="18" s="1"/>
  <c r="G8" i="18"/>
  <c r="N13" i="18"/>
  <c r="K18" i="18"/>
  <c r="L137" i="18"/>
  <c r="N137" i="18" s="1"/>
  <c r="E34" i="18"/>
  <c r="L29" i="18"/>
  <c r="G39" i="18"/>
  <c r="J117" i="18"/>
  <c r="N117" i="18" s="1"/>
  <c r="G29" i="18"/>
  <c r="O59" i="18"/>
  <c r="Q59" i="18" s="1"/>
  <c r="O71" i="18"/>
  <c r="Q71" i="18" s="1"/>
  <c r="L10" i="18"/>
  <c r="N10" i="18" s="1"/>
  <c r="G10" i="18"/>
  <c r="N15" i="18"/>
  <c r="L123" i="18"/>
  <c r="N123" i="18" s="1"/>
  <c r="M40" i="18"/>
  <c r="L134" i="18"/>
  <c r="N134" i="18" s="1"/>
  <c r="G134" i="18"/>
  <c r="G137" i="18"/>
  <c r="K130" i="18"/>
  <c r="E47" i="18"/>
  <c r="F141" i="18"/>
  <c r="C143" i="18" s="1"/>
  <c r="L132" i="18"/>
  <c r="N132" i="18" s="1"/>
  <c r="L23" i="18"/>
  <c r="G23" i="18"/>
  <c r="E25" i="18"/>
  <c r="M25" i="18"/>
  <c r="N150" i="18" s="1"/>
  <c r="E19" i="18"/>
  <c r="J141" i="18"/>
  <c r="C144" i="18" s="1"/>
  <c r="N121" i="18"/>
  <c r="L125" i="18"/>
  <c r="N125" i="18" s="1"/>
  <c r="G132" i="18"/>
  <c r="G5" i="18"/>
  <c r="G17" i="18"/>
  <c r="G33" i="18"/>
  <c r="M34" i="18"/>
  <c r="G129" i="18"/>
  <c r="G12" i="18"/>
  <c r="K23" i="18"/>
  <c r="K25" i="18" s="1"/>
  <c r="G44" i="18"/>
  <c r="N53" i="18"/>
  <c r="N56" i="18"/>
  <c r="N59" i="18"/>
  <c r="N62" i="18"/>
  <c r="N65" i="18"/>
  <c r="N68" i="18"/>
  <c r="N71" i="18"/>
  <c r="N74" i="18"/>
  <c r="N77" i="18"/>
  <c r="N80" i="18"/>
  <c r="N83" i="18"/>
  <c r="N86" i="18"/>
  <c r="N89" i="18"/>
  <c r="N92" i="18"/>
  <c r="N95" i="18"/>
  <c r="N98" i="18"/>
  <c r="N101" i="18"/>
  <c r="N104" i="18"/>
  <c r="N107" i="18"/>
  <c r="N110" i="18"/>
  <c r="N113" i="18"/>
  <c r="N116" i="18"/>
  <c r="G124" i="18"/>
  <c r="G136" i="18"/>
  <c r="G14" i="18"/>
  <c r="G30" i="18"/>
  <c r="G38" i="18"/>
  <c r="G46" i="18"/>
  <c r="M47" i="18"/>
  <c r="G126" i="18"/>
  <c r="G138" i="18"/>
  <c r="E40" i="18"/>
  <c r="E117" i="18"/>
  <c r="L7" i="17"/>
  <c r="L133" i="17"/>
  <c r="N133" i="17" s="1"/>
  <c r="L32" i="17"/>
  <c r="N147" i="17"/>
  <c r="L17" i="17"/>
  <c r="L130" i="17"/>
  <c r="N130" i="17" s="1"/>
  <c r="M47" i="17"/>
  <c r="N146" i="17" s="1"/>
  <c r="L15" i="17"/>
  <c r="N15" i="17" s="1"/>
  <c r="L13" i="17"/>
  <c r="N13" i="17" s="1"/>
  <c r="O73" i="17"/>
  <c r="Q73" i="17" s="1"/>
  <c r="L38" i="17"/>
  <c r="N33" i="17"/>
  <c r="K25" i="17"/>
  <c r="K17" i="17"/>
  <c r="L9" i="17"/>
  <c r="N9" i="17" s="1"/>
  <c r="L121" i="17"/>
  <c r="L129" i="17"/>
  <c r="N129" i="17" s="1"/>
  <c r="L134" i="17"/>
  <c r="N134" i="17" s="1"/>
  <c r="L125" i="17"/>
  <c r="N125" i="17" s="1"/>
  <c r="L132" i="17"/>
  <c r="N132" i="17" s="1"/>
  <c r="L131" i="17"/>
  <c r="N131" i="17" s="1"/>
  <c r="O92" i="17"/>
  <c r="Q92" i="17" s="1"/>
  <c r="O95" i="17"/>
  <c r="Q95" i="17" s="1"/>
  <c r="N73" i="17"/>
  <c r="O107" i="17"/>
  <c r="Q107" i="17" s="1"/>
  <c r="O76" i="17"/>
  <c r="Q76" i="17" s="1"/>
  <c r="O61" i="17"/>
  <c r="Q61" i="17" s="1"/>
  <c r="O52" i="17"/>
  <c r="Q52" i="17" s="1"/>
  <c r="P117" i="17"/>
  <c r="N142" i="17" s="1"/>
  <c r="O71" i="17"/>
  <c r="Q71" i="17" s="1"/>
  <c r="O83" i="17"/>
  <c r="Q83" i="17" s="1"/>
  <c r="O55" i="17"/>
  <c r="Q55" i="17" s="1"/>
  <c r="O79" i="17"/>
  <c r="Q79" i="17" s="1"/>
  <c r="O116" i="17"/>
  <c r="Q116" i="17" s="1"/>
  <c r="N55" i="17"/>
  <c r="N79" i="17"/>
  <c r="O58" i="17"/>
  <c r="Q58" i="17" s="1"/>
  <c r="O70" i="17"/>
  <c r="Q70" i="17" s="1"/>
  <c r="O82" i="17"/>
  <c r="Q82" i="17" s="1"/>
  <c r="O104" i="17"/>
  <c r="Q104" i="17" s="1"/>
  <c r="O59" i="17"/>
  <c r="Q59" i="17" s="1"/>
  <c r="O67" i="17"/>
  <c r="Q67" i="17" s="1"/>
  <c r="O53" i="17"/>
  <c r="Q53" i="17" s="1"/>
  <c r="O65" i="17"/>
  <c r="Q65" i="17" s="1"/>
  <c r="O77" i="17"/>
  <c r="Q77" i="17" s="1"/>
  <c r="L44" i="17"/>
  <c r="N44" i="17" s="1"/>
  <c r="I47" i="17"/>
  <c r="J140" i="17"/>
  <c r="C143" i="17" s="1"/>
  <c r="E40" i="17"/>
  <c r="N32" i="17"/>
  <c r="M34" i="17"/>
  <c r="N144" i="17" s="1"/>
  <c r="I34" i="17"/>
  <c r="G31" i="17"/>
  <c r="G33" i="17"/>
  <c r="F140" i="17"/>
  <c r="C142" i="17" s="1"/>
  <c r="M25" i="17"/>
  <c r="N149" i="17" s="1"/>
  <c r="K13" i="17"/>
  <c r="L8" i="17"/>
  <c r="N8" i="17" s="1"/>
  <c r="L18" i="17"/>
  <c r="N18" i="17" s="1"/>
  <c r="E19" i="17"/>
  <c r="L12" i="17"/>
  <c r="N12" i="17" s="1"/>
  <c r="G15" i="17"/>
  <c r="N17" i="17"/>
  <c r="G7" i="17"/>
  <c r="K47" i="17"/>
  <c r="I19" i="17"/>
  <c r="K19" i="17" s="1"/>
  <c r="N31" i="17"/>
  <c r="O54" i="17"/>
  <c r="Q54" i="17" s="1"/>
  <c r="N54" i="17"/>
  <c r="O60" i="17"/>
  <c r="Q60" i="17" s="1"/>
  <c r="N60" i="17"/>
  <c r="Q64" i="17"/>
  <c r="O66" i="17"/>
  <c r="Q66" i="17" s="1"/>
  <c r="N66" i="17"/>
  <c r="O72" i="17"/>
  <c r="Q72" i="17" s="1"/>
  <c r="N72" i="17"/>
  <c r="O78" i="17"/>
  <c r="Q78" i="17" s="1"/>
  <c r="N78" i="17"/>
  <c r="O84" i="17"/>
  <c r="Q84" i="17" s="1"/>
  <c r="N84" i="17"/>
  <c r="O103" i="17"/>
  <c r="Q103" i="17" s="1"/>
  <c r="N103" i="17"/>
  <c r="E139" i="17"/>
  <c r="G133" i="17"/>
  <c r="N138" i="17"/>
  <c r="L10" i="17"/>
  <c r="N10" i="17" s="1"/>
  <c r="N29" i="17"/>
  <c r="E47" i="17"/>
  <c r="G45" i="17"/>
  <c r="O86" i="17"/>
  <c r="Q86" i="17" s="1"/>
  <c r="O99" i="17"/>
  <c r="Q99" i="17" s="1"/>
  <c r="N99" i="17"/>
  <c r="G121" i="17"/>
  <c r="L126" i="17"/>
  <c r="N126" i="17" s="1"/>
  <c r="G138" i="17"/>
  <c r="L30" i="17"/>
  <c r="L34" i="17" s="1"/>
  <c r="G32" i="17"/>
  <c r="N52" i="17"/>
  <c r="O56" i="17"/>
  <c r="Q56" i="17" s="1"/>
  <c r="N58" i="17"/>
  <c r="O62" i="17"/>
  <c r="Q62" i="17" s="1"/>
  <c r="N64" i="17"/>
  <c r="O68" i="17"/>
  <c r="Q68" i="17" s="1"/>
  <c r="N70" i="17"/>
  <c r="O74" i="17"/>
  <c r="Q74" i="17" s="1"/>
  <c r="N76" i="17"/>
  <c r="O80" i="17"/>
  <c r="Q80" i="17" s="1"/>
  <c r="N82" i="17"/>
  <c r="O97" i="17"/>
  <c r="Q97" i="17" s="1"/>
  <c r="N97" i="17"/>
  <c r="O101" i="17"/>
  <c r="Q101" i="17" s="1"/>
  <c r="O114" i="17"/>
  <c r="Q114" i="17" s="1"/>
  <c r="N114" i="17"/>
  <c r="G126" i="17"/>
  <c r="K131" i="17"/>
  <c r="N45" i="17"/>
  <c r="H51" i="17"/>
  <c r="E117" i="17"/>
  <c r="O87" i="17"/>
  <c r="Q87" i="17" s="1"/>
  <c r="N87" i="17"/>
  <c r="O106" i="17"/>
  <c r="Q106" i="17" s="1"/>
  <c r="N106" i="17"/>
  <c r="O110" i="17"/>
  <c r="Q110" i="17" s="1"/>
  <c r="L127" i="17"/>
  <c r="N127" i="17" s="1"/>
  <c r="L136" i="17"/>
  <c r="N136" i="17" s="1"/>
  <c r="I139" i="17"/>
  <c r="G9" i="17"/>
  <c r="L14" i="17"/>
  <c r="N14" i="17" s="1"/>
  <c r="G16" i="17"/>
  <c r="G38" i="17"/>
  <c r="L46" i="17"/>
  <c r="N46" i="17" s="1"/>
  <c r="O51" i="17"/>
  <c r="N51" i="17"/>
  <c r="O57" i="17"/>
  <c r="Q57" i="17" s="1"/>
  <c r="N57" i="17"/>
  <c r="O63" i="17"/>
  <c r="Q63" i="17" s="1"/>
  <c r="N63" i="17"/>
  <c r="O69" i="17"/>
  <c r="Q69" i="17" s="1"/>
  <c r="N69" i="17"/>
  <c r="O75" i="17"/>
  <c r="Q75" i="17" s="1"/>
  <c r="N75" i="17"/>
  <c r="O81" i="17"/>
  <c r="Q81" i="17" s="1"/>
  <c r="N81" i="17"/>
  <c r="O85" i="17"/>
  <c r="Q85" i="17" s="1"/>
  <c r="N85" i="17"/>
  <c r="O89" i="17"/>
  <c r="Q89" i="17" s="1"/>
  <c r="O102" i="17"/>
  <c r="Q102" i="17" s="1"/>
  <c r="N102" i="17"/>
  <c r="L124" i="17"/>
  <c r="N124" i="17" s="1"/>
  <c r="O105" i="17"/>
  <c r="Q105" i="17" s="1"/>
  <c r="N105" i="17"/>
  <c r="M19" i="17"/>
  <c r="O93" i="17"/>
  <c r="Q93" i="17" s="1"/>
  <c r="N93" i="17"/>
  <c r="G11" i="17"/>
  <c r="L11" i="17"/>
  <c r="N11" i="17" s="1"/>
  <c r="O108" i="17"/>
  <c r="Q108" i="17" s="1"/>
  <c r="N108" i="17"/>
  <c r="O96" i="17"/>
  <c r="Q96" i="17" s="1"/>
  <c r="N96" i="17"/>
  <c r="O115" i="17"/>
  <c r="Q115" i="17" s="1"/>
  <c r="N115" i="17"/>
  <c r="L122" i="17"/>
  <c r="N122" i="17" s="1"/>
  <c r="L5" i="17"/>
  <c r="N5" i="17" s="1"/>
  <c r="E34" i="17"/>
  <c r="G29" i="17"/>
  <c r="M40" i="17"/>
  <c r="N38" i="17"/>
  <c r="O94" i="17"/>
  <c r="Q94" i="17" s="1"/>
  <c r="N94" i="17"/>
  <c r="O98" i="17"/>
  <c r="Q98" i="17" s="1"/>
  <c r="O111" i="17"/>
  <c r="Q111" i="17" s="1"/>
  <c r="N111" i="17"/>
  <c r="G24" i="17"/>
  <c r="L24" i="17"/>
  <c r="N24" i="17" s="1"/>
  <c r="O88" i="17"/>
  <c r="Q88" i="17" s="1"/>
  <c r="N88" i="17"/>
  <c r="E25" i="17"/>
  <c r="O112" i="17"/>
  <c r="Q112" i="17" s="1"/>
  <c r="N112" i="17"/>
  <c r="N121" i="17"/>
  <c r="O91" i="17"/>
  <c r="Q91" i="17" s="1"/>
  <c r="N91" i="17"/>
  <c r="I25" i="17"/>
  <c r="K30" i="17"/>
  <c r="K34" i="17" s="1"/>
  <c r="I40" i="17"/>
  <c r="L117" i="17"/>
  <c r="O100" i="17"/>
  <c r="Q100" i="17" s="1"/>
  <c r="N100" i="17"/>
  <c r="J117" i="17"/>
  <c r="N117" i="17" s="1"/>
  <c r="M139" i="17"/>
  <c r="O141" i="17" s="1"/>
  <c r="N148" i="17" s="1"/>
  <c r="L23" i="17"/>
  <c r="N7" i="17"/>
  <c r="L39" i="17"/>
  <c r="N39" i="17" s="1"/>
  <c r="O90" i="17"/>
  <c r="Q90" i="17" s="1"/>
  <c r="N90" i="17"/>
  <c r="O109" i="17"/>
  <c r="Q109" i="17" s="1"/>
  <c r="N109" i="17"/>
  <c r="O113" i="17"/>
  <c r="Q113" i="17" s="1"/>
  <c r="G128" i="17"/>
  <c r="L128" i="17"/>
  <c r="N128" i="17" s="1"/>
  <c r="L137" i="17"/>
  <c r="N137" i="17" s="1"/>
  <c r="L123" i="17"/>
  <c r="N123" i="17" s="1"/>
  <c r="K130" i="17"/>
  <c r="L135" i="17"/>
  <c r="N135" i="17" s="1"/>
  <c r="M25" i="16"/>
  <c r="N149" i="16" s="1"/>
  <c r="L32" i="16"/>
  <c r="L14" i="16"/>
  <c r="L29" i="16"/>
  <c r="N29" i="16" s="1"/>
  <c r="L8" i="16"/>
  <c r="I47" i="16"/>
  <c r="E40" i="16"/>
  <c r="I34" i="16"/>
  <c r="N17" i="16"/>
  <c r="N14" i="16"/>
  <c r="L5" i="16"/>
  <c r="N5" i="16" s="1"/>
  <c r="L127" i="16"/>
  <c r="N127" i="16" s="1"/>
  <c r="L124" i="16"/>
  <c r="N124" i="16" s="1"/>
  <c r="L128" i="16"/>
  <c r="N128" i="16" s="1"/>
  <c r="L122" i="16"/>
  <c r="N122" i="16" s="1"/>
  <c r="L132" i="16"/>
  <c r="N132" i="16" s="1"/>
  <c r="L130" i="16"/>
  <c r="N130" i="16" s="1"/>
  <c r="O86" i="16"/>
  <c r="Q86" i="16" s="1"/>
  <c r="O92" i="16"/>
  <c r="O95" i="16"/>
  <c r="Q95" i="16" s="1"/>
  <c r="O101" i="16"/>
  <c r="Q101" i="16" s="1"/>
  <c r="O56" i="16"/>
  <c r="Q56" i="16" s="1"/>
  <c r="N101" i="16"/>
  <c r="O107" i="16"/>
  <c r="Q107" i="16" s="1"/>
  <c r="O59" i="16"/>
  <c r="Q59" i="16" s="1"/>
  <c r="O65" i="16"/>
  <c r="Q65" i="16" s="1"/>
  <c r="O113" i="16"/>
  <c r="Q113" i="16" s="1"/>
  <c r="N65" i="16"/>
  <c r="O71" i="16"/>
  <c r="Q71" i="16" s="1"/>
  <c r="O88" i="16"/>
  <c r="Q88" i="16" s="1"/>
  <c r="O52" i="16"/>
  <c r="Q52" i="16" s="1"/>
  <c r="O89" i="16"/>
  <c r="Q89" i="16" s="1"/>
  <c r="O106" i="16"/>
  <c r="Q106" i="16" s="1"/>
  <c r="O61" i="16"/>
  <c r="Q61" i="16" s="1"/>
  <c r="N92" i="16"/>
  <c r="O98" i="16"/>
  <c r="Q98" i="16" s="1"/>
  <c r="O115" i="16"/>
  <c r="Q115" i="16" s="1"/>
  <c r="Q92" i="16"/>
  <c r="O53" i="16"/>
  <c r="Q53" i="16" s="1"/>
  <c r="O70" i="16"/>
  <c r="Q70" i="16" s="1"/>
  <c r="O104" i="16"/>
  <c r="Q104" i="16" s="1"/>
  <c r="O110" i="16"/>
  <c r="Q110" i="16" s="1"/>
  <c r="N56" i="16"/>
  <c r="O62" i="16"/>
  <c r="Q62" i="16" s="1"/>
  <c r="O79" i="16"/>
  <c r="Q79" i="16" s="1"/>
  <c r="N110" i="16"/>
  <c r="O116" i="16"/>
  <c r="Q116" i="16" s="1"/>
  <c r="O68" i="16"/>
  <c r="Q68" i="16" s="1"/>
  <c r="O74" i="16"/>
  <c r="Q74" i="16" s="1"/>
  <c r="N74" i="16"/>
  <c r="O77" i="16"/>
  <c r="Q77" i="16" s="1"/>
  <c r="O80" i="16"/>
  <c r="Q80" i="16" s="1"/>
  <c r="O83" i="16"/>
  <c r="Q83" i="16" s="1"/>
  <c r="O97" i="16"/>
  <c r="Q97" i="16" s="1"/>
  <c r="M47" i="16"/>
  <c r="N146" i="16" s="1"/>
  <c r="G46" i="16"/>
  <c r="N46" i="16"/>
  <c r="K44" i="16"/>
  <c r="K47" i="16" s="1"/>
  <c r="L44" i="16"/>
  <c r="N44" i="16" s="1"/>
  <c r="G38" i="16"/>
  <c r="K40" i="16"/>
  <c r="L39" i="16"/>
  <c r="N39" i="16" s="1"/>
  <c r="F140" i="16"/>
  <c r="C142" i="16" s="1"/>
  <c r="L31" i="16"/>
  <c r="N31" i="16" s="1"/>
  <c r="L30" i="16"/>
  <c r="N30" i="16" s="1"/>
  <c r="G30" i="16"/>
  <c r="L33" i="16"/>
  <c r="N33" i="16" s="1"/>
  <c r="J140" i="16"/>
  <c r="C143" i="16" s="1"/>
  <c r="K5" i="16"/>
  <c r="G18" i="16"/>
  <c r="L10" i="16"/>
  <c r="N10" i="16" s="1"/>
  <c r="L16" i="16"/>
  <c r="N16" i="16" s="1"/>
  <c r="E19" i="16"/>
  <c r="L15" i="16"/>
  <c r="N15" i="16" s="1"/>
  <c r="L12" i="16"/>
  <c r="N12" i="16" s="1"/>
  <c r="G14" i="16"/>
  <c r="N144" i="16"/>
  <c r="L138" i="16"/>
  <c r="N138" i="16" s="1"/>
  <c r="K131" i="16"/>
  <c r="K15" i="16"/>
  <c r="G32" i="16"/>
  <c r="N61" i="16"/>
  <c r="N79" i="16"/>
  <c r="N97" i="16"/>
  <c r="O66" i="16"/>
  <c r="Q66" i="16" s="1"/>
  <c r="N66" i="16"/>
  <c r="G123" i="16"/>
  <c r="L123" i="16"/>
  <c r="N123" i="16" s="1"/>
  <c r="L136" i="16"/>
  <c r="N136" i="16" s="1"/>
  <c r="G9" i="16"/>
  <c r="E139" i="16"/>
  <c r="N147" i="16"/>
  <c r="K134" i="16"/>
  <c r="G33" i="16"/>
  <c r="O51" i="16"/>
  <c r="N51" i="16"/>
  <c r="N62" i="16"/>
  <c r="N71" i="16"/>
  <c r="O78" i="16"/>
  <c r="Q78" i="16" s="1"/>
  <c r="N78" i="16"/>
  <c r="N98" i="16"/>
  <c r="O105" i="16"/>
  <c r="Q105" i="16" s="1"/>
  <c r="N105" i="16"/>
  <c r="N116" i="16"/>
  <c r="L9" i="16"/>
  <c r="N9" i="16" s="1"/>
  <c r="I25" i="16"/>
  <c r="L23" i="16"/>
  <c r="N23" i="16" s="1"/>
  <c r="L117" i="16"/>
  <c r="O58" i="16"/>
  <c r="Q58" i="16" s="1"/>
  <c r="O67" i="16"/>
  <c r="Q67" i="16" s="1"/>
  <c r="O76" i="16"/>
  <c r="Q76" i="16" s="1"/>
  <c r="O85" i="16"/>
  <c r="Q85" i="16" s="1"/>
  <c r="O94" i="16"/>
  <c r="Q94" i="16" s="1"/>
  <c r="O103" i="16"/>
  <c r="Q103" i="16" s="1"/>
  <c r="O112" i="16"/>
  <c r="Q112" i="16" s="1"/>
  <c r="L126" i="16"/>
  <c r="N126" i="16" s="1"/>
  <c r="G128" i="16"/>
  <c r="G24" i="16"/>
  <c r="L24" i="16"/>
  <c r="N24" i="16" s="1"/>
  <c r="K10" i="16"/>
  <c r="I19" i="16"/>
  <c r="K19" i="16" s="1"/>
  <c r="G129" i="16"/>
  <c r="E47" i="16"/>
  <c r="G45" i="16"/>
  <c r="N52" i="16"/>
  <c r="N70" i="16"/>
  <c r="N88" i="16"/>
  <c r="N106" i="16"/>
  <c r="N115" i="16"/>
  <c r="K122" i="16"/>
  <c r="N68" i="16"/>
  <c r="O93" i="16"/>
  <c r="Q93" i="16" s="1"/>
  <c r="N93" i="16"/>
  <c r="N104" i="16"/>
  <c r="K127" i="16"/>
  <c r="G11" i="16"/>
  <c r="L11" i="16"/>
  <c r="N11" i="16" s="1"/>
  <c r="E25" i="16"/>
  <c r="O100" i="16"/>
  <c r="Q100" i="16" s="1"/>
  <c r="K30" i="16"/>
  <c r="K34" i="16" s="1"/>
  <c r="N34" i="16" s="1"/>
  <c r="N32" i="16"/>
  <c r="L125" i="16"/>
  <c r="N125" i="16" s="1"/>
  <c r="I139" i="16"/>
  <c r="I40" i="16"/>
  <c r="N53" i="16"/>
  <c r="O60" i="16"/>
  <c r="Q60" i="16" s="1"/>
  <c r="N60" i="16"/>
  <c r="O69" i="16"/>
  <c r="Q69" i="16" s="1"/>
  <c r="N69" i="16"/>
  <c r="N80" i="16"/>
  <c r="O87" i="16"/>
  <c r="Q87" i="16" s="1"/>
  <c r="N87" i="16"/>
  <c r="N89" i="16"/>
  <c r="O96" i="16"/>
  <c r="Q96" i="16" s="1"/>
  <c r="N96" i="16"/>
  <c r="N107" i="16"/>
  <c r="O114" i="16"/>
  <c r="Q114" i="16" s="1"/>
  <c r="N114" i="16"/>
  <c r="G121" i="16"/>
  <c r="L7" i="16"/>
  <c r="K23" i="16"/>
  <c r="K25" i="16" s="1"/>
  <c r="E34" i="16"/>
  <c r="G29" i="16"/>
  <c r="M40" i="16"/>
  <c r="N38" i="16"/>
  <c r="L121" i="16"/>
  <c r="G135" i="16"/>
  <c r="L135" i="16"/>
  <c r="N135" i="16" s="1"/>
  <c r="L137" i="16"/>
  <c r="N137" i="16" s="1"/>
  <c r="N59" i="16"/>
  <c r="O75" i="16"/>
  <c r="Q75" i="16" s="1"/>
  <c r="N75" i="16"/>
  <c r="N86" i="16"/>
  <c r="N95" i="16"/>
  <c r="O102" i="16"/>
  <c r="Q102" i="16" s="1"/>
  <c r="N102" i="16"/>
  <c r="N113" i="16"/>
  <c r="L13" i="16"/>
  <c r="N13" i="16" s="1"/>
  <c r="M19" i="16"/>
  <c r="L45" i="16"/>
  <c r="N45" i="16" s="1"/>
  <c r="O82" i="16"/>
  <c r="Q82" i="16" s="1"/>
  <c r="O109" i="16"/>
  <c r="Q109" i="16" s="1"/>
  <c r="E117" i="16"/>
  <c r="M139" i="16"/>
  <c r="J117" i="16"/>
  <c r="N117" i="16" s="1"/>
  <c r="G17" i="16"/>
  <c r="L133" i="16"/>
  <c r="N133" i="16" s="1"/>
  <c r="O57" i="16"/>
  <c r="Q57" i="16" s="1"/>
  <c r="N57" i="16"/>
  <c r="N77" i="16"/>
  <c r="O84" i="16"/>
  <c r="Q84" i="16" s="1"/>
  <c r="N84" i="16"/>
  <c r="O111" i="16"/>
  <c r="Q111" i="16" s="1"/>
  <c r="N111" i="16"/>
  <c r="N8" i="16"/>
  <c r="O55" i="16"/>
  <c r="Q55" i="16" s="1"/>
  <c r="O64" i="16"/>
  <c r="Q64" i="16" s="1"/>
  <c r="O73" i="16"/>
  <c r="Q73" i="16" s="1"/>
  <c r="O91" i="16"/>
  <c r="Q91" i="16" s="1"/>
  <c r="O54" i="16"/>
  <c r="Q54" i="16" s="1"/>
  <c r="N54" i="16"/>
  <c r="O63" i="16"/>
  <c r="Q63" i="16" s="1"/>
  <c r="N63" i="16"/>
  <c r="O72" i="16"/>
  <c r="Q72" i="16" s="1"/>
  <c r="N72" i="16"/>
  <c r="O81" i="16"/>
  <c r="Q81" i="16" s="1"/>
  <c r="N81" i="16"/>
  <c r="O90" i="16"/>
  <c r="Q90" i="16" s="1"/>
  <c r="N90" i="16"/>
  <c r="O99" i="16"/>
  <c r="Q99" i="16" s="1"/>
  <c r="N99" i="16"/>
  <c r="O108" i="16"/>
  <c r="Q108" i="16" s="1"/>
  <c r="N108" i="16"/>
  <c r="L135" i="15"/>
  <c r="N135" i="15" s="1"/>
  <c r="L44" i="15"/>
  <c r="N44" i="15" s="1"/>
  <c r="G44" i="15"/>
  <c r="G136" i="15"/>
  <c r="L129" i="15"/>
  <c r="N129" i="15" s="1"/>
  <c r="O109" i="15"/>
  <c r="N147" i="15"/>
  <c r="G138" i="15"/>
  <c r="M139" i="15"/>
  <c r="L128" i="15"/>
  <c r="N128" i="15" s="1"/>
  <c r="L32" i="15"/>
  <c r="N32" i="15" s="1"/>
  <c r="L13" i="15"/>
  <c r="N13" i="15" s="1"/>
  <c r="P117" i="15"/>
  <c r="N142" i="15" s="1"/>
  <c r="N109" i="15"/>
  <c r="L17" i="15"/>
  <c r="N123" i="15"/>
  <c r="I139" i="15"/>
  <c r="E139" i="15"/>
  <c r="L131" i="15"/>
  <c r="N131" i="15" s="1"/>
  <c r="L30" i="15"/>
  <c r="N30" i="15" s="1"/>
  <c r="N146" i="15"/>
  <c r="M40" i="15"/>
  <c r="N145" i="15" s="1"/>
  <c r="L38" i="15"/>
  <c r="L40" i="15" s="1"/>
  <c r="I25" i="15"/>
  <c r="O97" i="15"/>
  <c r="Q97" i="15" s="1"/>
  <c r="O61" i="15"/>
  <c r="Q61" i="15" s="1"/>
  <c r="I40" i="15"/>
  <c r="L9" i="15"/>
  <c r="N9" i="15" s="1"/>
  <c r="N61" i="15"/>
  <c r="N97" i="15"/>
  <c r="O70" i="15"/>
  <c r="Q70" i="15" s="1"/>
  <c r="O115" i="15"/>
  <c r="Q115" i="15" s="1"/>
  <c r="O59" i="15"/>
  <c r="O107" i="15"/>
  <c r="O73" i="15"/>
  <c r="Q73" i="15" s="1"/>
  <c r="O82" i="15"/>
  <c r="Q82" i="15" s="1"/>
  <c r="O85" i="15"/>
  <c r="Q85" i="15" s="1"/>
  <c r="O91" i="15"/>
  <c r="Q91" i="15" s="1"/>
  <c r="O94" i="15"/>
  <c r="Q94" i="15" s="1"/>
  <c r="O58" i="15"/>
  <c r="Q58" i="15" s="1"/>
  <c r="O106" i="15"/>
  <c r="Q106" i="15" s="1"/>
  <c r="L46" i="15"/>
  <c r="N46" i="15" s="1"/>
  <c r="L29" i="15"/>
  <c r="N29" i="15" s="1"/>
  <c r="L33" i="15"/>
  <c r="N33" i="15" s="1"/>
  <c r="L11" i="15"/>
  <c r="N11" i="15" s="1"/>
  <c r="L16" i="15"/>
  <c r="N16" i="15" s="1"/>
  <c r="L18" i="15"/>
  <c r="N18" i="15" s="1"/>
  <c r="N127" i="15"/>
  <c r="O141" i="15"/>
  <c r="N148" i="15" s="1"/>
  <c r="K131" i="15"/>
  <c r="L134" i="15"/>
  <c r="N134" i="15" s="1"/>
  <c r="G130" i="15"/>
  <c r="L132" i="15"/>
  <c r="N132" i="15" s="1"/>
  <c r="L124" i="15"/>
  <c r="N124" i="15" s="1"/>
  <c r="K129" i="15"/>
  <c r="L122" i="15"/>
  <c r="N122" i="15" s="1"/>
  <c r="L126" i="15"/>
  <c r="N126" i="15" s="1"/>
  <c r="L117" i="15"/>
  <c r="J140" i="15"/>
  <c r="C143" i="15" s="1"/>
  <c r="Q59" i="15"/>
  <c r="Q107" i="15"/>
  <c r="O95" i="15"/>
  <c r="Q95" i="15" s="1"/>
  <c r="O64" i="15"/>
  <c r="Q64" i="15" s="1"/>
  <c r="N64" i="15"/>
  <c r="O67" i="15"/>
  <c r="Q67" i="15" s="1"/>
  <c r="O112" i="15"/>
  <c r="Q112" i="15" s="1"/>
  <c r="N112" i="15"/>
  <c r="O88" i="15"/>
  <c r="Q88" i="15" s="1"/>
  <c r="N88" i="15"/>
  <c r="O83" i="15"/>
  <c r="Q83" i="15" s="1"/>
  <c r="O52" i="15"/>
  <c r="Q52" i="15" s="1"/>
  <c r="N52" i="15"/>
  <c r="O55" i="15"/>
  <c r="Q55" i="15" s="1"/>
  <c r="O100" i="15"/>
  <c r="Q100" i="15" s="1"/>
  <c r="N100" i="15"/>
  <c r="O103" i="15"/>
  <c r="Q103" i="15" s="1"/>
  <c r="O76" i="15"/>
  <c r="Q76" i="15" s="1"/>
  <c r="N76" i="15"/>
  <c r="O79" i="15"/>
  <c r="Q79" i="15" s="1"/>
  <c r="O71" i="15"/>
  <c r="Q71" i="15" s="1"/>
  <c r="Q109" i="15"/>
  <c r="O62" i="15"/>
  <c r="Q62" i="15" s="1"/>
  <c r="O74" i="15"/>
  <c r="Q74" i="15" s="1"/>
  <c r="O86" i="15"/>
  <c r="Q86" i="15" s="1"/>
  <c r="O98" i="15"/>
  <c r="Q98" i="15" s="1"/>
  <c r="O110" i="15"/>
  <c r="Q110" i="15" s="1"/>
  <c r="N55" i="15"/>
  <c r="N67" i="15"/>
  <c r="N79" i="15"/>
  <c r="N91" i="15"/>
  <c r="N103" i="15"/>
  <c r="N115" i="15"/>
  <c r="O53" i="15"/>
  <c r="Q53" i="15" s="1"/>
  <c r="O65" i="15"/>
  <c r="Q65" i="15" s="1"/>
  <c r="O77" i="15"/>
  <c r="Q77" i="15" s="1"/>
  <c r="O89" i="15"/>
  <c r="Q89" i="15" s="1"/>
  <c r="O101" i="15"/>
  <c r="Q101" i="15" s="1"/>
  <c r="O113" i="15"/>
  <c r="Q113" i="15" s="1"/>
  <c r="N58" i="15"/>
  <c r="N70" i="15"/>
  <c r="N82" i="15"/>
  <c r="N94" i="15"/>
  <c r="N106" i="15"/>
  <c r="O56" i="15"/>
  <c r="Q56" i="15" s="1"/>
  <c r="O68" i="15"/>
  <c r="Q68" i="15" s="1"/>
  <c r="O80" i="15"/>
  <c r="Q80" i="15" s="1"/>
  <c r="O92" i="15"/>
  <c r="Q92" i="15" s="1"/>
  <c r="O104" i="15"/>
  <c r="Q104" i="15" s="1"/>
  <c r="O116" i="15"/>
  <c r="Q116" i="15" s="1"/>
  <c r="E47" i="15"/>
  <c r="I34" i="15"/>
  <c r="G33" i="15"/>
  <c r="L31" i="15"/>
  <c r="N31" i="15" s="1"/>
  <c r="F140" i="15"/>
  <c r="C142" i="15" s="1"/>
  <c r="L24" i="15"/>
  <c r="N24" i="15" s="1"/>
  <c r="L23" i="15"/>
  <c r="N23" i="15" s="1"/>
  <c r="M19" i="15"/>
  <c r="N143" i="15" s="1"/>
  <c r="N6" i="15"/>
  <c r="G9" i="15"/>
  <c r="K18" i="15"/>
  <c r="I19" i="15"/>
  <c r="K19" i="15" s="1"/>
  <c r="K7" i="15"/>
  <c r="G17" i="15"/>
  <c r="N14" i="15"/>
  <c r="N17" i="15"/>
  <c r="L15" i="15"/>
  <c r="N15" i="15" s="1"/>
  <c r="N39" i="15"/>
  <c r="G45" i="15"/>
  <c r="G14" i="15"/>
  <c r="G30" i="15"/>
  <c r="G38" i="15"/>
  <c r="O51" i="15"/>
  <c r="O54" i="15"/>
  <c r="Q54" i="15" s="1"/>
  <c r="O57" i="15"/>
  <c r="Q57" i="15" s="1"/>
  <c r="O60" i="15"/>
  <c r="Q60" i="15" s="1"/>
  <c r="O63" i="15"/>
  <c r="Q63" i="15" s="1"/>
  <c r="O66" i="15"/>
  <c r="Q66" i="15" s="1"/>
  <c r="O69" i="15"/>
  <c r="Q69" i="15" s="1"/>
  <c r="O72" i="15"/>
  <c r="Q72" i="15" s="1"/>
  <c r="O75" i="15"/>
  <c r="Q75" i="15" s="1"/>
  <c r="O78" i="15"/>
  <c r="Q78" i="15" s="1"/>
  <c r="O81" i="15"/>
  <c r="Q81" i="15" s="1"/>
  <c r="O84" i="15"/>
  <c r="Q84" i="15" s="1"/>
  <c r="O87" i="15"/>
  <c r="Q87" i="15" s="1"/>
  <c r="O90" i="15"/>
  <c r="Q90" i="15" s="1"/>
  <c r="O93" i="15"/>
  <c r="Q93" i="15" s="1"/>
  <c r="O96" i="15"/>
  <c r="Q96" i="15" s="1"/>
  <c r="O99" i="15"/>
  <c r="Q99" i="15" s="1"/>
  <c r="O102" i="15"/>
  <c r="Q102" i="15" s="1"/>
  <c r="O105" i="15"/>
  <c r="Q105" i="15" s="1"/>
  <c r="O108" i="15"/>
  <c r="Q108" i="15" s="1"/>
  <c r="O111" i="15"/>
  <c r="Q111" i="15" s="1"/>
  <c r="O114" i="15"/>
  <c r="Q114" i="15" s="1"/>
  <c r="G127" i="15"/>
  <c r="L125" i="15"/>
  <c r="N125" i="15" s="1"/>
  <c r="L8" i="15"/>
  <c r="N8" i="15" s="1"/>
  <c r="L45" i="15"/>
  <c r="L7" i="15"/>
  <c r="G16" i="15"/>
  <c r="G32" i="15"/>
  <c r="G15" i="15"/>
  <c r="M34" i="15"/>
  <c r="L133" i="15"/>
  <c r="N133" i="15" s="1"/>
  <c r="E40" i="15"/>
  <c r="K38" i="15"/>
  <c r="K40" i="15" s="1"/>
  <c r="M25" i="15"/>
  <c r="N149" i="15" s="1"/>
  <c r="E34" i="15"/>
  <c r="N53" i="15"/>
  <c r="N56" i="15"/>
  <c r="N59" i="15"/>
  <c r="N62" i="15"/>
  <c r="N65" i="15"/>
  <c r="N68" i="15"/>
  <c r="N71" i="15"/>
  <c r="N74" i="15"/>
  <c r="N77" i="15"/>
  <c r="N80" i="15"/>
  <c r="N83" i="15"/>
  <c r="N86" i="15"/>
  <c r="N89" i="15"/>
  <c r="N92" i="15"/>
  <c r="N95" i="15"/>
  <c r="N98" i="15"/>
  <c r="N101" i="15"/>
  <c r="N104" i="15"/>
  <c r="N107" i="15"/>
  <c r="N110" i="15"/>
  <c r="N113" i="15"/>
  <c r="N116" i="15"/>
  <c r="K29" i="15"/>
  <c r="K34" i="15" s="1"/>
  <c r="G39" i="15"/>
  <c r="K46" i="15"/>
  <c r="E25" i="15"/>
  <c r="J117" i="15"/>
  <c r="N117" i="15" s="1"/>
  <c r="L121" i="15"/>
  <c r="L5" i="15"/>
  <c r="N5" i="15" s="1"/>
  <c r="L12" i="15"/>
  <c r="N12" i="15" s="1"/>
  <c r="G13" i="15"/>
  <c r="G29" i="15"/>
  <c r="G46" i="15"/>
  <c r="G126" i="15"/>
  <c r="E117" i="15"/>
  <c r="G128" i="15"/>
  <c r="G10" i="15"/>
  <c r="G23" i="15"/>
  <c r="G123" i="15"/>
  <c r="G135" i="15"/>
  <c r="G31" i="15"/>
  <c r="E19" i="15"/>
  <c r="K23" i="15"/>
  <c r="K25" i="15" s="1"/>
  <c r="N12" i="14"/>
  <c r="P116" i="14"/>
  <c r="N138" i="14" s="1"/>
  <c r="O114" i="14"/>
  <c r="Q114" i="14" s="1"/>
  <c r="O70" i="14"/>
  <c r="Q70" i="14" s="1"/>
  <c r="O108" i="14"/>
  <c r="Q108" i="14" s="1"/>
  <c r="Q105" i="14"/>
  <c r="O88" i="14"/>
  <c r="O111" i="14"/>
  <c r="Q111" i="14" s="1"/>
  <c r="O102" i="14"/>
  <c r="Q102" i="14" s="1"/>
  <c r="O96" i="14"/>
  <c r="Q96" i="14" s="1"/>
  <c r="O79" i="14"/>
  <c r="I46" i="14"/>
  <c r="L10" i="14"/>
  <c r="L131" i="14"/>
  <c r="N131" i="14" s="1"/>
  <c r="M135" i="14"/>
  <c r="O137" i="14" s="1"/>
  <c r="N144" i="14" s="1"/>
  <c r="N143" i="14"/>
  <c r="G130" i="14"/>
  <c r="L133" i="14"/>
  <c r="N133" i="14" s="1"/>
  <c r="L128" i="14"/>
  <c r="N128" i="14" s="1"/>
  <c r="L124" i="14"/>
  <c r="N124" i="14" s="1"/>
  <c r="L121" i="14"/>
  <c r="N121" i="14" s="1"/>
  <c r="L132" i="14"/>
  <c r="N132" i="14" s="1"/>
  <c r="L126" i="14"/>
  <c r="N126" i="14" s="1"/>
  <c r="O94" i="14"/>
  <c r="Q94" i="14" s="1"/>
  <c r="O97" i="14"/>
  <c r="Q97" i="14" s="1"/>
  <c r="O100" i="14"/>
  <c r="Q100" i="14" s="1"/>
  <c r="O109" i="14"/>
  <c r="Q109" i="14" s="1"/>
  <c r="O112" i="14"/>
  <c r="Q112" i="14" s="1"/>
  <c r="O101" i="14"/>
  <c r="Q55" i="14"/>
  <c r="Q58" i="14"/>
  <c r="Q64" i="14"/>
  <c r="Q67" i="14"/>
  <c r="Q76" i="14"/>
  <c r="Q79" i="14"/>
  <c r="Q88" i="14"/>
  <c r="Q91" i="14"/>
  <c r="O59" i="14"/>
  <c r="Q59" i="14" s="1"/>
  <c r="O90" i="14"/>
  <c r="Q90" i="14" s="1"/>
  <c r="N101" i="14"/>
  <c r="N59" i="14"/>
  <c r="O71" i="14"/>
  <c r="Q71" i="14" s="1"/>
  <c r="O113" i="14"/>
  <c r="Q113" i="14" s="1"/>
  <c r="O57" i="14"/>
  <c r="Q57" i="14" s="1"/>
  <c r="N71" i="14"/>
  <c r="H108" i="14"/>
  <c r="N57" i="14"/>
  <c r="O66" i="14"/>
  <c r="Q66" i="14" s="1"/>
  <c r="O80" i="14"/>
  <c r="Q80" i="14" s="1"/>
  <c r="N66" i="14"/>
  <c r="N80" i="14"/>
  <c r="O78" i="14"/>
  <c r="Q78" i="14" s="1"/>
  <c r="O92" i="14"/>
  <c r="Q92" i="14" s="1"/>
  <c r="N45" i="14"/>
  <c r="N33" i="14"/>
  <c r="L16" i="14"/>
  <c r="N16" i="14" s="1"/>
  <c r="L7" i="14"/>
  <c r="N7" i="14" s="1"/>
  <c r="E19" i="14"/>
  <c r="K16" i="14"/>
  <c r="K38" i="14"/>
  <c r="K40" i="14" s="1"/>
  <c r="O62" i="14"/>
  <c r="Q62" i="14" s="1"/>
  <c r="O104" i="14"/>
  <c r="Q104" i="14" s="1"/>
  <c r="L14" i="14"/>
  <c r="N14" i="14" s="1"/>
  <c r="L23" i="14"/>
  <c r="N23" i="14" s="1"/>
  <c r="N113" i="14"/>
  <c r="L5" i="14"/>
  <c r="N5" i="14" s="1"/>
  <c r="O81" i="14"/>
  <c r="Q81" i="14" s="1"/>
  <c r="N104" i="14"/>
  <c r="G33" i="14"/>
  <c r="O60" i="14"/>
  <c r="Q60" i="14" s="1"/>
  <c r="O107" i="14"/>
  <c r="Q107" i="14" s="1"/>
  <c r="O98" i="14"/>
  <c r="Q98" i="14" s="1"/>
  <c r="L134" i="14"/>
  <c r="N134" i="14" s="1"/>
  <c r="L39" i="14"/>
  <c r="N39" i="14" s="1"/>
  <c r="H105" i="14"/>
  <c r="N107" i="14"/>
  <c r="L18" i="14"/>
  <c r="N18" i="14" s="1"/>
  <c r="O63" i="14"/>
  <c r="Q63" i="14" s="1"/>
  <c r="O84" i="14"/>
  <c r="Q84" i="14" s="1"/>
  <c r="O89" i="14"/>
  <c r="Q89" i="14" s="1"/>
  <c r="H96" i="14"/>
  <c r="N98" i="14"/>
  <c r="G120" i="14"/>
  <c r="I25" i="14"/>
  <c r="L31" i="14"/>
  <c r="N31" i="14" s="1"/>
  <c r="O52" i="14"/>
  <c r="Q52" i="14" s="1"/>
  <c r="O54" i="14"/>
  <c r="Q54" i="14" s="1"/>
  <c r="O61" i="14"/>
  <c r="Q61" i="14" s="1"/>
  <c r="O68" i="14"/>
  <c r="Q68" i="14" s="1"/>
  <c r="O82" i="14"/>
  <c r="Q82" i="14" s="1"/>
  <c r="O103" i="14"/>
  <c r="Q103" i="14" s="1"/>
  <c r="O110" i="14"/>
  <c r="Q110" i="14" s="1"/>
  <c r="L127" i="14"/>
  <c r="N127" i="14" s="1"/>
  <c r="G132" i="14"/>
  <c r="I135" i="14"/>
  <c r="H111" i="14"/>
  <c r="N78" i="14"/>
  <c r="K128" i="14"/>
  <c r="N90" i="14"/>
  <c r="O56" i="14"/>
  <c r="Q56" i="14" s="1"/>
  <c r="O65" i="14"/>
  <c r="Q65" i="14" s="1"/>
  <c r="O72" i="14"/>
  <c r="Q72" i="14" s="1"/>
  <c r="O93" i="14"/>
  <c r="Q93" i="14" s="1"/>
  <c r="H114" i="14"/>
  <c r="O77" i="14"/>
  <c r="Q77" i="14" s="1"/>
  <c r="Q101" i="14"/>
  <c r="O53" i="14"/>
  <c r="Q53" i="14" s="1"/>
  <c r="O83" i="14"/>
  <c r="Q83" i="14" s="1"/>
  <c r="O69" i="14"/>
  <c r="Q69" i="14" s="1"/>
  <c r="O95" i="14"/>
  <c r="Q95" i="14" s="1"/>
  <c r="H102" i="14"/>
  <c r="N53" i="14"/>
  <c r="N62" i="14"/>
  <c r="G131" i="14"/>
  <c r="O86" i="14"/>
  <c r="Q86" i="14" s="1"/>
  <c r="L122" i="14"/>
  <c r="N122" i="14" s="1"/>
  <c r="N81" i="14"/>
  <c r="E46" i="14"/>
  <c r="N60" i="14"/>
  <c r="N65" i="14"/>
  <c r="F136" i="14"/>
  <c r="C138" i="14" s="1"/>
  <c r="L17" i="14"/>
  <c r="N17" i="14" s="1"/>
  <c r="N63" i="14"/>
  <c r="O75" i="14"/>
  <c r="Q75" i="14" s="1"/>
  <c r="N84" i="14"/>
  <c r="N89" i="14"/>
  <c r="O99" i="14"/>
  <c r="Q99" i="14" s="1"/>
  <c r="G17" i="14"/>
  <c r="L29" i="14"/>
  <c r="L32" i="14"/>
  <c r="N32" i="14" s="1"/>
  <c r="J116" i="14"/>
  <c r="N116" i="14" s="1"/>
  <c r="N54" i="14"/>
  <c r="N68" i="14"/>
  <c r="O73" i="14"/>
  <c r="Q73" i="14" s="1"/>
  <c r="O87" i="14"/>
  <c r="Q87" i="14" s="1"/>
  <c r="H99" i="14"/>
  <c r="N110" i="14"/>
  <c r="O115" i="14"/>
  <c r="Q115" i="14" s="1"/>
  <c r="O74" i="14"/>
  <c r="Q74" i="14" s="1"/>
  <c r="O51" i="14"/>
  <c r="Q51" i="14" s="1"/>
  <c r="N69" i="14"/>
  <c r="G15" i="14"/>
  <c r="E25" i="14"/>
  <c r="O85" i="14"/>
  <c r="Q85" i="14" s="1"/>
  <c r="O106" i="14"/>
  <c r="Q106" i="14" s="1"/>
  <c r="L11" i="14"/>
  <c r="N11" i="14" s="1"/>
  <c r="K11" i="14"/>
  <c r="K34" i="14"/>
  <c r="N6" i="14"/>
  <c r="L9" i="14"/>
  <c r="N9" i="14" s="1"/>
  <c r="M34" i="14"/>
  <c r="N29" i="14"/>
  <c r="K7" i="14"/>
  <c r="I19" i="14"/>
  <c r="K19" i="14" s="1"/>
  <c r="L13" i="14"/>
  <c r="N13" i="14" s="1"/>
  <c r="G13" i="14"/>
  <c r="M46" i="14"/>
  <c r="L24" i="14"/>
  <c r="M40" i="14"/>
  <c r="L38" i="14"/>
  <c r="E40" i="14"/>
  <c r="G38" i="14"/>
  <c r="N120" i="14"/>
  <c r="N15" i="14"/>
  <c r="L116" i="14"/>
  <c r="L30" i="14"/>
  <c r="N30" i="14" s="1"/>
  <c r="G30" i="14"/>
  <c r="M10" i="14"/>
  <c r="G10" i="14"/>
  <c r="L8" i="14"/>
  <c r="N8" i="14" s="1"/>
  <c r="G8" i="14"/>
  <c r="J136" i="14"/>
  <c r="C139" i="14" s="1"/>
  <c r="K44" i="14"/>
  <c r="K46" i="14" s="1"/>
  <c r="O50" i="14"/>
  <c r="H52" i="14"/>
  <c r="H55" i="14"/>
  <c r="H58" i="14"/>
  <c r="H61" i="14"/>
  <c r="H64" i="14"/>
  <c r="H67" i="14"/>
  <c r="H70" i="14"/>
  <c r="H73" i="14"/>
  <c r="H76" i="14"/>
  <c r="H79" i="14"/>
  <c r="H82" i="14"/>
  <c r="H85" i="14"/>
  <c r="H88" i="14"/>
  <c r="H91" i="14"/>
  <c r="H94" i="14"/>
  <c r="H97" i="14"/>
  <c r="H100" i="14"/>
  <c r="H103" i="14"/>
  <c r="H106" i="14"/>
  <c r="H109" i="14"/>
  <c r="H112" i="14"/>
  <c r="H115" i="14"/>
  <c r="K124" i="14"/>
  <c r="G126" i="14"/>
  <c r="L129" i="14"/>
  <c r="N129" i="14" s="1"/>
  <c r="L44" i="14"/>
  <c r="L46" i="14" s="1"/>
  <c r="E135" i="14"/>
  <c r="M25" i="14"/>
  <c r="N145" i="14" s="1"/>
  <c r="E34" i="14"/>
  <c r="K121" i="14"/>
  <c r="G123" i="14"/>
  <c r="K133" i="14"/>
  <c r="G7" i="14"/>
  <c r="G12" i="14"/>
  <c r="G29" i="14"/>
  <c r="I34" i="14"/>
  <c r="G45" i="14"/>
  <c r="G125" i="14"/>
  <c r="E116" i="14"/>
  <c r="G127" i="14"/>
  <c r="G23" i="14"/>
  <c r="J45" i="13"/>
  <c r="E22" i="13"/>
  <c r="F10" i="13"/>
  <c r="M10" i="13" s="1"/>
  <c r="L136" i="13"/>
  <c r="J134" i="13"/>
  <c r="F134" i="13"/>
  <c r="M133" i="13"/>
  <c r="I133" i="13"/>
  <c r="K133" i="13" s="1"/>
  <c r="E133" i="13"/>
  <c r="G133" i="13" s="1"/>
  <c r="M132" i="13"/>
  <c r="I132" i="13"/>
  <c r="K132" i="13" s="1"/>
  <c r="E132" i="13"/>
  <c r="L132" i="13" s="1"/>
  <c r="M131" i="13"/>
  <c r="I131" i="13"/>
  <c r="E131" i="13"/>
  <c r="G131" i="13" s="1"/>
  <c r="M130" i="13"/>
  <c r="I130" i="13"/>
  <c r="K130" i="13" s="1"/>
  <c r="E130" i="13"/>
  <c r="L130" i="13" s="1"/>
  <c r="M129" i="13"/>
  <c r="I129" i="13"/>
  <c r="K129" i="13" s="1"/>
  <c r="E129" i="13"/>
  <c r="G129" i="13" s="1"/>
  <c r="M128" i="13"/>
  <c r="I128" i="13"/>
  <c r="K128" i="13" s="1"/>
  <c r="E128" i="13"/>
  <c r="L128" i="13" s="1"/>
  <c r="M127" i="13"/>
  <c r="I127" i="13"/>
  <c r="K127" i="13" s="1"/>
  <c r="E127" i="13"/>
  <c r="G127" i="13" s="1"/>
  <c r="M126" i="13"/>
  <c r="I126" i="13"/>
  <c r="K126" i="13" s="1"/>
  <c r="E126" i="13"/>
  <c r="G126" i="13" s="1"/>
  <c r="M125" i="13"/>
  <c r="I125" i="13"/>
  <c r="K125" i="13" s="1"/>
  <c r="E125" i="13"/>
  <c r="M124" i="13"/>
  <c r="I124" i="13"/>
  <c r="E124" i="13"/>
  <c r="G124" i="13" s="1"/>
  <c r="M123" i="13"/>
  <c r="I123" i="13"/>
  <c r="K123" i="13" s="1"/>
  <c r="E123" i="13"/>
  <c r="M122" i="13"/>
  <c r="I122" i="13"/>
  <c r="K122" i="13" s="1"/>
  <c r="E122" i="13"/>
  <c r="G122" i="13" s="1"/>
  <c r="M121" i="13"/>
  <c r="I121" i="13"/>
  <c r="K121" i="13" s="1"/>
  <c r="E121" i="13"/>
  <c r="M120" i="13"/>
  <c r="I120" i="13"/>
  <c r="K120" i="13" s="1"/>
  <c r="E120" i="13"/>
  <c r="M119" i="13"/>
  <c r="I119" i="13"/>
  <c r="E119" i="13"/>
  <c r="M115" i="13"/>
  <c r="G115" i="13"/>
  <c r="P114" i="13"/>
  <c r="L114" i="13"/>
  <c r="J114" i="13"/>
  <c r="N114" i="13" s="1"/>
  <c r="E114" i="13"/>
  <c r="H114" i="13" s="1"/>
  <c r="P108" i="13"/>
  <c r="L108" i="13"/>
  <c r="J108" i="13"/>
  <c r="E108" i="13"/>
  <c r="H108" i="13" s="1"/>
  <c r="P107" i="13"/>
  <c r="L107" i="13"/>
  <c r="J107" i="13"/>
  <c r="E107" i="13"/>
  <c r="H107" i="13" s="1"/>
  <c r="P106" i="13"/>
  <c r="L106" i="13"/>
  <c r="J106" i="13"/>
  <c r="N106" i="13" s="1"/>
  <c r="E106" i="13"/>
  <c r="H106" i="13" s="1"/>
  <c r="P105" i="13"/>
  <c r="L105" i="13"/>
  <c r="J105" i="13"/>
  <c r="E105" i="13"/>
  <c r="H105" i="13" s="1"/>
  <c r="P104" i="13"/>
  <c r="L104" i="13"/>
  <c r="J104" i="13"/>
  <c r="N104" i="13" s="1"/>
  <c r="E104" i="13"/>
  <c r="H104" i="13" s="1"/>
  <c r="P103" i="13"/>
  <c r="L103" i="13"/>
  <c r="J103" i="13"/>
  <c r="E103" i="13"/>
  <c r="H103" i="13" s="1"/>
  <c r="P102" i="13"/>
  <c r="L102" i="13"/>
  <c r="J102" i="13"/>
  <c r="E102" i="13"/>
  <c r="H102" i="13" s="1"/>
  <c r="P101" i="13"/>
  <c r="L101" i="13"/>
  <c r="J101" i="13"/>
  <c r="E101" i="13"/>
  <c r="H101" i="13" s="1"/>
  <c r="P100" i="13"/>
  <c r="L100" i="13"/>
  <c r="J100" i="13"/>
  <c r="N100" i="13" s="1"/>
  <c r="E100" i="13"/>
  <c r="H100" i="13" s="1"/>
  <c r="P99" i="13"/>
  <c r="L99" i="13"/>
  <c r="J99" i="13"/>
  <c r="E99" i="13"/>
  <c r="H99" i="13" s="1"/>
  <c r="P98" i="13"/>
  <c r="L98" i="13"/>
  <c r="J98" i="13"/>
  <c r="E98" i="13"/>
  <c r="H98" i="13" s="1"/>
  <c r="P97" i="13"/>
  <c r="L97" i="13"/>
  <c r="J97" i="13"/>
  <c r="N97" i="13" s="1"/>
  <c r="E97" i="13"/>
  <c r="H97" i="13" s="1"/>
  <c r="P96" i="13"/>
  <c r="L96" i="13"/>
  <c r="J96" i="13"/>
  <c r="E96" i="13"/>
  <c r="H96" i="13" s="1"/>
  <c r="P95" i="13"/>
  <c r="L95" i="13"/>
  <c r="J95" i="13"/>
  <c r="E95" i="13"/>
  <c r="H95" i="13" s="1"/>
  <c r="P94" i="13"/>
  <c r="L94" i="13"/>
  <c r="J94" i="13"/>
  <c r="N94" i="13" s="1"/>
  <c r="E94" i="13"/>
  <c r="H94" i="13" s="1"/>
  <c r="P93" i="13"/>
  <c r="L93" i="13"/>
  <c r="J93" i="13"/>
  <c r="E93" i="13"/>
  <c r="H93" i="13" s="1"/>
  <c r="P92" i="13"/>
  <c r="L92" i="13"/>
  <c r="J92" i="13"/>
  <c r="E92" i="13"/>
  <c r="H92" i="13" s="1"/>
  <c r="P91" i="13"/>
  <c r="L91" i="13"/>
  <c r="J91" i="13"/>
  <c r="N91" i="13" s="1"/>
  <c r="E91" i="13"/>
  <c r="H91" i="13" s="1"/>
  <c r="P90" i="13"/>
  <c r="L90" i="13"/>
  <c r="J90" i="13"/>
  <c r="E90" i="13"/>
  <c r="H90" i="13" s="1"/>
  <c r="P89" i="13"/>
  <c r="L89" i="13"/>
  <c r="J89" i="13"/>
  <c r="N89" i="13" s="1"/>
  <c r="E89" i="13"/>
  <c r="H89" i="13" s="1"/>
  <c r="P88" i="13"/>
  <c r="L88" i="13"/>
  <c r="J88" i="13"/>
  <c r="N88" i="13" s="1"/>
  <c r="E88" i="13"/>
  <c r="H88" i="13" s="1"/>
  <c r="P87" i="13"/>
  <c r="L87" i="13"/>
  <c r="J87" i="13"/>
  <c r="N87" i="13" s="1"/>
  <c r="E87" i="13"/>
  <c r="H87" i="13" s="1"/>
  <c r="P86" i="13"/>
  <c r="L86" i="13"/>
  <c r="J86" i="13"/>
  <c r="E86" i="13"/>
  <c r="H86" i="13" s="1"/>
  <c r="P85" i="13"/>
  <c r="L85" i="13"/>
  <c r="J85" i="13"/>
  <c r="N85" i="13" s="1"/>
  <c r="E85" i="13"/>
  <c r="H85" i="13" s="1"/>
  <c r="P84" i="13"/>
  <c r="L84" i="13"/>
  <c r="J84" i="13"/>
  <c r="E84" i="13"/>
  <c r="H84" i="13" s="1"/>
  <c r="P83" i="13"/>
  <c r="L83" i="13"/>
  <c r="J83" i="13"/>
  <c r="E83" i="13"/>
  <c r="H83" i="13" s="1"/>
  <c r="P82" i="13"/>
  <c r="L82" i="13"/>
  <c r="J82" i="13"/>
  <c r="E82" i="13"/>
  <c r="H82" i="13" s="1"/>
  <c r="P81" i="13"/>
  <c r="L81" i="13"/>
  <c r="J81" i="13"/>
  <c r="E81" i="13"/>
  <c r="H81" i="13" s="1"/>
  <c r="P80" i="13"/>
  <c r="L80" i="13"/>
  <c r="J80" i="13"/>
  <c r="E80" i="13"/>
  <c r="H80" i="13" s="1"/>
  <c r="P79" i="13"/>
  <c r="L79" i="13"/>
  <c r="J79" i="13"/>
  <c r="N79" i="13" s="1"/>
  <c r="E79" i="13"/>
  <c r="H79" i="13" s="1"/>
  <c r="P78" i="13"/>
  <c r="L78" i="13"/>
  <c r="J78" i="13"/>
  <c r="E78" i="13"/>
  <c r="H78" i="13" s="1"/>
  <c r="P77" i="13"/>
  <c r="L77" i="13"/>
  <c r="J77" i="13"/>
  <c r="N77" i="13" s="1"/>
  <c r="E77" i="13"/>
  <c r="H77" i="13" s="1"/>
  <c r="P76" i="13"/>
  <c r="L76" i="13"/>
  <c r="J76" i="13"/>
  <c r="E76" i="13"/>
  <c r="H76" i="13" s="1"/>
  <c r="P75" i="13"/>
  <c r="L75" i="13"/>
  <c r="J75" i="13"/>
  <c r="E75" i="13"/>
  <c r="H75" i="13" s="1"/>
  <c r="P74" i="13"/>
  <c r="L74" i="13"/>
  <c r="J74" i="13"/>
  <c r="E74" i="13"/>
  <c r="H74" i="13" s="1"/>
  <c r="P73" i="13"/>
  <c r="L73" i="13"/>
  <c r="J73" i="13"/>
  <c r="N73" i="13" s="1"/>
  <c r="E73" i="13"/>
  <c r="H73" i="13" s="1"/>
  <c r="P72" i="13"/>
  <c r="L72" i="13"/>
  <c r="J72" i="13"/>
  <c r="E72" i="13"/>
  <c r="H72" i="13" s="1"/>
  <c r="P71" i="13"/>
  <c r="L71" i="13"/>
  <c r="J71" i="13"/>
  <c r="E71" i="13"/>
  <c r="H71" i="13" s="1"/>
  <c r="P70" i="13"/>
  <c r="L70" i="13"/>
  <c r="J70" i="13"/>
  <c r="N70" i="13" s="1"/>
  <c r="E70" i="13"/>
  <c r="H70" i="13" s="1"/>
  <c r="P69" i="13"/>
  <c r="L69" i="13"/>
  <c r="J69" i="13"/>
  <c r="E69" i="13"/>
  <c r="H69" i="13" s="1"/>
  <c r="P68" i="13"/>
  <c r="L68" i="13"/>
  <c r="J68" i="13"/>
  <c r="E68" i="13"/>
  <c r="H68" i="13" s="1"/>
  <c r="P67" i="13"/>
  <c r="L67" i="13"/>
  <c r="J67" i="13"/>
  <c r="N67" i="13" s="1"/>
  <c r="E67" i="13"/>
  <c r="H67" i="13" s="1"/>
  <c r="P66" i="13"/>
  <c r="L66" i="13"/>
  <c r="J66" i="13"/>
  <c r="E66" i="13"/>
  <c r="H66" i="13" s="1"/>
  <c r="P65" i="13"/>
  <c r="L65" i="13"/>
  <c r="J65" i="13"/>
  <c r="N65" i="13" s="1"/>
  <c r="E65" i="13"/>
  <c r="H65" i="13" s="1"/>
  <c r="P64" i="13"/>
  <c r="L64" i="13"/>
  <c r="J64" i="13"/>
  <c r="N64" i="13" s="1"/>
  <c r="E64" i="13"/>
  <c r="H64" i="13" s="1"/>
  <c r="P63" i="13"/>
  <c r="L63" i="13"/>
  <c r="J63" i="13"/>
  <c r="E63" i="13"/>
  <c r="H63" i="13" s="1"/>
  <c r="P62" i="13"/>
  <c r="L62" i="13"/>
  <c r="J62" i="13"/>
  <c r="N62" i="13" s="1"/>
  <c r="E62" i="13"/>
  <c r="H62" i="13" s="1"/>
  <c r="P61" i="13"/>
  <c r="L61" i="13"/>
  <c r="J61" i="13"/>
  <c r="E61" i="13"/>
  <c r="H61" i="13" s="1"/>
  <c r="P60" i="13"/>
  <c r="L60" i="13"/>
  <c r="J60" i="13"/>
  <c r="E60" i="13"/>
  <c r="H60" i="13" s="1"/>
  <c r="P59" i="13"/>
  <c r="L59" i="13"/>
  <c r="J59" i="13"/>
  <c r="E59" i="13"/>
  <c r="H59" i="13" s="1"/>
  <c r="P58" i="13"/>
  <c r="L58" i="13"/>
  <c r="J58" i="13"/>
  <c r="N58" i="13" s="1"/>
  <c r="E58" i="13"/>
  <c r="H58" i="13" s="1"/>
  <c r="P57" i="13"/>
  <c r="L57" i="13"/>
  <c r="J57" i="13"/>
  <c r="E57" i="13"/>
  <c r="H57" i="13" s="1"/>
  <c r="P56" i="13"/>
  <c r="L56" i="13"/>
  <c r="J56" i="13"/>
  <c r="E56" i="13"/>
  <c r="H56" i="13" s="1"/>
  <c r="P55" i="13"/>
  <c r="L55" i="13"/>
  <c r="J55" i="13"/>
  <c r="N55" i="13" s="1"/>
  <c r="E55" i="13"/>
  <c r="H55" i="13" s="1"/>
  <c r="P54" i="13"/>
  <c r="L54" i="13"/>
  <c r="J54" i="13"/>
  <c r="E54" i="13"/>
  <c r="H54" i="13" s="1"/>
  <c r="P53" i="13"/>
  <c r="L53" i="13"/>
  <c r="J53" i="13"/>
  <c r="N53" i="13" s="1"/>
  <c r="E53" i="13"/>
  <c r="H53" i="13" s="1"/>
  <c r="P52" i="13"/>
  <c r="L52" i="13"/>
  <c r="J52" i="13"/>
  <c r="N52" i="13" s="1"/>
  <c r="E52" i="13"/>
  <c r="H52" i="13" s="1"/>
  <c r="P51" i="13"/>
  <c r="L51" i="13"/>
  <c r="J51" i="13"/>
  <c r="E51" i="13"/>
  <c r="H51" i="13" s="1"/>
  <c r="P50" i="13"/>
  <c r="L50" i="13"/>
  <c r="J50" i="13"/>
  <c r="N50" i="13" s="1"/>
  <c r="E50" i="13"/>
  <c r="H50" i="13" s="1"/>
  <c r="P49" i="13"/>
  <c r="L49" i="13"/>
  <c r="J49" i="13"/>
  <c r="E49" i="13"/>
  <c r="H49" i="13" s="1"/>
  <c r="F45" i="13"/>
  <c r="I44" i="13"/>
  <c r="E44" i="13"/>
  <c r="M43" i="13"/>
  <c r="I43" i="13"/>
  <c r="K43" i="13" s="1"/>
  <c r="E43" i="13"/>
  <c r="G43" i="13" s="1"/>
  <c r="J39" i="13"/>
  <c r="F39" i="13"/>
  <c r="M38" i="13"/>
  <c r="I38" i="13"/>
  <c r="E38" i="13"/>
  <c r="G38" i="13" s="1"/>
  <c r="M37" i="13"/>
  <c r="I37" i="13"/>
  <c r="E37" i="13"/>
  <c r="G37" i="13" s="1"/>
  <c r="J33" i="13"/>
  <c r="F33" i="13"/>
  <c r="M32" i="13"/>
  <c r="I32" i="13"/>
  <c r="K32" i="13" s="1"/>
  <c r="E32" i="13"/>
  <c r="M31" i="13"/>
  <c r="I31" i="13"/>
  <c r="K31" i="13" s="1"/>
  <c r="E31" i="13"/>
  <c r="M30" i="13"/>
  <c r="I30" i="13"/>
  <c r="K30" i="13" s="1"/>
  <c r="E30" i="13"/>
  <c r="M29" i="13"/>
  <c r="I29" i="13"/>
  <c r="E29" i="13"/>
  <c r="G29" i="13" s="1"/>
  <c r="M28" i="13"/>
  <c r="I28" i="13"/>
  <c r="E28" i="13"/>
  <c r="G28" i="13" s="1"/>
  <c r="J24" i="13"/>
  <c r="F24" i="13"/>
  <c r="M23" i="13"/>
  <c r="I23" i="13"/>
  <c r="E23" i="13"/>
  <c r="G23" i="13" s="1"/>
  <c r="M22" i="13"/>
  <c r="I22" i="13"/>
  <c r="K22" i="13" s="1"/>
  <c r="O18" i="13"/>
  <c r="J18" i="13"/>
  <c r="M17" i="13"/>
  <c r="I17" i="13"/>
  <c r="K17" i="13" s="1"/>
  <c r="E17" i="13"/>
  <c r="M16" i="13"/>
  <c r="I16" i="13"/>
  <c r="K16" i="13" s="1"/>
  <c r="E16" i="13"/>
  <c r="M15" i="13"/>
  <c r="I15" i="13"/>
  <c r="K15" i="13" s="1"/>
  <c r="E15" i="13"/>
  <c r="M14" i="13"/>
  <c r="I14" i="13"/>
  <c r="K14" i="13" s="1"/>
  <c r="E14" i="13"/>
  <c r="M13" i="13"/>
  <c r="I13" i="13"/>
  <c r="E13" i="13"/>
  <c r="G13" i="13" s="1"/>
  <c r="M12" i="13"/>
  <c r="I12" i="13"/>
  <c r="K12" i="13" s="1"/>
  <c r="E12" i="13"/>
  <c r="M11" i="13"/>
  <c r="I11" i="13"/>
  <c r="K11" i="13" s="1"/>
  <c r="E11" i="13"/>
  <c r="G11" i="13" s="1"/>
  <c r="I10" i="13"/>
  <c r="K10" i="13" s="1"/>
  <c r="E10" i="13"/>
  <c r="M9" i="13"/>
  <c r="I9" i="13"/>
  <c r="K9" i="13" s="1"/>
  <c r="E9" i="13"/>
  <c r="L9" i="13" s="1"/>
  <c r="M8" i="13"/>
  <c r="I8" i="13"/>
  <c r="E8" i="13"/>
  <c r="G8" i="13" s="1"/>
  <c r="M7" i="13"/>
  <c r="I7" i="13"/>
  <c r="E7" i="13"/>
  <c r="M6" i="13"/>
  <c r="N6" i="13" s="1"/>
  <c r="I6" i="13"/>
  <c r="K6" i="13" s="1"/>
  <c r="E6" i="13"/>
  <c r="G6" i="13" s="1"/>
  <c r="M5" i="13"/>
  <c r="I5" i="13"/>
  <c r="K5" i="13" s="1"/>
  <c r="E5" i="13"/>
  <c r="G5" i="13" s="1"/>
  <c r="M43" i="12"/>
  <c r="L131" i="12"/>
  <c r="J129" i="12"/>
  <c r="F129" i="12"/>
  <c r="M128" i="12"/>
  <c r="I128" i="12"/>
  <c r="K128" i="12" s="1"/>
  <c r="E128" i="12"/>
  <c r="G128" i="12" s="1"/>
  <c r="M127" i="12"/>
  <c r="I127" i="12"/>
  <c r="K127" i="12" s="1"/>
  <c r="E127" i="12"/>
  <c r="G127" i="12" s="1"/>
  <c r="M126" i="12"/>
  <c r="I126" i="12"/>
  <c r="K126" i="12" s="1"/>
  <c r="E126" i="12"/>
  <c r="M125" i="12"/>
  <c r="I125" i="12"/>
  <c r="K125" i="12" s="1"/>
  <c r="E125" i="12"/>
  <c r="M124" i="12"/>
  <c r="I124" i="12"/>
  <c r="K124" i="12" s="1"/>
  <c r="E124" i="12"/>
  <c r="L124" i="12" s="1"/>
  <c r="M123" i="12"/>
  <c r="I123" i="12"/>
  <c r="K123" i="12" s="1"/>
  <c r="E123" i="12"/>
  <c r="G123" i="12" s="1"/>
  <c r="M122" i="12"/>
  <c r="I122" i="12"/>
  <c r="K122" i="12" s="1"/>
  <c r="E122" i="12"/>
  <c r="M121" i="12"/>
  <c r="I121" i="12"/>
  <c r="K121" i="12" s="1"/>
  <c r="E121" i="12"/>
  <c r="G121" i="12" s="1"/>
  <c r="M120" i="12"/>
  <c r="I120" i="12"/>
  <c r="K120" i="12" s="1"/>
  <c r="E120" i="12"/>
  <c r="M119" i="12"/>
  <c r="I119" i="12"/>
  <c r="K119" i="12" s="1"/>
  <c r="E119" i="12"/>
  <c r="L119" i="12" s="1"/>
  <c r="N119" i="12" s="1"/>
  <c r="M118" i="12"/>
  <c r="N137" i="12" s="1"/>
  <c r="I118" i="12"/>
  <c r="E118" i="12"/>
  <c r="G118" i="12" s="1"/>
  <c r="M117" i="12"/>
  <c r="I117" i="12"/>
  <c r="K117" i="12" s="1"/>
  <c r="E117" i="12"/>
  <c r="M116" i="12"/>
  <c r="I116" i="12"/>
  <c r="K116" i="12" s="1"/>
  <c r="E116" i="12"/>
  <c r="G116" i="12" s="1"/>
  <c r="M115" i="12"/>
  <c r="I115" i="12"/>
  <c r="E115" i="12"/>
  <c r="G115" i="12" s="1"/>
  <c r="M114" i="12"/>
  <c r="M129" i="12" s="1"/>
  <c r="I114" i="12"/>
  <c r="K114" i="12" s="1"/>
  <c r="E114" i="12"/>
  <c r="R110" i="12"/>
  <c r="M110" i="12"/>
  <c r="G110" i="12"/>
  <c r="P109" i="12"/>
  <c r="L109" i="12"/>
  <c r="J109" i="12"/>
  <c r="E109" i="12"/>
  <c r="H109" i="12" s="1"/>
  <c r="P108" i="12"/>
  <c r="L108" i="12"/>
  <c r="J108" i="12"/>
  <c r="N108" i="12" s="1"/>
  <c r="E108" i="12"/>
  <c r="O108" i="12" s="1"/>
  <c r="P107" i="12"/>
  <c r="L107" i="12"/>
  <c r="J107" i="12"/>
  <c r="E107" i="12"/>
  <c r="H107" i="12" s="1"/>
  <c r="P106" i="12"/>
  <c r="L106" i="12"/>
  <c r="J106" i="12"/>
  <c r="E106" i="12"/>
  <c r="H106" i="12" s="1"/>
  <c r="P105" i="12"/>
  <c r="L105" i="12"/>
  <c r="J105" i="12"/>
  <c r="N105" i="12" s="1"/>
  <c r="E105" i="12"/>
  <c r="O105" i="12" s="1"/>
  <c r="P104" i="12"/>
  <c r="L104" i="12"/>
  <c r="J104" i="12"/>
  <c r="E104" i="12"/>
  <c r="H104" i="12" s="1"/>
  <c r="P103" i="12"/>
  <c r="L103" i="12"/>
  <c r="J103" i="12"/>
  <c r="E103" i="12"/>
  <c r="H103" i="12" s="1"/>
  <c r="P102" i="12"/>
  <c r="L102" i="12"/>
  <c r="J102" i="12"/>
  <c r="N102" i="12" s="1"/>
  <c r="E102" i="12"/>
  <c r="O102" i="12" s="1"/>
  <c r="P101" i="12"/>
  <c r="L101" i="12"/>
  <c r="J101" i="12"/>
  <c r="N101" i="12" s="1"/>
  <c r="E101" i="12"/>
  <c r="H101" i="12" s="1"/>
  <c r="P100" i="12"/>
  <c r="L100" i="12"/>
  <c r="J100" i="12"/>
  <c r="E100" i="12"/>
  <c r="H100" i="12" s="1"/>
  <c r="P99" i="12"/>
  <c r="L99" i="12"/>
  <c r="J99" i="12"/>
  <c r="N99" i="12" s="1"/>
  <c r="E99" i="12"/>
  <c r="P98" i="12"/>
  <c r="L98" i="12"/>
  <c r="J98" i="12"/>
  <c r="E98" i="12"/>
  <c r="H98" i="12" s="1"/>
  <c r="P97" i="12"/>
  <c r="L97" i="12"/>
  <c r="J97" i="12"/>
  <c r="E97" i="12"/>
  <c r="H97" i="12" s="1"/>
  <c r="P96" i="12"/>
  <c r="L96" i="12"/>
  <c r="J96" i="12"/>
  <c r="N96" i="12" s="1"/>
  <c r="E96" i="12"/>
  <c r="O96" i="12" s="1"/>
  <c r="Q96" i="12" s="1"/>
  <c r="P95" i="12"/>
  <c r="L95" i="12"/>
  <c r="J95" i="12"/>
  <c r="E95" i="12"/>
  <c r="H95" i="12" s="1"/>
  <c r="P94" i="12"/>
  <c r="L94" i="12"/>
  <c r="J94" i="12"/>
  <c r="E94" i="12"/>
  <c r="H94" i="12" s="1"/>
  <c r="P93" i="12"/>
  <c r="L93" i="12"/>
  <c r="J93" i="12"/>
  <c r="N93" i="12" s="1"/>
  <c r="E93" i="12"/>
  <c r="O93" i="12" s="1"/>
  <c r="Q93" i="12" s="1"/>
  <c r="P92" i="12"/>
  <c r="L92" i="12"/>
  <c r="J92" i="12"/>
  <c r="E92" i="12"/>
  <c r="H92" i="12" s="1"/>
  <c r="P91" i="12"/>
  <c r="L91" i="12"/>
  <c r="J91" i="12"/>
  <c r="E91" i="12"/>
  <c r="H91" i="12" s="1"/>
  <c r="P90" i="12"/>
  <c r="L90" i="12"/>
  <c r="J90" i="12"/>
  <c r="N90" i="12" s="1"/>
  <c r="E90" i="12"/>
  <c r="O90" i="12" s="1"/>
  <c r="Q90" i="12" s="1"/>
  <c r="P89" i="12"/>
  <c r="L89" i="12"/>
  <c r="J89" i="12"/>
  <c r="O89" i="12" s="1"/>
  <c r="E89" i="12"/>
  <c r="H89" i="12" s="1"/>
  <c r="P88" i="12"/>
  <c r="L88" i="12"/>
  <c r="J88" i="12"/>
  <c r="E88" i="12"/>
  <c r="H88" i="12" s="1"/>
  <c r="P87" i="12"/>
  <c r="L87" i="12"/>
  <c r="J87" i="12"/>
  <c r="N87" i="12" s="1"/>
  <c r="E87" i="12"/>
  <c r="O87" i="12" s="1"/>
  <c r="P86" i="12"/>
  <c r="L86" i="12"/>
  <c r="J86" i="12"/>
  <c r="E86" i="12"/>
  <c r="H86" i="12" s="1"/>
  <c r="P85" i="12"/>
  <c r="L85" i="12"/>
  <c r="J85" i="12"/>
  <c r="E85" i="12"/>
  <c r="H85" i="12" s="1"/>
  <c r="P84" i="12"/>
  <c r="L84" i="12"/>
  <c r="J84" i="12"/>
  <c r="N84" i="12" s="1"/>
  <c r="E84" i="12"/>
  <c r="O84" i="12" s="1"/>
  <c r="Q84" i="12" s="1"/>
  <c r="P83" i="12"/>
  <c r="L83" i="12"/>
  <c r="J83" i="12"/>
  <c r="E83" i="12"/>
  <c r="H83" i="12" s="1"/>
  <c r="P82" i="12"/>
  <c r="L82" i="12"/>
  <c r="J82" i="12"/>
  <c r="N82" i="12" s="1"/>
  <c r="E82" i="12"/>
  <c r="H82" i="12" s="1"/>
  <c r="P81" i="12"/>
  <c r="L81" i="12"/>
  <c r="J81" i="12"/>
  <c r="N81" i="12" s="1"/>
  <c r="E81" i="12"/>
  <c r="O81" i="12" s="1"/>
  <c r="Q81" i="12" s="1"/>
  <c r="P80" i="12"/>
  <c r="L80" i="12"/>
  <c r="J80" i="12"/>
  <c r="E80" i="12"/>
  <c r="H80" i="12" s="1"/>
  <c r="P79" i="12"/>
  <c r="L79" i="12"/>
  <c r="J79" i="12"/>
  <c r="N79" i="12" s="1"/>
  <c r="E79" i="12"/>
  <c r="H79" i="12" s="1"/>
  <c r="P78" i="12"/>
  <c r="L78" i="12"/>
  <c r="J78" i="12"/>
  <c r="N78" i="12" s="1"/>
  <c r="E78" i="12"/>
  <c r="O78" i="12" s="1"/>
  <c r="Q78" i="12" s="1"/>
  <c r="P77" i="12"/>
  <c r="L77" i="12"/>
  <c r="J77" i="12"/>
  <c r="O77" i="12" s="1"/>
  <c r="E77" i="12"/>
  <c r="H77" i="12" s="1"/>
  <c r="P76" i="12"/>
  <c r="L76" i="12"/>
  <c r="J76" i="12"/>
  <c r="N76" i="12" s="1"/>
  <c r="E76" i="12"/>
  <c r="H76" i="12" s="1"/>
  <c r="P75" i="12"/>
  <c r="L75" i="12"/>
  <c r="J75" i="12"/>
  <c r="N75" i="12" s="1"/>
  <c r="E75" i="12"/>
  <c r="P74" i="12"/>
  <c r="L74" i="12"/>
  <c r="J74" i="12"/>
  <c r="E74" i="12"/>
  <c r="H74" i="12" s="1"/>
  <c r="P73" i="12"/>
  <c r="L73" i="12"/>
  <c r="J73" i="12"/>
  <c r="N73" i="12" s="1"/>
  <c r="E73" i="12"/>
  <c r="H73" i="12" s="1"/>
  <c r="P72" i="12"/>
  <c r="L72" i="12"/>
  <c r="J72" i="12"/>
  <c r="N72" i="12" s="1"/>
  <c r="E72" i="12"/>
  <c r="P71" i="12"/>
  <c r="L71" i="12"/>
  <c r="J71" i="12"/>
  <c r="E71" i="12"/>
  <c r="H71" i="12" s="1"/>
  <c r="P70" i="12"/>
  <c r="L70" i="12"/>
  <c r="J70" i="12"/>
  <c r="E70" i="12"/>
  <c r="H70" i="12" s="1"/>
  <c r="P69" i="12"/>
  <c r="L69" i="12"/>
  <c r="J69" i="12"/>
  <c r="N69" i="12" s="1"/>
  <c r="E69" i="12"/>
  <c r="P68" i="12"/>
  <c r="L68" i="12"/>
  <c r="J68" i="12"/>
  <c r="N68" i="12" s="1"/>
  <c r="E68" i="12"/>
  <c r="H68" i="12" s="1"/>
  <c r="P67" i="12"/>
  <c r="L67" i="12"/>
  <c r="J67" i="12"/>
  <c r="N67" i="12" s="1"/>
  <c r="E67" i="12"/>
  <c r="H67" i="12" s="1"/>
  <c r="P66" i="12"/>
  <c r="L66" i="12"/>
  <c r="J66" i="12"/>
  <c r="N66" i="12" s="1"/>
  <c r="E66" i="12"/>
  <c r="P65" i="12"/>
  <c r="L65" i="12"/>
  <c r="J65" i="12"/>
  <c r="E65" i="12"/>
  <c r="H65" i="12" s="1"/>
  <c r="P64" i="12"/>
  <c r="L64" i="12"/>
  <c r="J64" i="12"/>
  <c r="E64" i="12"/>
  <c r="H64" i="12" s="1"/>
  <c r="P63" i="12"/>
  <c r="L63" i="12"/>
  <c r="J63" i="12"/>
  <c r="N63" i="12" s="1"/>
  <c r="E63" i="12"/>
  <c r="P62" i="12"/>
  <c r="L62" i="12"/>
  <c r="J62" i="12"/>
  <c r="E62" i="12"/>
  <c r="H62" i="12" s="1"/>
  <c r="P61" i="12"/>
  <c r="L61" i="12"/>
  <c r="J61" i="12"/>
  <c r="N61" i="12" s="1"/>
  <c r="E61" i="12"/>
  <c r="H61" i="12" s="1"/>
  <c r="P60" i="12"/>
  <c r="L60" i="12"/>
  <c r="J60" i="12"/>
  <c r="N60" i="12" s="1"/>
  <c r="E60" i="12"/>
  <c r="P59" i="12"/>
  <c r="L59" i="12"/>
  <c r="J59" i="12"/>
  <c r="E59" i="12"/>
  <c r="H59" i="12" s="1"/>
  <c r="P58" i="12"/>
  <c r="L58" i="12"/>
  <c r="J58" i="12"/>
  <c r="N58" i="12" s="1"/>
  <c r="E58" i="12"/>
  <c r="H58" i="12" s="1"/>
  <c r="P57" i="12"/>
  <c r="L57" i="12"/>
  <c r="J57" i="12"/>
  <c r="N57" i="12" s="1"/>
  <c r="E57" i="12"/>
  <c r="O57" i="12" s="1"/>
  <c r="P56" i="12"/>
  <c r="L56" i="12"/>
  <c r="J56" i="12"/>
  <c r="N56" i="12" s="1"/>
  <c r="E56" i="12"/>
  <c r="H56" i="12" s="1"/>
  <c r="P55" i="12"/>
  <c r="L55" i="12"/>
  <c r="J55" i="12"/>
  <c r="N55" i="12" s="1"/>
  <c r="E55" i="12"/>
  <c r="H55" i="12" s="1"/>
  <c r="P54" i="12"/>
  <c r="L54" i="12"/>
  <c r="J54" i="12"/>
  <c r="N54" i="12" s="1"/>
  <c r="E54" i="12"/>
  <c r="P53" i="12"/>
  <c r="L53" i="12"/>
  <c r="J53" i="12"/>
  <c r="N53" i="12" s="1"/>
  <c r="E53" i="12"/>
  <c r="H53" i="12" s="1"/>
  <c r="P52" i="12"/>
  <c r="L52" i="12"/>
  <c r="J52" i="12"/>
  <c r="N52" i="12" s="1"/>
  <c r="E52" i="12"/>
  <c r="H52" i="12" s="1"/>
  <c r="P51" i="12"/>
  <c r="L51" i="12"/>
  <c r="J51" i="12"/>
  <c r="N51" i="12" s="1"/>
  <c r="E51" i="12"/>
  <c r="O51" i="12" s="1"/>
  <c r="P50" i="12"/>
  <c r="L50" i="12"/>
  <c r="J50" i="12"/>
  <c r="E50" i="12"/>
  <c r="H50" i="12" s="1"/>
  <c r="P49" i="12"/>
  <c r="L49" i="12"/>
  <c r="J49" i="12"/>
  <c r="E49" i="12"/>
  <c r="J45" i="12"/>
  <c r="F45" i="12"/>
  <c r="M44" i="12"/>
  <c r="I44" i="12"/>
  <c r="E44" i="12"/>
  <c r="G44" i="12" s="1"/>
  <c r="I43" i="12"/>
  <c r="E43" i="12"/>
  <c r="J39" i="12"/>
  <c r="F39" i="12"/>
  <c r="M38" i="12"/>
  <c r="M39" i="12" s="1"/>
  <c r="I38" i="12"/>
  <c r="E38" i="12"/>
  <c r="M37" i="12"/>
  <c r="I37" i="12"/>
  <c r="K37" i="12" s="1"/>
  <c r="E37" i="12"/>
  <c r="L37" i="12" s="1"/>
  <c r="N37" i="12" s="1"/>
  <c r="J33" i="12"/>
  <c r="F33" i="12"/>
  <c r="M32" i="12"/>
  <c r="I32" i="12"/>
  <c r="K32" i="12" s="1"/>
  <c r="E32" i="12"/>
  <c r="G32" i="12" s="1"/>
  <c r="M31" i="12"/>
  <c r="I31" i="12"/>
  <c r="K31" i="12" s="1"/>
  <c r="E31" i="12"/>
  <c r="L31" i="12" s="1"/>
  <c r="M30" i="12"/>
  <c r="I30" i="12"/>
  <c r="K30" i="12" s="1"/>
  <c r="E30" i="12"/>
  <c r="M29" i="12"/>
  <c r="I29" i="12"/>
  <c r="K29" i="12" s="1"/>
  <c r="E29" i="12"/>
  <c r="M28" i="12"/>
  <c r="I28" i="12"/>
  <c r="E28" i="12"/>
  <c r="G28" i="12" s="1"/>
  <c r="J24" i="12"/>
  <c r="F24" i="12"/>
  <c r="M23" i="12"/>
  <c r="I23" i="12"/>
  <c r="K23" i="12" s="1"/>
  <c r="E23" i="12"/>
  <c r="G23" i="12" s="1"/>
  <c r="M22" i="12"/>
  <c r="I22" i="12"/>
  <c r="E22" i="12"/>
  <c r="G22" i="12" s="1"/>
  <c r="O18" i="12"/>
  <c r="J18" i="12"/>
  <c r="F18" i="12"/>
  <c r="M17" i="12"/>
  <c r="I17" i="12"/>
  <c r="E17" i="12"/>
  <c r="G17" i="12" s="1"/>
  <c r="M16" i="12"/>
  <c r="I16" i="12"/>
  <c r="K16" i="12" s="1"/>
  <c r="E16" i="12"/>
  <c r="M15" i="12"/>
  <c r="I15" i="12"/>
  <c r="K15" i="12" s="1"/>
  <c r="E15" i="12"/>
  <c r="G15" i="12" s="1"/>
  <c r="M14" i="12"/>
  <c r="I14" i="12"/>
  <c r="K14" i="12" s="1"/>
  <c r="E14" i="12"/>
  <c r="M13" i="12"/>
  <c r="I13" i="12"/>
  <c r="K13" i="12" s="1"/>
  <c r="E13" i="12"/>
  <c r="M12" i="12"/>
  <c r="I12" i="12"/>
  <c r="K12" i="12" s="1"/>
  <c r="E12" i="12"/>
  <c r="G12" i="12" s="1"/>
  <c r="M11" i="12"/>
  <c r="I11" i="12"/>
  <c r="K11" i="12" s="1"/>
  <c r="E11" i="12"/>
  <c r="M10" i="12"/>
  <c r="I10" i="12"/>
  <c r="K10" i="12" s="1"/>
  <c r="E10" i="12"/>
  <c r="G10" i="12" s="1"/>
  <c r="M9" i="12"/>
  <c r="I9" i="12"/>
  <c r="K9" i="12" s="1"/>
  <c r="E9" i="12"/>
  <c r="M8" i="12"/>
  <c r="I8" i="12"/>
  <c r="K8" i="12" s="1"/>
  <c r="E8" i="12"/>
  <c r="M7" i="12"/>
  <c r="I7" i="12"/>
  <c r="E7" i="12"/>
  <c r="G7" i="12" s="1"/>
  <c r="M6" i="12"/>
  <c r="N6" i="12" s="1"/>
  <c r="I6" i="12"/>
  <c r="K6" i="12" s="1"/>
  <c r="E6" i="12"/>
  <c r="G6" i="12" s="1"/>
  <c r="M5" i="12"/>
  <c r="I5" i="12"/>
  <c r="E5" i="12"/>
  <c r="G5" i="12" s="1"/>
  <c r="L131" i="11"/>
  <c r="J129" i="11"/>
  <c r="F129" i="11"/>
  <c r="M128" i="11"/>
  <c r="I128" i="11"/>
  <c r="K128" i="11" s="1"/>
  <c r="E128" i="11"/>
  <c r="L128" i="11" s="1"/>
  <c r="N128" i="11" s="1"/>
  <c r="M127" i="11"/>
  <c r="I127" i="11"/>
  <c r="E127" i="11"/>
  <c r="G127" i="11" s="1"/>
  <c r="M126" i="11"/>
  <c r="I126" i="11"/>
  <c r="E126" i="11"/>
  <c r="G126" i="11" s="1"/>
  <c r="M125" i="11"/>
  <c r="I125" i="11"/>
  <c r="K125" i="11" s="1"/>
  <c r="E125" i="11"/>
  <c r="G125" i="11" s="1"/>
  <c r="M124" i="11"/>
  <c r="I124" i="11"/>
  <c r="K124" i="11" s="1"/>
  <c r="E124" i="11"/>
  <c r="L124" i="11" s="1"/>
  <c r="N124" i="11" s="1"/>
  <c r="M123" i="11"/>
  <c r="I123" i="11"/>
  <c r="K123" i="11" s="1"/>
  <c r="E123" i="11"/>
  <c r="M122" i="11"/>
  <c r="I122" i="11"/>
  <c r="K122" i="11" s="1"/>
  <c r="E122" i="11"/>
  <c r="L122" i="11" s="1"/>
  <c r="N122" i="11" s="1"/>
  <c r="M121" i="11"/>
  <c r="I121" i="11"/>
  <c r="K121" i="11" s="1"/>
  <c r="E121" i="11"/>
  <c r="G121" i="11" s="1"/>
  <c r="M120" i="11"/>
  <c r="I120" i="11"/>
  <c r="K120" i="11" s="1"/>
  <c r="E120" i="11"/>
  <c r="L120" i="11" s="1"/>
  <c r="N120" i="11" s="1"/>
  <c r="M119" i="11"/>
  <c r="I119" i="11"/>
  <c r="E119" i="11"/>
  <c r="G119" i="11" s="1"/>
  <c r="M118" i="11"/>
  <c r="N137" i="11" s="1"/>
  <c r="I118" i="11"/>
  <c r="K118" i="11" s="1"/>
  <c r="E118" i="11"/>
  <c r="G118" i="11" s="1"/>
  <c r="M117" i="11"/>
  <c r="I117" i="11"/>
  <c r="K117" i="11" s="1"/>
  <c r="E117" i="11"/>
  <c r="G117" i="11" s="1"/>
  <c r="M116" i="11"/>
  <c r="I116" i="11"/>
  <c r="K116" i="11" s="1"/>
  <c r="E116" i="11"/>
  <c r="G116" i="11" s="1"/>
  <c r="M115" i="11"/>
  <c r="I115" i="11"/>
  <c r="E115" i="11"/>
  <c r="G115" i="11" s="1"/>
  <c r="M114" i="11"/>
  <c r="I114" i="11"/>
  <c r="E114" i="11"/>
  <c r="G114" i="11" s="1"/>
  <c r="R110" i="11"/>
  <c r="M110" i="11"/>
  <c r="G110" i="11"/>
  <c r="P109" i="11"/>
  <c r="L109" i="11"/>
  <c r="J109" i="11"/>
  <c r="E109" i="11"/>
  <c r="H109" i="11" s="1"/>
  <c r="P108" i="11"/>
  <c r="L108" i="11"/>
  <c r="J108" i="11"/>
  <c r="N108" i="11" s="1"/>
  <c r="E108" i="11"/>
  <c r="H108" i="11" s="1"/>
  <c r="P107" i="11"/>
  <c r="L107" i="11"/>
  <c r="J107" i="11"/>
  <c r="N107" i="11" s="1"/>
  <c r="E107" i="11"/>
  <c r="H107" i="11" s="1"/>
  <c r="P106" i="11"/>
  <c r="L106" i="11"/>
  <c r="J106" i="11"/>
  <c r="E106" i="11"/>
  <c r="H106" i="11" s="1"/>
  <c r="P105" i="11"/>
  <c r="L105" i="11"/>
  <c r="J105" i="11"/>
  <c r="E105" i="11"/>
  <c r="H105" i="11" s="1"/>
  <c r="P104" i="11"/>
  <c r="L104" i="11"/>
  <c r="J104" i="11"/>
  <c r="N104" i="11" s="1"/>
  <c r="E104" i="11"/>
  <c r="H104" i="11" s="1"/>
  <c r="P103" i="11"/>
  <c r="L103" i="11"/>
  <c r="J103" i="11"/>
  <c r="E103" i="11"/>
  <c r="H103" i="11" s="1"/>
  <c r="P102" i="11"/>
  <c r="L102" i="11"/>
  <c r="J102" i="11"/>
  <c r="E102" i="11"/>
  <c r="H102" i="11" s="1"/>
  <c r="P101" i="11"/>
  <c r="L101" i="11"/>
  <c r="J101" i="11"/>
  <c r="N101" i="11" s="1"/>
  <c r="E101" i="11"/>
  <c r="H101" i="11" s="1"/>
  <c r="P100" i="11"/>
  <c r="L100" i="11"/>
  <c r="J100" i="11"/>
  <c r="E100" i="11"/>
  <c r="H100" i="11" s="1"/>
  <c r="P99" i="11"/>
  <c r="L99" i="11"/>
  <c r="J99" i="11"/>
  <c r="N99" i="11" s="1"/>
  <c r="E99" i="11"/>
  <c r="H99" i="11" s="1"/>
  <c r="P98" i="11"/>
  <c r="L98" i="11"/>
  <c r="J98" i="11"/>
  <c r="N98" i="11" s="1"/>
  <c r="E98" i="11"/>
  <c r="H98" i="11" s="1"/>
  <c r="P97" i="11"/>
  <c r="L97" i="11"/>
  <c r="J97" i="11"/>
  <c r="E97" i="11"/>
  <c r="H97" i="11" s="1"/>
  <c r="P96" i="11"/>
  <c r="L96" i="11"/>
  <c r="J96" i="11"/>
  <c r="O96" i="11" s="1"/>
  <c r="Q96" i="11" s="1"/>
  <c r="E96" i="11"/>
  <c r="H96" i="11" s="1"/>
  <c r="P95" i="11"/>
  <c r="L95" i="11"/>
  <c r="J95" i="11"/>
  <c r="N95" i="11" s="1"/>
  <c r="E95" i="11"/>
  <c r="H95" i="11" s="1"/>
  <c r="P94" i="11"/>
  <c r="L94" i="11"/>
  <c r="J94" i="11"/>
  <c r="E94" i="11"/>
  <c r="H94" i="11" s="1"/>
  <c r="P93" i="11"/>
  <c r="L93" i="11"/>
  <c r="J93" i="11"/>
  <c r="E93" i="11"/>
  <c r="H93" i="11" s="1"/>
  <c r="P92" i="11"/>
  <c r="L92" i="11"/>
  <c r="J92" i="11"/>
  <c r="N92" i="11" s="1"/>
  <c r="E92" i="11"/>
  <c r="H92" i="11" s="1"/>
  <c r="P91" i="11"/>
  <c r="L91" i="11"/>
  <c r="J91" i="11"/>
  <c r="E91" i="11"/>
  <c r="H91" i="11" s="1"/>
  <c r="P90" i="11"/>
  <c r="L90" i="11"/>
  <c r="J90" i="11"/>
  <c r="N90" i="11" s="1"/>
  <c r="E90" i="11"/>
  <c r="H90" i="11" s="1"/>
  <c r="P89" i="11"/>
  <c r="L89" i="11"/>
  <c r="J89" i="11"/>
  <c r="N89" i="11" s="1"/>
  <c r="E89" i="11"/>
  <c r="H89" i="11" s="1"/>
  <c r="P88" i="11"/>
  <c r="L88" i="11"/>
  <c r="J88" i="11"/>
  <c r="E88" i="11"/>
  <c r="H88" i="11" s="1"/>
  <c r="P87" i="11"/>
  <c r="L87" i="11"/>
  <c r="J87" i="11"/>
  <c r="E87" i="11"/>
  <c r="H87" i="11" s="1"/>
  <c r="P86" i="11"/>
  <c r="L86" i="11"/>
  <c r="J86" i="11"/>
  <c r="N86" i="11" s="1"/>
  <c r="E86" i="11"/>
  <c r="H86" i="11" s="1"/>
  <c r="P85" i="11"/>
  <c r="L85" i="11"/>
  <c r="J85" i="11"/>
  <c r="E85" i="11"/>
  <c r="H85" i="11" s="1"/>
  <c r="P84" i="11"/>
  <c r="L84" i="11"/>
  <c r="J84" i="11"/>
  <c r="E84" i="11"/>
  <c r="H84" i="11" s="1"/>
  <c r="P83" i="11"/>
  <c r="L83" i="11"/>
  <c r="J83" i="11"/>
  <c r="N83" i="11" s="1"/>
  <c r="E83" i="11"/>
  <c r="H83" i="11" s="1"/>
  <c r="P82" i="11"/>
  <c r="L82" i="11"/>
  <c r="J82" i="11"/>
  <c r="E82" i="11"/>
  <c r="H82" i="11" s="1"/>
  <c r="P81" i="11"/>
  <c r="L81" i="11"/>
  <c r="J81" i="11"/>
  <c r="E81" i="11"/>
  <c r="H81" i="11" s="1"/>
  <c r="P80" i="11"/>
  <c r="L80" i="11"/>
  <c r="J80" i="11"/>
  <c r="N80" i="11" s="1"/>
  <c r="E80" i="11"/>
  <c r="H80" i="11" s="1"/>
  <c r="P79" i="11"/>
  <c r="L79" i="11"/>
  <c r="J79" i="11"/>
  <c r="E79" i="11"/>
  <c r="H79" i="11" s="1"/>
  <c r="P78" i="11"/>
  <c r="L78" i="11"/>
  <c r="J78" i="11"/>
  <c r="N78" i="11" s="1"/>
  <c r="E78" i="11"/>
  <c r="H78" i="11" s="1"/>
  <c r="P77" i="11"/>
  <c r="L77" i="11"/>
  <c r="J77" i="11"/>
  <c r="N77" i="11" s="1"/>
  <c r="E77" i="11"/>
  <c r="H77" i="11" s="1"/>
  <c r="P76" i="11"/>
  <c r="L76" i="11"/>
  <c r="J76" i="11"/>
  <c r="E76" i="11"/>
  <c r="H76" i="11" s="1"/>
  <c r="P75" i="11"/>
  <c r="L75" i="11"/>
  <c r="J75" i="11"/>
  <c r="E75" i="11"/>
  <c r="H75" i="11" s="1"/>
  <c r="P74" i="11"/>
  <c r="L74" i="11"/>
  <c r="J74" i="11"/>
  <c r="N74" i="11" s="1"/>
  <c r="E74" i="11"/>
  <c r="H74" i="11" s="1"/>
  <c r="P73" i="11"/>
  <c r="L73" i="11"/>
  <c r="J73" i="11"/>
  <c r="E73" i="11"/>
  <c r="H73" i="11" s="1"/>
  <c r="P72" i="11"/>
  <c r="L72" i="11"/>
  <c r="J72" i="11"/>
  <c r="E72" i="11"/>
  <c r="H72" i="11" s="1"/>
  <c r="P71" i="11"/>
  <c r="L71" i="11"/>
  <c r="J71" i="11"/>
  <c r="N71" i="11" s="1"/>
  <c r="E71" i="11"/>
  <c r="H71" i="11" s="1"/>
  <c r="P70" i="11"/>
  <c r="L70" i="11"/>
  <c r="J70" i="11"/>
  <c r="E70" i="11"/>
  <c r="H70" i="11" s="1"/>
  <c r="P69" i="11"/>
  <c r="L69" i="11"/>
  <c r="J69" i="11"/>
  <c r="N69" i="11" s="1"/>
  <c r="E69" i="11"/>
  <c r="H69" i="11" s="1"/>
  <c r="P68" i="11"/>
  <c r="L68" i="11"/>
  <c r="J68" i="11"/>
  <c r="N68" i="11" s="1"/>
  <c r="E68" i="11"/>
  <c r="H68" i="11" s="1"/>
  <c r="P67" i="11"/>
  <c r="L67" i="11"/>
  <c r="J67" i="11"/>
  <c r="E67" i="11"/>
  <c r="H67" i="11" s="1"/>
  <c r="P66" i="11"/>
  <c r="L66" i="11"/>
  <c r="J66" i="11"/>
  <c r="E66" i="11"/>
  <c r="H66" i="11" s="1"/>
  <c r="P65" i="11"/>
  <c r="L65" i="11"/>
  <c r="J65" i="11"/>
  <c r="N65" i="11" s="1"/>
  <c r="E65" i="11"/>
  <c r="H65" i="11" s="1"/>
  <c r="P64" i="11"/>
  <c r="L64" i="11"/>
  <c r="J64" i="11"/>
  <c r="E64" i="11"/>
  <c r="H64" i="11" s="1"/>
  <c r="P63" i="11"/>
  <c r="L63" i="11"/>
  <c r="J63" i="11"/>
  <c r="E63" i="11"/>
  <c r="H63" i="11" s="1"/>
  <c r="P62" i="11"/>
  <c r="L62" i="11"/>
  <c r="J62" i="11"/>
  <c r="N62" i="11" s="1"/>
  <c r="E62" i="11"/>
  <c r="H62" i="11" s="1"/>
  <c r="P61" i="11"/>
  <c r="L61" i="11"/>
  <c r="J61" i="11"/>
  <c r="E61" i="11"/>
  <c r="H61" i="11" s="1"/>
  <c r="P60" i="11"/>
  <c r="L60" i="11"/>
  <c r="J60" i="11"/>
  <c r="E60" i="11"/>
  <c r="H60" i="11" s="1"/>
  <c r="P59" i="11"/>
  <c r="L59" i="11"/>
  <c r="J59" i="11"/>
  <c r="N59" i="11" s="1"/>
  <c r="E59" i="11"/>
  <c r="H59" i="11" s="1"/>
  <c r="P58" i="11"/>
  <c r="L58" i="11"/>
  <c r="J58" i="11"/>
  <c r="E58" i="11"/>
  <c r="H58" i="11" s="1"/>
  <c r="P57" i="11"/>
  <c r="L57" i="11"/>
  <c r="J57" i="11"/>
  <c r="E57" i="11"/>
  <c r="H57" i="11" s="1"/>
  <c r="P56" i="11"/>
  <c r="L56" i="11"/>
  <c r="J56" i="11"/>
  <c r="N56" i="11" s="1"/>
  <c r="E56" i="11"/>
  <c r="H56" i="11" s="1"/>
  <c r="P55" i="11"/>
  <c r="L55" i="11"/>
  <c r="J55" i="11"/>
  <c r="E55" i="11"/>
  <c r="H55" i="11" s="1"/>
  <c r="P54" i="11"/>
  <c r="L54" i="11"/>
  <c r="J54" i="11"/>
  <c r="E54" i="11"/>
  <c r="H54" i="11" s="1"/>
  <c r="P53" i="11"/>
  <c r="L53" i="11"/>
  <c r="J53" i="11"/>
  <c r="N53" i="11" s="1"/>
  <c r="E53" i="11"/>
  <c r="H53" i="11" s="1"/>
  <c r="P52" i="11"/>
  <c r="L52" i="11"/>
  <c r="J52" i="11"/>
  <c r="E52" i="11"/>
  <c r="H52" i="11" s="1"/>
  <c r="P51" i="11"/>
  <c r="L51" i="11"/>
  <c r="J51" i="11"/>
  <c r="E51" i="11"/>
  <c r="H51" i="11" s="1"/>
  <c r="P50" i="11"/>
  <c r="L50" i="11"/>
  <c r="J50" i="11"/>
  <c r="N50" i="11" s="1"/>
  <c r="E50" i="11"/>
  <c r="P49" i="11"/>
  <c r="L49" i="11"/>
  <c r="J49" i="11"/>
  <c r="E49" i="11"/>
  <c r="H49" i="11" s="1"/>
  <c r="J45" i="11"/>
  <c r="F45" i="11"/>
  <c r="M44" i="11"/>
  <c r="I44" i="11"/>
  <c r="K44" i="11" s="1"/>
  <c r="E44" i="11"/>
  <c r="M43" i="11"/>
  <c r="I43" i="11"/>
  <c r="K43" i="11" s="1"/>
  <c r="E43" i="11"/>
  <c r="J39" i="11"/>
  <c r="F39" i="11"/>
  <c r="M38" i="11"/>
  <c r="I38" i="11"/>
  <c r="E38" i="11"/>
  <c r="G38" i="11" s="1"/>
  <c r="M37" i="11"/>
  <c r="I37" i="11"/>
  <c r="K37" i="11" s="1"/>
  <c r="E37" i="11"/>
  <c r="J33" i="11"/>
  <c r="F33" i="11"/>
  <c r="M32" i="11"/>
  <c r="I32" i="11"/>
  <c r="E32" i="11"/>
  <c r="G32" i="11" s="1"/>
  <c r="M31" i="11"/>
  <c r="I31" i="11"/>
  <c r="E31" i="11"/>
  <c r="G31" i="11" s="1"/>
  <c r="M30" i="11"/>
  <c r="I30" i="11"/>
  <c r="K30" i="11" s="1"/>
  <c r="E30" i="11"/>
  <c r="G30" i="11" s="1"/>
  <c r="M29" i="11"/>
  <c r="I29" i="11"/>
  <c r="K29" i="11" s="1"/>
  <c r="E29" i="11"/>
  <c r="G29" i="11" s="1"/>
  <c r="M28" i="11"/>
  <c r="I28" i="11"/>
  <c r="K28" i="11" s="1"/>
  <c r="E28" i="11"/>
  <c r="J24" i="11"/>
  <c r="F24" i="11"/>
  <c r="M23" i="11"/>
  <c r="I23" i="11"/>
  <c r="K23" i="11" s="1"/>
  <c r="E23" i="11"/>
  <c r="G23" i="11" s="1"/>
  <c r="M22" i="11"/>
  <c r="I22" i="11"/>
  <c r="E22" i="11"/>
  <c r="O18" i="11"/>
  <c r="J18" i="11"/>
  <c r="F18" i="11"/>
  <c r="M17" i="11"/>
  <c r="I17" i="11"/>
  <c r="K17" i="11" s="1"/>
  <c r="E17" i="11"/>
  <c r="M16" i="11"/>
  <c r="I16" i="11"/>
  <c r="E16" i="11"/>
  <c r="G16" i="11" s="1"/>
  <c r="M15" i="11"/>
  <c r="I15" i="11"/>
  <c r="K15" i="11" s="1"/>
  <c r="E15" i="11"/>
  <c r="M14" i="11"/>
  <c r="I14" i="11"/>
  <c r="K14" i="11" s="1"/>
  <c r="E14" i="11"/>
  <c r="G14" i="11" s="1"/>
  <c r="M13" i="11"/>
  <c r="I13" i="11"/>
  <c r="K13" i="11" s="1"/>
  <c r="E13" i="11"/>
  <c r="L13" i="11" s="1"/>
  <c r="M12" i="11"/>
  <c r="I12" i="11"/>
  <c r="K12" i="11" s="1"/>
  <c r="E12" i="11"/>
  <c r="M11" i="11"/>
  <c r="I11" i="11"/>
  <c r="K11" i="11" s="1"/>
  <c r="E11" i="11"/>
  <c r="M10" i="11"/>
  <c r="I10" i="11"/>
  <c r="K10" i="11" s="1"/>
  <c r="E10" i="11"/>
  <c r="M9" i="11"/>
  <c r="I9" i="11"/>
  <c r="K9" i="11" s="1"/>
  <c r="E9" i="11"/>
  <c r="L9" i="11" s="1"/>
  <c r="M8" i="11"/>
  <c r="I8" i="11"/>
  <c r="K8" i="11" s="1"/>
  <c r="E8" i="11"/>
  <c r="G8" i="11" s="1"/>
  <c r="M7" i="11"/>
  <c r="I7" i="11"/>
  <c r="K7" i="11" s="1"/>
  <c r="E7" i="11"/>
  <c r="L7" i="11" s="1"/>
  <c r="M6" i="11"/>
  <c r="N6" i="11" s="1"/>
  <c r="I6" i="11"/>
  <c r="K6" i="11" s="1"/>
  <c r="E6" i="11"/>
  <c r="G6" i="11" s="1"/>
  <c r="M5" i="11"/>
  <c r="I5" i="11"/>
  <c r="K5" i="11" s="1"/>
  <c r="E5" i="11"/>
  <c r="L131" i="10"/>
  <c r="J129" i="10"/>
  <c r="F129" i="10"/>
  <c r="M128" i="10"/>
  <c r="I128" i="10"/>
  <c r="K128" i="10" s="1"/>
  <c r="E128" i="10"/>
  <c r="M127" i="10"/>
  <c r="I127" i="10"/>
  <c r="K127" i="10" s="1"/>
  <c r="E127" i="10"/>
  <c r="M126" i="10"/>
  <c r="I126" i="10"/>
  <c r="K126" i="10" s="1"/>
  <c r="G126" i="10"/>
  <c r="E126" i="10"/>
  <c r="M125" i="10"/>
  <c r="I125" i="10"/>
  <c r="E125" i="10"/>
  <c r="G125" i="10" s="1"/>
  <c r="M124" i="10"/>
  <c r="I124" i="10"/>
  <c r="K124" i="10" s="1"/>
  <c r="E124" i="10"/>
  <c r="G124" i="10" s="1"/>
  <c r="M123" i="10"/>
  <c r="I123" i="10"/>
  <c r="K123" i="10" s="1"/>
  <c r="E123" i="10"/>
  <c r="G123" i="10" s="1"/>
  <c r="M122" i="10"/>
  <c r="I122" i="10"/>
  <c r="K122" i="10" s="1"/>
  <c r="E122" i="10"/>
  <c r="G122" i="10" s="1"/>
  <c r="M121" i="10"/>
  <c r="I121" i="10"/>
  <c r="K121" i="10" s="1"/>
  <c r="E121" i="10"/>
  <c r="L121" i="10" s="1"/>
  <c r="N121" i="10" s="1"/>
  <c r="M120" i="10"/>
  <c r="N137" i="10" s="1"/>
  <c r="I120" i="10"/>
  <c r="E120" i="10"/>
  <c r="G120" i="10" s="1"/>
  <c r="M119" i="10"/>
  <c r="I119" i="10"/>
  <c r="K119" i="10" s="1"/>
  <c r="E119" i="10"/>
  <c r="M118" i="10"/>
  <c r="I118" i="10"/>
  <c r="K118" i="10" s="1"/>
  <c r="E118" i="10"/>
  <c r="G118" i="10" s="1"/>
  <c r="M117" i="10"/>
  <c r="I117" i="10"/>
  <c r="K117" i="10" s="1"/>
  <c r="E117" i="10"/>
  <c r="G117" i="10" s="1"/>
  <c r="M116" i="10"/>
  <c r="I116" i="10"/>
  <c r="K116" i="10" s="1"/>
  <c r="E116" i="10"/>
  <c r="M115" i="10"/>
  <c r="M129" i="10" s="1"/>
  <c r="O131" i="10" s="1"/>
  <c r="N138" i="10" s="1"/>
  <c r="I115" i="10"/>
  <c r="K115" i="10" s="1"/>
  <c r="E115" i="10"/>
  <c r="L115" i="10" s="1"/>
  <c r="N115" i="10" s="1"/>
  <c r="M114" i="10"/>
  <c r="I114" i="10"/>
  <c r="K114" i="10" s="1"/>
  <c r="E114" i="10"/>
  <c r="G114" i="10" s="1"/>
  <c r="R110" i="10"/>
  <c r="M110" i="10"/>
  <c r="G110" i="10"/>
  <c r="P109" i="10"/>
  <c r="L109" i="10"/>
  <c r="J109" i="10"/>
  <c r="N109" i="10" s="1"/>
  <c r="E109" i="10"/>
  <c r="H109" i="10" s="1"/>
  <c r="P108" i="10"/>
  <c r="L108" i="10"/>
  <c r="J108" i="10"/>
  <c r="E108" i="10"/>
  <c r="H108" i="10" s="1"/>
  <c r="P107" i="10"/>
  <c r="L107" i="10"/>
  <c r="J107" i="10"/>
  <c r="N107" i="10" s="1"/>
  <c r="E107" i="10"/>
  <c r="H107" i="10" s="1"/>
  <c r="P106" i="10"/>
  <c r="L106" i="10"/>
  <c r="J106" i="10"/>
  <c r="N106" i="10" s="1"/>
  <c r="E106" i="10"/>
  <c r="H106" i="10" s="1"/>
  <c r="P105" i="10"/>
  <c r="L105" i="10"/>
  <c r="J105" i="10"/>
  <c r="E105" i="10"/>
  <c r="H105" i="10" s="1"/>
  <c r="P104" i="10"/>
  <c r="L104" i="10"/>
  <c r="J104" i="10"/>
  <c r="N104" i="10" s="1"/>
  <c r="E104" i="10"/>
  <c r="H104" i="10" s="1"/>
  <c r="P103" i="10"/>
  <c r="L103" i="10"/>
  <c r="J103" i="10"/>
  <c r="N103" i="10" s="1"/>
  <c r="E103" i="10"/>
  <c r="H103" i="10" s="1"/>
  <c r="P102" i="10"/>
  <c r="L102" i="10"/>
  <c r="J102" i="10"/>
  <c r="E102" i="10"/>
  <c r="H102" i="10" s="1"/>
  <c r="P101" i="10"/>
  <c r="L101" i="10"/>
  <c r="J101" i="10"/>
  <c r="N101" i="10" s="1"/>
  <c r="E101" i="10"/>
  <c r="H101" i="10" s="1"/>
  <c r="P100" i="10"/>
  <c r="L100" i="10"/>
  <c r="J100" i="10"/>
  <c r="N100" i="10" s="1"/>
  <c r="E100" i="10"/>
  <c r="H100" i="10" s="1"/>
  <c r="P99" i="10"/>
  <c r="L99" i="10"/>
  <c r="J99" i="10"/>
  <c r="E99" i="10"/>
  <c r="H99" i="10" s="1"/>
  <c r="P98" i="10"/>
  <c r="L98" i="10"/>
  <c r="J98" i="10"/>
  <c r="N98" i="10" s="1"/>
  <c r="E98" i="10"/>
  <c r="H98" i="10" s="1"/>
  <c r="P97" i="10"/>
  <c r="L97" i="10"/>
  <c r="J97" i="10"/>
  <c r="N97" i="10" s="1"/>
  <c r="E97" i="10"/>
  <c r="H97" i="10" s="1"/>
  <c r="P96" i="10"/>
  <c r="L96" i="10"/>
  <c r="J96" i="10"/>
  <c r="E96" i="10"/>
  <c r="H96" i="10" s="1"/>
  <c r="P95" i="10"/>
  <c r="L95" i="10"/>
  <c r="J95" i="10"/>
  <c r="N95" i="10" s="1"/>
  <c r="E95" i="10"/>
  <c r="H95" i="10" s="1"/>
  <c r="P94" i="10"/>
  <c r="L94" i="10"/>
  <c r="J94" i="10"/>
  <c r="N94" i="10" s="1"/>
  <c r="E94" i="10"/>
  <c r="H94" i="10" s="1"/>
  <c r="P93" i="10"/>
  <c r="L93" i="10"/>
  <c r="J93" i="10"/>
  <c r="E93" i="10"/>
  <c r="H93" i="10" s="1"/>
  <c r="P92" i="10"/>
  <c r="L92" i="10"/>
  <c r="J92" i="10"/>
  <c r="N92" i="10" s="1"/>
  <c r="E92" i="10"/>
  <c r="H92" i="10" s="1"/>
  <c r="P91" i="10"/>
  <c r="L91" i="10"/>
  <c r="J91" i="10"/>
  <c r="N91" i="10" s="1"/>
  <c r="E91" i="10"/>
  <c r="H91" i="10" s="1"/>
  <c r="P90" i="10"/>
  <c r="L90" i="10"/>
  <c r="J90" i="10"/>
  <c r="E90" i="10"/>
  <c r="H90" i="10" s="1"/>
  <c r="P89" i="10"/>
  <c r="L89" i="10"/>
  <c r="J89" i="10"/>
  <c r="N89" i="10" s="1"/>
  <c r="E89" i="10"/>
  <c r="H89" i="10" s="1"/>
  <c r="P88" i="10"/>
  <c r="L88" i="10"/>
  <c r="J88" i="10"/>
  <c r="N88" i="10" s="1"/>
  <c r="E88" i="10"/>
  <c r="H88" i="10" s="1"/>
  <c r="P87" i="10"/>
  <c r="L87" i="10"/>
  <c r="J87" i="10"/>
  <c r="E87" i="10"/>
  <c r="H87" i="10" s="1"/>
  <c r="P86" i="10"/>
  <c r="L86" i="10"/>
  <c r="J86" i="10"/>
  <c r="N86" i="10" s="1"/>
  <c r="E86" i="10"/>
  <c r="H86" i="10" s="1"/>
  <c r="P85" i="10"/>
  <c r="L85" i="10"/>
  <c r="J85" i="10"/>
  <c r="N85" i="10" s="1"/>
  <c r="E85" i="10"/>
  <c r="H85" i="10" s="1"/>
  <c r="P84" i="10"/>
  <c r="L84" i="10"/>
  <c r="J84" i="10"/>
  <c r="E84" i="10"/>
  <c r="H84" i="10" s="1"/>
  <c r="P83" i="10"/>
  <c r="L83" i="10"/>
  <c r="J83" i="10"/>
  <c r="N83" i="10" s="1"/>
  <c r="E83" i="10"/>
  <c r="H83" i="10" s="1"/>
  <c r="P82" i="10"/>
  <c r="L82" i="10"/>
  <c r="J82" i="10"/>
  <c r="N82" i="10" s="1"/>
  <c r="E82" i="10"/>
  <c r="H82" i="10" s="1"/>
  <c r="P81" i="10"/>
  <c r="L81" i="10"/>
  <c r="J81" i="10"/>
  <c r="E81" i="10"/>
  <c r="H81" i="10" s="1"/>
  <c r="P80" i="10"/>
  <c r="L80" i="10"/>
  <c r="J80" i="10"/>
  <c r="N80" i="10" s="1"/>
  <c r="E80" i="10"/>
  <c r="H80" i="10" s="1"/>
  <c r="P79" i="10"/>
  <c r="L79" i="10"/>
  <c r="J79" i="10"/>
  <c r="N79" i="10" s="1"/>
  <c r="E79" i="10"/>
  <c r="H79" i="10" s="1"/>
  <c r="P78" i="10"/>
  <c r="L78" i="10"/>
  <c r="J78" i="10"/>
  <c r="E78" i="10"/>
  <c r="H78" i="10" s="1"/>
  <c r="P77" i="10"/>
  <c r="L77" i="10"/>
  <c r="J77" i="10"/>
  <c r="N77" i="10" s="1"/>
  <c r="E77" i="10"/>
  <c r="H77" i="10" s="1"/>
  <c r="P76" i="10"/>
  <c r="L76" i="10"/>
  <c r="J76" i="10"/>
  <c r="N76" i="10" s="1"/>
  <c r="E76" i="10"/>
  <c r="H76" i="10" s="1"/>
  <c r="P75" i="10"/>
  <c r="L75" i="10"/>
  <c r="J75" i="10"/>
  <c r="E75" i="10"/>
  <c r="H75" i="10" s="1"/>
  <c r="P74" i="10"/>
  <c r="L74" i="10"/>
  <c r="J74" i="10"/>
  <c r="N74" i="10" s="1"/>
  <c r="E74" i="10"/>
  <c r="H74" i="10" s="1"/>
  <c r="P73" i="10"/>
  <c r="L73" i="10"/>
  <c r="J73" i="10"/>
  <c r="N73" i="10" s="1"/>
  <c r="E73" i="10"/>
  <c r="H73" i="10" s="1"/>
  <c r="P72" i="10"/>
  <c r="L72" i="10"/>
  <c r="J72" i="10"/>
  <c r="E72" i="10"/>
  <c r="H72" i="10" s="1"/>
  <c r="P71" i="10"/>
  <c r="L71" i="10"/>
  <c r="J71" i="10"/>
  <c r="N71" i="10" s="1"/>
  <c r="E71" i="10"/>
  <c r="H71" i="10" s="1"/>
  <c r="P70" i="10"/>
  <c r="L70" i="10"/>
  <c r="J70" i="10"/>
  <c r="N70" i="10" s="1"/>
  <c r="E70" i="10"/>
  <c r="H70" i="10" s="1"/>
  <c r="P69" i="10"/>
  <c r="L69" i="10"/>
  <c r="J69" i="10"/>
  <c r="E69" i="10"/>
  <c r="H69" i="10" s="1"/>
  <c r="P68" i="10"/>
  <c r="L68" i="10"/>
  <c r="J68" i="10"/>
  <c r="N68" i="10" s="1"/>
  <c r="E68" i="10"/>
  <c r="O68" i="10" s="1"/>
  <c r="P67" i="10"/>
  <c r="L67" i="10"/>
  <c r="J67" i="10"/>
  <c r="N67" i="10" s="1"/>
  <c r="E67" i="10"/>
  <c r="H67" i="10" s="1"/>
  <c r="P66" i="10"/>
  <c r="L66" i="10"/>
  <c r="J66" i="10"/>
  <c r="E66" i="10"/>
  <c r="H66" i="10" s="1"/>
  <c r="P65" i="10"/>
  <c r="L65" i="10"/>
  <c r="J65" i="10"/>
  <c r="N65" i="10" s="1"/>
  <c r="E65" i="10"/>
  <c r="H65" i="10" s="1"/>
  <c r="P64" i="10"/>
  <c r="L64" i="10"/>
  <c r="J64" i="10"/>
  <c r="N64" i="10" s="1"/>
  <c r="E64" i="10"/>
  <c r="H64" i="10" s="1"/>
  <c r="P63" i="10"/>
  <c r="L63" i="10"/>
  <c r="J63" i="10"/>
  <c r="E63" i="10"/>
  <c r="H63" i="10" s="1"/>
  <c r="P62" i="10"/>
  <c r="L62" i="10"/>
  <c r="J62" i="10"/>
  <c r="N62" i="10" s="1"/>
  <c r="E62" i="10"/>
  <c r="H62" i="10" s="1"/>
  <c r="P61" i="10"/>
  <c r="L61" i="10"/>
  <c r="J61" i="10"/>
  <c r="N61" i="10" s="1"/>
  <c r="E61" i="10"/>
  <c r="H61" i="10" s="1"/>
  <c r="P60" i="10"/>
  <c r="L60" i="10"/>
  <c r="J60" i="10"/>
  <c r="N60" i="10" s="1"/>
  <c r="E60" i="10"/>
  <c r="H60" i="10" s="1"/>
  <c r="P59" i="10"/>
  <c r="L59" i="10"/>
  <c r="J59" i="10"/>
  <c r="N59" i="10" s="1"/>
  <c r="E59" i="10"/>
  <c r="P58" i="10"/>
  <c r="L58" i="10"/>
  <c r="J58" i="10"/>
  <c r="N58" i="10" s="1"/>
  <c r="E58" i="10"/>
  <c r="H58" i="10" s="1"/>
  <c r="P57" i="10"/>
  <c r="L57" i="10"/>
  <c r="J57" i="10"/>
  <c r="N57" i="10" s="1"/>
  <c r="E57" i="10"/>
  <c r="H57" i="10" s="1"/>
  <c r="P56" i="10"/>
  <c r="L56" i="10"/>
  <c r="J56" i="10"/>
  <c r="N56" i="10" s="1"/>
  <c r="E56" i="10"/>
  <c r="H56" i="10" s="1"/>
  <c r="P55" i="10"/>
  <c r="L55" i="10"/>
  <c r="J55" i="10"/>
  <c r="N55" i="10" s="1"/>
  <c r="E55" i="10"/>
  <c r="H55" i="10" s="1"/>
  <c r="P54" i="10"/>
  <c r="L54" i="10"/>
  <c r="J54" i="10"/>
  <c r="E54" i="10"/>
  <c r="H54" i="10" s="1"/>
  <c r="P53" i="10"/>
  <c r="L53" i="10"/>
  <c r="J53" i="10"/>
  <c r="N53" i="10" s="1"/>
  <c r="E53" i="10"/>
  <c r="H53" i="10" s="1"/>
  <c r="P52" i="10"/>
  <c r="L52" i="10"/>
  <c r="J52" i="10"/>
  <c r="N52" i="10" s="1"/>
  <c r="E52" i="10"/>
  <c r="H52" i="10" s="1"/>
  <c r="P51" i="10"/>
  <c r="L51" i="10"/>
  <c r="J51" i="10"/>
  <c r="N51" i="10" s="1"/>
  <c r="E51" i="10"/>
  <c r="H51" i="10" s="1"/>
  <c r="P50" i="10"/>
  <c r="L50" i="10"/>
  <c r="J50" i="10"/>
  <c r="N50" i="10" s="1"/>
  <c r="E50" i="10"/>
  <c r="O50" i="10" s="1"/>
  <c r="P49" i="10"/>
  <c r="L49" i="10"/>
  <c r="J49" i="10"/>
  <c r="E49" i="10"/>
  <c r="H49" i="10" s="1"/>
  <c r="J45" i="10"/>
  <c r="F45" i="10"/>
  <c r="M44" i="10"/>
  <c r="I44" i="10"/>
  <c r="K44" i="10" s="1"/>
  <c r="E44" i="10"/>
  <c r="G44" i="10" s="1"/>
  <c r="M43" i="10"/>
  <c r="M45" i="10" s="1"/>
  <c r="I43" i="10"/>
  <c r="E43" i="10"/>
  <c r="J39" i="10"/>
  <c r="F39" i="10"/>
  <c r="M38" i="10"/>
  <c r="I38" i="10"/>
  <c r="E38" i="10"/>
  <c r="G38" i="10" s="1"/>
  <c r="M37" i="10"/>
  <c r="I37" i="10"/>
  <c r="E37" i="10"/>
  <c r="J33" i="10"/>
  <c r="F33" i="10"/>
  <c r="M32" i="10"/>
  <c r="I32" i="10"/>
  <c r="K32" i="10" s="1"/>
  <c r="E32" i="10"/>
  <c r="G32" i="10" s="1"/>
  <c r="M31" i="10"/>
  <c r="I31" i="10"/>
  <c r="K31" i="10" s="1"/>
  <c r="E31" i="10"/>
  <c r="G31" i="10" s="1"/>
  <c r="M30" i="10"/>
  <c r="I30" i="10"/>
  <c r="K30" i="10" s="1"/>
  <c r="E30" i="10"/>
  <c r="G30" i="10" s="1"/>
  <c r="M29" i="10"/>
  <c r="I29" i="10"/>
  <c r="E29" i="10"/>
  <c r="G29" i="10" s="1"/>
  <c r="M28" i="10"/>
  <c r="I28" i="10"/>
  <c r="K28" i="10" s="1"/>
  <c r="E28" i="10"/>
  <c r="G28" i="10" s="1"/>
  <c r="J24" i="10"/>
  <c r="F24" i="10"/>
  <c r="M23" i="10"/>
  <c r="I23" i="10"/>
  <c r="K23" i="10" s="1"/>
  <c r="E23" i="10"/>
  <c r="G23" i="10" s="1"/>
  <c r="M22" i="10"/>
  <c r="I22" i="10"/>
  <c r="E22" i="10"/>
  <c r="O18" i="10"/>
  <c r="J18" i="10"/>
  <c r="F18" i="10"/>
  <c r="M17" i="10"/>
  <c r="I17" i="10"/>
  <c r="K17" i="10" s="1"/>
  <c r="E17" i="10"/>
  <c r="L17" i="10" s="1"/>
  <c r="M16" i="10"/>
  <c r="I16" i="10"/>
  <c r="K16" i="10" s="1"/>
  <c r="E16" i="10"/>
  <c r="L16" i="10" s="1"/>
  <c r="M15" i="10"/>
  <c r="I15" i="10"/>
  <c r="K15" i="10" s="1"/>
  <c r="E15" i="10"/>
  <c r="M14" i="10"/>
  <c r="I14" i="10"/>
  <c r="E14" i="10"/>
  <c r="G14" i="10" s="1"/>
  <c r="M13" i="10"/>
  <c r="I13" i="10"/>
  <c r="E13" i="10"/>
  <c r="G13" i="10" s="1"/>
  <c r="M12" i="10"/>
  <c r="I12" i="10"/>
  <c r="E12" i="10"/>
  <c r="G12" i="10" s="1"/>
  <c r="M11" i="10"/>
  <c r="I11" i="10"/>
  <c r="K11" i="10" s="1"/>
  <c r="E11" i="10"/>
  <c r="G11" i="10" s="1"/>
  <c r="M10" i="10"/>
  <c r="I10" i="10"/>
  <c r="K10" i="10" s="1"/>
  <c r="E10" i="10"/>
  <c r="G10" i="10" s="1"/>
  <c r="M9" i="10"/>
  <c r="I9" i="10"/>
  <c r="E9" i="10"/>
  <c r="G9" i="10" s="1"/>
  <c r="M8" i="10"/>
  <c r="I8" i="10"/>
  <c r="E8" i="10"/>
  <c r="L8" i="10" s="1"/>
  <c r="M7" i="10"/>
  <c r="I7" i="10"/>
  <c r="K7" i="10" s="1"/>
  <c r="E7" i="10"/>
  <c r="G7" i="10" s="1"/>
  <c r="M6" i="10"/>
  <c r="N6" i="10" s="1"/>
  <c r="I6" i="10"/>
  <c r="K6" i="10" s="1"/>
  <c r="E6" i="10"/>
  <c r="G6" i="10" s="1"/>
  <c r="M5" i="10"/>
  <c r="I5" i="10"/>
  <c r="K5" i="10" s="1"/>
  <c r="E5" i="10"/>
  <c r="G5" i="10" s="1"/>
  <c r="L131" i="9"/>
  <c r="J129" i="9"/>
  <c r="F129" i="9"/>
  <c r="M128" i="9"/>
  <c r="I128" i="9"/>
  <c r="K128" i="9" s="1"/>
  <c r="E128" i="9"/>
  <c r="G128" i="9" s="1"/>
  <c r="M127" i="9"/>
  <c r="I127" i="9"/>
  <c r="K127" i="9" s="1"/>
  <c r="E127" i="9"/>
  <c r="G127" i="9" s="1"/>
  <c r="M126" i="9"/>
  <c r="I126" i="9"/>
  <c r="K126" i="9" s="1"/>
  <c r="E126" i="9"/>
  <c r="G126" i="9" s="1"/>
  <c r="M125" i="9"/>
  <c r="I125" i="9"/>
  <c r="E125" i="9"/>
  <c r="G125" i="9" s="1"/>
  <c r="M124" i="9"/>
  <c r="I124" i="9"/>
  <c r="E124" i="9"/>
  <c r="G124" i="9" s="1"/>
  <c r="M123" i="9"/>
  <c r="I123" i="9"/>
  <c r="K123" i="9" s="1"/>
  <c r="E123" i="9"/>
  <c r="G123" i="9" s="1"/>
  <c r="M122" i="9"/>
  <c r="I122" i="9"/>
  <c r="K122" i="9" s="1"/>
  <c r="E122" i="9"/>
  <c r="G122" i="9" s="1"/>
  <c r="M121" i="9"/>
  <c r="I121" i="9"/>
  <c r="K121" i="9" s="1"/>
  <c r="E121" i="9"/>
  <c r="M120" i="9"/>
  <c r="I120" i="9"/>
  <c r="K120" i="9" s="1"/>
  <c r="E120" i="9"/>
  <c r="M119" i="9"/>
  <c r="I119" i="9"/>
  <c r="K119" i="9" s="1"/>
  <c r="E119" i="9"/>
  <c r="G119" i="9" s="1"/>
  <c r="M118" i="9"/>
  <c r="I118" i="9"/>
  <c r="K118" i="9" s="1"/>
  <c r="E118" i="9"/>
  <c r="M117" i="9"/>
  <c r="I117" i="9"/>
  <c r="K117" i="9" s="1"/>
  <c r="E117" i="9"/>
  <c r="G117" i="9" s="1"/>
  <c r="M116" i="9"/>
  <c r="I116" i="9"/>
  <c r="K116" i="9" s="1"/>
  <c r="E116" i="9"/>
  <c r="L116" i="9" s="1"/>
  <c r="N116" i="9" s="1"/>
  <c r="M115" i="9"/>
  <c r="I115" i="9"/>
  <c r="K115" i="9" s="1"/>
  <c r="E115" i="9"/>
  <c r="G115" i="9" s="1"/>
  <c r="M114" i="9"/>
  <c r="I114" i="9"/>
  <c r="E114" i="9"/>
  <c r="L114" i="9" s="1"/>
  <c r="N114" i="9" s="1"/>
  <c r="R110" i="9"/>
  <c r="M110" i="9"/>
  <c r="G110" i="9"/>
  <c r="P109" i="9"/>
  <c r="L109" i="9"/>
  <c r="J109" i="9"/>
  <c r="E109" i="9"/>
  <c r="H109" i="9" s="1"/>
  <c r="P108" i="9"/>
  <c r="L108" i="9"/>
  <c r="J108" i="9"/>
  <c r="N108" i="9" s="1"/>
  <c r="E108" i="9"/>
  <c r="H108" i="9" s="1"/>
  <c r="P107" i="9"/>
  <c r="L107" i="9"/>
  <c r="J107" i="9"/>
  <c r="O107" i="9" s="1"/>
  <c r="E107" i="9"/>
  <c r="H107" i="9" s="1"/>
  <c r="P106" i="9"/>
  <c r="L106" i="9"/>
  <c r="J106" i="9"/>
  <c r="E106" i="9"/>
  <c r="H106" i="9" s="1"/>
  <c r="P105" i="9"/>
  <c r="L105" i="9"/>
  <c r="J105" i="9"/>
  <c r="E105" i="9"/>
  <c r="H105" i="9" s="1"/>
  <c r="P104" i="9"/>
  <c r="L104" i="9"/>
  <c r="J104" i="9"/>
  <c r="E104" i="9"/>
  <c r="H104" i="9" s="1"/>
  <c r="P103" i="9"/>
  <c r="L103" i="9"/>
  <c r="J103" i="9"/>
  <c r="E103" i="9"/>
  <c r="H103" i="9" s="1"/>
  <c r="P102" i="9"/>
  <c r="L102" i="9"/>
  <c r="J102" i="9"/>
  <c r="N102" i="9" s="1"/>
  <c r="E102" i="9"/>
  <c r="H102" i="9" s="1"/>
  <c r="P101" i="9"/>
  <c r="L101" i="9"/>
  <c r="J101" i="9"/>
  <c r="E101" i="9"/>
  <c r="H101" i="9" s="1"/>
  <c r="P100" i="9"/>
  <c r="L100" i="9"/>
  <c r="J100" i="9"/>
  <c r="E100" i="9"/>
  <c r="H100" i="9" s="1"/>
  <c r="P99" i="9"/>
  <c r="L99" i="9"/>
  <c r="J99" i="9"/>
  <c r="E99" i="9"/>
  <c r="H99" i="9" s="1"/>
  <c r="P98" i="9"/>
  <c r="L98" i="9"/>
  <c r="J98" i="9"/>
  <c r="N98" i="9" s="1"/>
  <c r="E98" i="9"/>
  <c r="H98" i="9" s="1"/>
  <c r="P97" i="9"/>
  <c r="L97" i="9"/>
  <c r="J97" i="9"/>
  <c r="E97" i="9"/>
  <c r="H97" i="9" s="1"/>
  <c r="P96" i="9"/>
  <c r="L96" i="9"/>
  <c r="J96" i="9"/>
  <c r="N96" i="9" s="1"/>
  <c r="E96" i="9"/>
  <c r="H96" i="9" s="1"/>
  <c r="P95" i="9"/>
  <c r="L95" i="9"/>
  <c r="J95" i="9"/>
  <c r="N95" i="9" s="1"/>
  <c r="E95" i="9"/>
  <c r="H95" i="9" s="1"/>
  <c r="P94" i="9"/>
  <c r="L94" i="9"/>
  <c r="J94" i="9"/>
  <c r="E94" i="9"/>
  <c r="H94" i="9" s="1"/>
  <c r="P93" i="9"/>
  <c r="L93" i="9"/>
  <c r="J93" i="9"/>
  <c r="E93" i="9"/>
  <c r="H93" i="9" s="1"/>
  <c r="P92" i="9"/>
  <c r="L92" i="9"/>
  <c r="J92" i="9"/>
  <c r="N92" i="9" s="1"/>
  <c r="E92" i="9"/>
  <c r="H92" i="9" s="1"/>
  <c r="P91" i="9"/>
  <c r="L91" i="9"/>
  <c r="J91" i="9"/>
  <c r="E91" i="9"/>
  <c r="H91" i="9" s="1"/>
  <c r="P90" i="9"/>
  <c r="L90" i="9"/>
  <c r="J90" i="9"/>
  <c r="E90" i="9"/>
  <c r="H90" i="9" s="1"/>
  <c r="P89" i="9"/>
  <c r="L89" i="9"/>
  <c r="J89" i="9"/>
  <c r="E89" i="9"/>
  <c r="H89" i="9" s="1"/>
  <c r="P88" i="9"/>
  <c r="L88" i="9"/>
  <c r="J88" i="9"/>
  <c r="E88" i="9"/>
  <c r="H88" i="9" s="1"/>
  <c r="P87" i="9"/>
  <c r="L87" i="9"/>
  <c r="J87" i="9"/>
  <c r="E87" i="9"/>
  <c r="H87" i="9" s="1"/>
  <c r="P86" i="9"/>
  <c r="L86" i="9"/>
  <c r="J86" i="9"/>
  <c r="N86" i="9" s="1"/>
  <c r="E86" i="9"/>
  <c r="H86" i="9" s="1"/>
  <c r="P85" i="9"/>
  <c r="L85" i="9"/>
  <c r="J85" i="9"/>
  <c r="E85" i="9"/>
  <c r="H85" i="9" s="1"/>
  <c r="P84" i="9"/>
  <c r="L84" i="9"/>
  <c r="J84" i="9"/>
  <c r="N84" i="9" s="1"/>
  <c r="E84" i="9"/>
  <c r="H84" i="9" s="1"/>
  <c r="P83" i="9"/>
  <c r="L83" i="9"/>
  <c r="J83" i="9"/>
  <c r="N83" i="9" s="1"/>
  <c r="E83" i="9"/>
  <c r="H83" i="9" s="1"/>
  <c r="P82" i="9"/>
  <c r="L82" i="9"/>
  <c r="J82" i="9"/>
  <c r="E82" i="9"/>
  <c r="H82" i="9" s="1"/>
  <c r="P81" i="9"/>
  <c r="L81" i="9"/>
  <c r="J81" i="9"/>
  <c r="E81" i="9"/>
  <c r="H81" i="9" s="1"/>
  <c r="P80" i="9"/>
  <c r="L80" i="9"/>
  <c r="J80" i="9"/>
  <c r="E80" i="9"/>
  <c r="H80" i="9" s="1"/>
  <c r="P79" i="9"/>
  <c r="L79" i="9"/>
  <c r="J79" i="9"/>
  <c r="E79" i="9"/>
  <c r="H79" i="9" s="1"/>
  <c r="P78" i="9"/>
  <c r="L78" i="9"/>
  <c r="J78" i="9"/>
  <c r="N78" i="9" s="1"/>
  <c r="E78" i="9"/>
  <c r="H78" i="9" s="1"/>
  <c r="P77" i="9"/>
  <c r="L77" i="9"/>
  <c r="J77" i="9"/>
  <c r="E77" i="9"/>
  <c r="H77" i="9" s="1"/>
  <c r="P76" i="9"/>
  <c r="L76" i="9"/>
  <c r="J76" i="9"/>
  <c r="E76" i="9"/>
  <c r="H76" i="9" s="1"/>
  <c r="P75" i="9"/>
  <c r="L75" i="9"/>
  <c r="J75" i="9"/>
  <c r="E75" i="9"/>
  <c r="H75" i="9" s="1"/>
  <c r="P74" i="9"/>
  <c r="L74" i="9"/>
  <c r="J74" i="9"/>
  <c r="N74" i="9" s="1"/>
  <c r="E74" i="9"/>
  <c r="H74" i="9" s="1"/>
  <c r="P73" i="9"/>
  <c r="L73" i="9"/>
  <c r="J73" i="9"/>
  <c r="E73" i="9"/>
  <c r="H73" i="9" s="1"/>
  <c r="P72" i="9"/>
  <c r="L72" i="9"/>
  <c r="J72" i="9"/>
  <c r="E72" i="9"/>
  <c r="H72" i="9" s="1"/>
  <c r="P71" i="9"/>
  <c r="L71" i="9"/>
  <c r="J71" i="9"/>
  <c r="E71" i="9"/>
  <c r="H71" i="9" s="1"/>
  <c r="P70" i="9"/>
  <c r="L70" i="9"/>
  <c r="J70" i="9"/>
  <c r="E70" i="9"/>
  <c r="H70" i="9" s="1"/>
  <c r="P69" i="9"/>
  <c r="L69" i="9"/>
  <c r="J69" i="9"/>
  <c r="E69" i="9"/>
  <c r="H69" i="9" s="1"/>
  <c r="P68" i="9"/>
  <c r="L68" i="9"/>
  <c r="J68" i="9"/>
  <c r="E68" i="9"/>
  <c r="H68" i="9" s="1"/>
  <c r="P67" i="9"/>
  <c r="L67" i="9"/>
  <c r="J67" i="9"/>
  <c r="E67" i="9"/>
  <c r="H67" i="9" s="1"/>
  <c r="P66" i="9"/>
  <c r="L66" i="9"/>
  <c r="J66" i="9"/>
  <c r="N66" i="9" s="1"/>
  <c r="E66" i="9"/>
  <c r="H66" i="9" s="1"/>
  <c r="P65" i="9"/>
  <c r="L65" i="9"/>
  <c r="J65" i="9"/>
  <c r="E65" i="9"/>
  <c r="H65" i="9" s="1"/>
  <c r="P64" i="9"/>
  <c r="L64" i="9"/>
  <c r="J64" i="9"/>
  <c r="E64" i="9"/>
  <c r="H64" i="9" s="1"/>
  <c r="P63" i="9"/>
  <c r="L63" i="9"/>
  <c r="J63" i="9"/>
  <c r="E63" i="9"/>
  <c r="H63" i="9" s="1"/>
  <c r="P62" i="9"/>
  <c r="L62" i="9"/>
  <c r="J62" i="9"/>
  <c r="N62" i="9" s="1"/>
  <c r="E62" i="9"/>
  <c r="H62" i="9" s="1"/>
  <c r="P61" i="9"/>
  <c r="L61" i="9"/>
  <c r="J61" i="9"/>
  <c r="E61" i="9"/>
  <c r="H61" i="9" s="1"/>
  <c r="P60" i="9"/>
  <c r="L60" i="9"/>
  <c r="J60" i="9"/>
  <c r="N60" i="9" s="1"/>
  <c r="E60" i="9"/>
  <c r="H60" i="9" s="1"/>
  <c r="P59" i="9"/>
  <c r="L59" i="9"/>
  <c r="J59" i="9"/>
  <c r="N59" i="9" s="1"/>
  <c r="E59" i="9"/>
  <c r="H59" i="9" s="1"/>
  <c r="P58" i="9"/>
  <c r="L58" i="9"/>
  <c r="J58" i="9"/>
  <c r="E58" i="9"/>
  <c r="H58" i="9" s="1"/>
  <c r="P57" i="9"/>
  <c r="L57" i="9"/>
  <c r="J57" i="9"/>
  <c r="E57" i="9"/>
  <c r="H57" i="9" s="1"/>
  <c r="P56" i="9"/>
  <c r="L56" i="9"/>
  <c r="J56" i="9"/>
  <c r="N56" i="9" s="1"/>
  <c r="E56" i="9"/>
  <c r="H56" i="9" s="1"/>
  <c r="P55" i="9"/>
  <c r="L55" i="9"/>
  <c r="J55" i="9"/>
  <c r="E55" i="9"/>
  <c r="H55" i="9" s="1"/>
  <c r="P54" i="9"/>
  <c r="L54" i="9"/>
  <c r="J54" i="9"/>
  <c r="E54" i="9"/>
  <c r="H54" i="9" s="1"/>
  <c r="P53" i="9"/>
  <c r="L53" i="9"/>
  <c r="J53" i="9"/>
  <c r="E53" i="9"/>
  <c r="H53" i="9" s="1"/>
  <c r="P52" i="9"/>
  <c r="L52" i="9"/>
  <c r="J52" i="9"/>
  <c r="N52" i="9" s="1"/>
  <c r="E52" i="9"/>
  <c r="H52" i="9" s="1"/>
  <c r="P51" i="9"/>
  <c r="L51" i="9"/>
  <c r="J51" i="9"/>
  <c r="N51" i="9" s="1"/>
  <c r="E51" i="9"/>
  <c r="H51" i="9" s="1"/>
  <c r="P50" i="9"/>
  <c r="L50" i="9"/>
  <c r="J50" i="9"/>
  <c r="E50" i="9"/>
  <c r="P49" i="9"/>
  <c r="L49" i="9"/>
  <c r="J49" i="9"/>
  <c r="N49" i="9" s="1"/>
  <c r="E49" i="9"/>
  <c r="H49" i="9" s="1"/>
  <c r="J45" i="9"/>
  <c r="F45" i="9"/>
  <c r="M44" i="9"/>
  <c r="I44" i="9"/>
  <c r="K44" i="9" s="1"/>
  <c r="E44" i="9"/>
  <c r="G44" i="9" s="1"/>
  <c r="M43" i="9"/>
  <c r="I43" i="9"/>
  <c r="E43" i="9"/>
  <c r="J39" i="9"/>
  <c r="F39" i="9"/>
  <c r="M38" i="9"/>
  <c r="I38" i="9"/>
  <c r="K38" i="9" s="1"/>
  <c r="E38" i="9"/>
  <c r="M37" i="9"/>
  <c r="I37" i="9"/>
  <c r="E37" i="9"/>
  <c r="J33" i="9"/>
  <c r="F33" i="9"/>
  <c r="M32" i="9"/>
  <c r="I32" i="9"/>
  <c r="K32" i="9" s="1"/>
  <c r="E32" i="9"/>
  <c r="G32" i="9" s="1"/>
  <c r="M31" i="9"/>
  <c r="I31" i="9"/>
  <c r="K31" i="9" s="1"/>
  <c r="E31" i="9"/>
  <c r="G31" i="9" s="1"/>
  <c r="M30" i="9"/>
  <c r="I30" i="9"/>
  <c r="K30" i="9" s="1"/>
  <c r="E30" i="9"/>
  <c r="G30" i="9" s="1"/>
  <c r="M29" i="9"/>
  <c r="I29" i="9"/>
  <c r="K29" i="9" s="1"/>
  <c r="E29" i="9"/>
  <c r="G29" i="9" s="1"/>
  <c r="M28" i="9"/>
  <c r="I28" i="9"/>
  <c r="E28" i="9"/>
  <c r="J24" i="9"/>
  <c r="F24" i="9"/>
  <c r="M23" i="9"/>
  <c r="I23" i="9"/>
  <c r="K23" i="9" s="1"/>
  <c r="E23" i="9"/>
  <c r="M22" i="9"/>
  <c r="M24" i="9" s="1"/>
  <c r="N139" i="9" s="1"/>
  <c r="I22" i="9"/>
  <c r="E22" i="9"/>
  <c r="O18" i="9"/>
  <c r="J18" i="9"/>
  <c r="F18" i="9"/>
  <c r="M17" i="9"/>
  <c r="I17" i="9"/>
  <c r="K17" i="9" s="1"/>
  <c r="E17" i="9"/>
  <c r="G17" i="9" s="1"/>
  <c r="M16" i="9"/>
  <c r="I16" i="9"/>
  <c r="K16" i="9" s="1"/>
  <c r="E16" i="9"/>
  <c r="M15" i="9"/>
  <c r="I15" i="9"/>
  <c r="K15" i="9" s="1"/>
  <c r="E15" i="9"/>
  <c r="G15" i="9" s="1"/>
  <c r="M14" i="9"/>
  <c r="I14" i="9"/>
  <c r="K14" i="9" s="1"/>
  <c r="E14" i="9"/>
  <c r="M13" i="9"/>
  <c r="I13" i="9"/>
  <c r="E13" i="9"/>
  <c r="G13" i="9" s="1"/>
  <c r="M12" i="9"/>
  <c r="I12" i="9"/>
  <c r="K12" i="9" s="1"/>
  <c r="E12" i="9"/>
  <c r="L12" i="9" s="1"/>
  <c r="N12" i="9" s="1"/>
  <c r="M11" i="9"/>
  <c r="I11" i="9"/>
  <c r="K11" i="9" s="1"/>
  <c r="E11" i="9"/>
  <c r="L11" i="9" s="1"/>
  <c r="M10" i="9"/>
  <c r="I10" i="9"/>
  <c r="K10" i="9" s="1"/>
  <c r="E10" i="9"/>
  <c r="M9" i="9"/>
  <c r="I9" i="9"/>
  <c r="K9" i="9" s="1"/>
  <c r="E9" i="9"/>
  <c r="G9" i="9" s="1"/>
  <c r="M8" i="9"/>
  <c r="I8" i="9"/>
  <c r="K8" i="9" s="1"/>
  <c r="E8" i="9"/>
  <c r="L8" i="9" s="1"/>
  <c r="M7" i="9"/>
  <c r="I7" i="9"/>
  <c r="E7" i="9"/>
  <c r="L7" i="9" s="1"/>
  <c r="M6" i="9"/>
  <c r="I6" i="9"/>
  <c r="K6" i="9" s="1"/>
  <c r="E6" i="9"/>
  <c r="G6" i="9" s="1"/>
  <c r="M5" i="9"/>
  <c r="I5" i="9"/>
  <c r="K5" i="9" s="1"/>
  <c r="E5" i="9"/>
  <c r="G5" i="9" s="1"/>
  <c r="M44" i="8"/>
  <c r="J45" i="8"/>
  <c r="L131" i="8"/>
  <c r="J129" i="8"/>
  <c r="F129" i="8"/>
  <c r="M128" i="8"/>
  <c r="I128" i="8"/>
  <c r="K128" i="8" s="1"/>
  <c r="E128" i="8"/>
  <c r="M127" i="8"/>
  <c r="I127" i="8"/>
  <c r="K127" i="8" s="1"/>
  <c r="E127" i="8"/>
  <c r="L127" i="8" s="1"/>
  <c r="N127" i="8" s="1"/>
  <c r="M126" i="8"/>
  <c r="I126" i="8"/>
  <c r="K126" i="8" s="1"/>
  <c r="E126" i="8"/>
  <c r="G126" i="8" s="1"/>
  <c r="M125" i="8"/>
  <c r="I125" i="8"/>
  <c r="E125" i="8"/>
  <c r="G125" i="8" s="1"/>
  <c r="M124" i="8"/>
  <c r="I124" i="8"/>
  <c r="K124" i="8" s="1"/>
  <c r="E124" i="8"/>
  <c r="L124" i="8" s="1"/>
  <c r="N124" i="8" s="1"/>
  <c r="M123" i="8"/>
  <c r="I123" i="8"/>
  <c r="K123" i="8" s="1"/>
  <c r="E123" i="8"/>
  <c r="G123" i="8" s="1"/>
  <c r="M122" i="8"/>
  <c r="I122" i="8"/>
  <c r="E122" i="8"/>
  <c r="G122" i="8" s="1"/>
  <c r="M121" i="8"/>
  <c r="I121" i="8"/>
  <c r="K121" i="8" s="1"/>
  <c r="E121" i="8"/>
  <c r="M120" i="8"/>
  <c r="I120" i="8"/>
  <c r="E120" i="8"/>
  <c r="G120" i="8" s="1"/>
  <c r="M119" i="8"/>
  <c r="I119" i="8"/>
  <c r="K119" i="8" s="1"/>
  <c r="E119" i="8"/>
  <c r="M118" i="8"/>
  <c r="I118" i="8"/>
  <c r="K118" i="8" s="1"/>
  <c r="E118" i="8"/>
  <c r="G118" i="8" s="1"/>
  <c r="M117" i="8"/>
  <c r="I117" i="8"/>
  <c r="K117" i="8" s="1"/>
  <c r="E117" i="8"/>
  <c r="M116" i="8"/>
  <c r="I116" i="8"/>
  <c r="K116" i="8" s="1"/>
  <c r="E116" i="8"/>
  <c r="M115" i="8"/>
  <c r="I115" i="8"/>
  <c r="K115" i="8" s="1"/>
  <c r="E115" i="8"/>
  <c r="M114" i="8"/>
  <c r="I114" i="8"/>
  <c r="E114" i="8"/>
  <c r="G114" i="8" s="1"/>
  <c r="R110" i="8"/>
  <c r="M110" i="8"/>
  <c r="G110" i="8"/>
  <c r="P109" i="8"/>
  <c r="L109" i="8"/>
  <c r="J109" i="8"/>
  <c r="N109" i="8" s="1"/>
  <c r="E109" i="8"/>
  <c r="H109" i="8" s="1"/>
  <c r="P108" i="8"/>
  <c r="L108" i="8"/>
  <c r="J108" i="8"/>
  <c r="E108" i="8"/>
  <c r="H108" i="8" s="1"/>
  <c r="P107" i="8"/>
  <c r="L107" i="8"/>
  <c r="J107" i="8"/>
  <c r="N107" i="8" s="1"/>
  <c r="E107" i="8"/>
  <c r="P106" i="8"/>
  <c r="L106" i="8"/>
  <c r="J106" i="8"/>
  <c r="E106" i="8"/>
  <c r="H106" i="8" s="1"/>
  <c r="P105" i="8"/>
  <c r="L105" i="8"/>
  <c r="J105" i="8"/>
  <c r="E105" i="8"/>
  <c r="H105" i="8" s="1"/>
  <c r="P104" i="8"/>
  <c r="L104" i="8"/>
  <c r="J104" i="8"/>
  <c r="N104" i="8" s="1"/>
  <c r="E104" i="8"/>
  <c r="O104" i="8" s="1"/>
  <c r="P103" i="8"/>
  <c r="L103" i="8"/>
  <c r="J103" i="8"/>
  <c r="E103" i="8"/>
  <c r="H103" i="8" s="1"/>
  <c r="P102" i="8"/>
  <c r="L102" i="8"/>
  <c r="J102" i="8"/>
  <c r="E102" i="8"/>
  <c r="H102" i="8" s="1"/>
  <c r="P101" i="8"/>
  <c r="L101" i="8"/>
  <c r="J101" i="8"/>
  <c r="N101" i="8" s="1"/>
  <c r="E101" i="8"/>
  <c r="H101" i="8" s="1"/>
  <c r="P100" i="8"/>
  <c r="L100" i="8"/>
  <c r="J100" i="8"/>
  <c r="E100" i="8"/>
  <c r="H100" i="8" s="1"/>
  <c r="P99" i="8"/>
  <c r="L99" i="8"/>
  <c r="J99" i="8"/>
  <c r="E99" i="8"/>
  <c r="H99" i="8" s="1"/>
  <c r="P98" i="8"/>
  <c r="L98" i="8"/>
  <c r="J98" i="8"/>
  <c r="N98" i="8" s="1"/>
  <c r="E98" i="8"/>
  <c r="H98" i="8" s="1"/>
  <c r="P97" i="8"/>
  <c r="L97" i="8"/>
  <c r="J97" i="8"/>
  <c r="E97" i="8"/>
  <c r="H97" i="8" s="1"/>
  <c r="P96" i="8"/>
  <c r="L96" i="8"/>
  <c r="J96" i="8"/>
  <c r="N96" i="8" s="1"/>
  <c r="E96" i="8"/>
  <c r="H96" i="8" s="1"/>
  <c r="P95" i="8"/>
  <c r="L95" i="8"/>
  <c r="J95" i="8"/>
  <c r="N95" i="8" s="1"/>
  <c r="E95" i="8"/>
  <c r="O95" i="8" s="1"/>
  <c r="P94" i="8"/>
  <c r="L94" i="8"/>
  <c r="J94" i="8"/>
  <c r="E94" i="8"/>
  <c r="H94" i="8" s="1"/>
  <c r="P93" i="8"/>
  <c r="L93" i="8"/>
  <c r="J93" i="8"/>
  <c r="E93" i="8"/>
  <c r="H93" i="8" s="1"/>
  <c r="P92" i="8"/>
  <c r="L92" i="8"/>
  <c r="J92" i="8"/>
  <c r="N92" i="8" s="1"/>
  <c r="E92" i="8"/>
  <c r="P91" i="8"/>
  <c r="L91" i="8"/>
  <c r="J91" i="8"/>
  <c r="N91" i="8" s="1"/>
  <c r="E91" i="8"/>
  <c r="H91" i="8" s="1"/>
  <c r="P90" i="8"/>
  <c r="L90" i="8"/>
  <c r="J90" i="8"/>
  <c r="E90" i="8"/>
  <c r="H90" i="8" s="1"/>
  <c r="P89" i="8"/>
  <c r="L89" i="8"/>
  <c r="J89" i="8"/>
  <c r="N89" i="8" s="1"/>
  <c r="E89" i="8"/>
  <c r="P88" i="8"/>
  <c r="L88" i="8"/>
  <c r="J88" i="8"/>
  <c r="N88" i="8" s="1"/>
  <c r="E88" i="8"/>
  <c r="H88" i="8" s="1"/>
  <c r="P87" i="8"/>
  <c r="L87" i="8"/>
  <c r="J87" i="8"/>
  <c r="E87" i="8"/>
  <c r="H87" i="8" s="1"/>
  <c r="P86" i="8"/>
  <c r="L86" i="8"/>
  <c r="J86" i="8"/>
  <c r="N86" i="8" s="1"/>
  <c r="E86" i="8"/>
  <c r="O86" i="8" s="1"/>
  <c r="P85" i="8"/>
  <c r="L85" i="8"/>
  <c r="J85" i="8"/>
  <c r="E85" i="8"/>
  <c r="H85" i="8" s="1"/>
  <c r="P84" i="8"/>
  <c r="L84" i="8"/>
  <c r="J84" i="8"/>
  <c r="E84" i="8"/>
  <c r="H84" i="8" s="1"/>
  <c r="P83" i="8"/>
  <c r="L83" i="8"/>
  <c r="J83" i="8"/>
  <c r="N83" i="8" s="1"/>
  <c r="E83" i="8"/>
  <c r="H83" i="8" s="1"/>
  <c r="P82" i="8"/>
  <c r="L82" i="8"/>
  <c r="J82" i="8"/>
  <c r="E82" i="8"/>
  <c r="H82" i="8" s="1"/>
  <c r="P81" i="8"/>
  <c r="L81" i="8"/>
  <c r="J81" i="8"/>
  <c r="E81" i="8"/>
  <c r="H81" i="8" s="1"/>
  <c r="P80" i="8"/>
  <c r="L80" i="8"/>
  <c r="J80" i="8"/>
  <c r="N80" i="8" s="1"/>
  <c r="E80" i="8"/>
  <c r="H80" i="8" s="1"/>
  <c r="P79" i="8"/>
  <c r="L79" i="8"/>
  <c r="J79" i="8"/>
  <c r="E79" i="8"/>
  <c r="H79" i="8" s="1"/>
  <c r="P78" i="8"/>
  <c r="L78" i="8"/>
  <c r="J78" i="8"/>
  <c r="E78" i="8"/>
  <c r="H78" i="8" s="1"/>
  <c r="P77" i="8"/>
  <c r="L77" i="8"/>
  <c r="J77" i="8"/>
  <c r="N77" i="8" s="1"/>
  <c r="E77" i="8"/>
  <c r="O77" i="8" s="1"/>
  <c r="P76" i="8"/>
  <c r="L76" i="8"/>
  <c r="J76" i="8"/>
  <c r="E76" i="8"/>
  <c r="H76" i="8" s="1"/>
  <c r="P75" i="8"/>
  <c r="L75" i="8"/>
  <c r="J75" i="8"/>
  <c r="E75" i="8"/>
  <c r="H75" i="8" s="1"/>
  <c r="P74" i="8"/>
  <c r="L74" i="8"/>
  <c r="J74" i="8"/>
  <c r="N74" i="8" s="1"/>
  <c r="E74" i="8"/>
  <c r="P73" i="8"/>
  <c r="L73" i="8"/>
  <c r="J73" i="8"/>
  <c r="N73" i="8" s="1"/>
  <c r="E73" i="8"/>
  <c r="H73" i="8" s="1"/>
  <c r="P72" i="8"/>
  <c r="L72" i="8"/>
  <c r="J72" i="8"/>
  <c r="E72" i="8"/>
  <c r="H72" i="8" s="1"/>
  <c r="P71" i="8"/>
  <c r="L71" i="8"/>
  <c r="J71" i="8"/>
  <c r="N71" i="8" s="1"/>
  <c r="E71" i="8"/>
  <c r="P70" i="8"/>
  <c r="L70" i="8"/>
  <c r="J70" i="8"/>
  <c r="N70" i="8" s="1"/>
  <c r="E70" i="8"/>
  <c r="H70" i="8" s="1"/>
  <c r="P69" i="8"/>
  <c r="L69" i="8"/>
  <c r="J69" i="8"/>
  <c r="E69" i="8"/>
  <c r="H69" i="8" s="1"/>
  <c r="P68" i="8"/>
  <c r="L68" i="8"/>
  <c r="J68" i="8"/>
  <c r="N68" i="8" s="1"/>
  <c r="E68" i="8"/>
  <c r="P67" i="8"/>
  <c r="L67" i="8"/>
  <c r="J67" i="8"/>
  <c r="E67" i="8"/>
  <c r="H67" i="8" s="1"/>
  <c r="P66" i="8"/>
  <c r="L66" i="8"/>
  <c r="J66" i="8"/>
  <c r="E66" i="8"/>
  <c r="H66" i="8" s="1"/>
  <c r="P65" i="8"/>
  <c r="L65" i="8"/>
  <c r="J65" i="8"/>
  <c r="N65" i="8" s="1"/>
  <c r="E65" i="8"/>
  <c r="H65" i="8" s="1"/>
  <c r="P64" i="8"/>
  <c r="L64" i="8"/>
  <c r="J64" i="8"/>
  <c r="E64" i="8"/>
  <c r="H64" i="8" s="1"/>
  <c r="P63" i="8"/>
  <c r="L63" i="8"/>
  <c r="J63" i="8"/>
  <c r="E63" i="8"/>
  <c r="H63" i="8" s="1"/>
  <c r="P62" i="8"/>
  <c r="L62" i="8"/>
  <c r="J62" i="8"/>
  <c r="N62" i="8" s="1"/>
  <c r="E62" i="8"/>
  <c r="H62" i="8" s="1"/>
  <c r="P61" i="8"/>
  <c r="L61" i="8"/>
  <c r="J61" i="8"/>
  <c r="E61" i="8"/>
  <c r="H61" i="8" s="1"/>
  <c r="P60" i="8"/>
  <c r="L60" i="8"/>
  <c r="J60" i="8"/>
  <c r="N60" i="8" s="1"/>
  <c r="E60" i="8"/>
  <c r="H60" i="8" s="1"/>
  <c r="P59" i="8"/>
  <c r="L59" i="8"/>
  <c r="J59" i="8"/>
  <c r="N59" i="8" s="1"/>
  <c r="E59" i="8"/>
  <c r="H59" i="8" s="1"/>
  <c r="P58" i="8"/>
  <c r="L58" i="8"/>
  <c r="J58" i="8"/>
  <c r="E58" i="8"/>
  <c r="H58" i="8" s="1"/>
  <c r="P57" i="8"/>
  <c r="L57" i="8"/>
  <c r="J57" i="8"/>
  <c r="E57" i="8"/>
  <c r="H57" i="8" s="1"/>
  <c r="P56" i="8"/>
  <c r="L56" i="8"/>
  <c r="J56" i="8"/>
  <c r="N56" i="8" s="1"/>
  <c r="E56" i="8"/>
  <c r="P55" i="8"/>
  <c r="L55" i="8"/>
  <c r="J55" i="8"/>
  <c r="N55" i="8" s="1"/>
  <c r="E55" i="8"/>
  <c r="H55" i="8" s="1"/>
  <c r="P54" i="8"/>
  <c r="L54" i="8"/>
  <c r="J54" i="8"/>
  <c r="E54" i="8"/>
  <c r="P53" i="8"/>
  <c r="L53" i="8"/>
  <c r="J53" i="8"/>
  <c r="N53" i="8" s="1"/>
  <c r="E53" i="8"/>
  <c r="P52" i="8"/>
  <c r="L52" i="8"/>
  <c r="J52" i="8"/>
  <c r="E52" i="8"/>
  <c r="H52" i="8" s="1"/>
  <c r="P51" i="8"/>
  <c r="L51" i="8"/>
  <c r="J51" i="8"/>
  <c r="E51" i="8"/>
  <c r="H51" i="8" s="1"/>
  <c r="P50" i="8"/>
  <c r="L50" i="8"/>
  <c r="J50" i="8"/>
  <c r="N50" i="8" s="1"/>
  <c r="E50" i="8"/>
  <c r="O50" i="8" s="1"/>
  <c r="P49" i="8"/>
  <c r="L49" i="8"/>
  <c r="J49" i="8"/>
  <c r="E49" i="8"/>
  <c r="H49" i="8" s="1"/>
  <c r="F45" i="8"/>
  <c r="I44" i="8"/>
  <c r="E44" i="8"/>
  <c r="L44" i="8" s="1"/>
  <c r="M43" i="8"/>
  <c r="I43" i="8"/>
  <c r="K43" i="8" s="1"/>
  <c r="E43" i="8"/>
  <c r="J39" i="8"/>
  <c r="F39" i="8"/>
  <c r="M38" i="8"/>
  <c r="I38" i="8"/>
  <c r="E38" i="8"/>
  <c r="G38" i="8" s="1"/>
  <c r="M37" i="8"/>
  <c r="I37" i="8"/>
  <c r="K37" i="8" s="1"/>
  <c r="E37" i="8"/>
  <c r="G37" i="8" s="1"/>
  <c r="J33" i="8"/>
  <c r="F33" i="8"/>
  <c r="M32" i="8"/>
  <c r="I32" i="8"/>
  <c r="E32" i="8"/>
  <c r="G32" i="8" s="1"/>
  <c r="M31" i="8"/>
  <c r="I31" i="8"/>
  <c r="K31" i="8" s="1"/>
  <c r="E31" i="8"/>
  <c r="M30" i="8"/>
  <c r="I30" i="8"/>
  <c r="E30" i="8"/>
  <c r="G30" i="8" s="1"/>
  <c r="M29" i="8"/>
  <c r="I29" i="8"/>
  <c r="E29" i="8"/>
  <c r="M28" i="8"/>
  <c r="I28" i="8"/>
  <c r="K28" i="8" s="1"/>
  <c r="E28" i="8"/>
  <c r="G28" i="8" s="1"/>
  <c r="J24" i="8"/>
  <c r="F24" i="8"/>
  <c r="M23" i="8"/>
  <c r="I23" i="8"/>
  <c r="K23" i="8" s="1"/>
  <c r="E23" i="8"/>
  <c r="M22" i="8"/>
  <c r="M24" i="8" s="1"/>
  <c r="N139" i="8" s="1"/>
  <c r="I22" i="8"/>
  <c r="E22" i="8"/>
  <c r="G22" i="8" s="1"/>
  <c r="O18" i="8"/>
  <c r="J18" i="8"/>
  <c r="F18" i="8"/>
  <c r="M17" i="8"/>
  <c r="I17" i="8"/>
  <c r="K17" i="8" s="1"/>
  <c r="E17" i="8"/>
  <c r="M16" i="8"/>
  <c r="I16" i="8"/>
  <c r="K16" i="8" s="1"/>
  <c r="E16" i="8"/>
  <c r="M10" i="8"/>
  <c r="I10" i="8"/>
  <c r="E10" i="8"/>
  <c r="G10" i="8" s="1"/>
  <c r="M15" i="8"/>
  <c r="I15" i="8"/>
  <c r="E15" i="8"/>
  <c r="G15" i="8" s="1"/>
  <c r="M14" i="8"/>
  <c r="I14" i="8"/>
  <c r="K14" i="8" s="1"/>
  <c r="E14" i="8"/>
  <c r="G14" i="8" s="1"/>
  <c r="M13" i="8"/>
  <c r="I13" i="8"/>
  <c r="K13" i="8" s="1"/>
  <c r="E13" i="8"/>
  <c r="M12" i="8"/>
  <c r="I12" i="8"/>
  <c r="K12" i="8" s="1"/>
  <c r="E12" i="8"/>
  <c r="G12" i="8" s="1"/>
  <c r="M11" i="8"/>
  <c r="I11" i="8"/>
  <c r="K11" i="8" s="1"/>
  <c r="E11" i="8"/>
  <c r="M9" i="8"/>
  <c r="I9" i="8"/>
  <c r="K9" i="8" s="1"/>
  <c r="E9" i="8"/>
  <c r="M8" i="8"/>
  <c r="I8" i="8"/>
  <c r="E8" i="8"/>
  <c r="L8" i="8" s="1"/>
  <c r="M7" i="8"/>
  <c r="I7" i="8"/>
  <c r="K7" i="8" s="1"/>
  <c r="E7" i="8"/>
  <c r="G7" i="8" s="1"/>
  <c r="M6" i="8"/>
  <c r="N6" i="8" s="1"/>
  <c r="I6" i="8"/>
  <c r="K6" i="8" s="1"/>
  <c r="E6" i="8"/>
  <c r="G6" i="8" s="1"/>
  <c r="M5" i="8"/>
  <c r="I5" i="8"/>
  <c r="K5" i="8" s="1"/>
  <c r="E5" i="8"/>
  <c r="L5" i="8" s="1"/>
  <c r="O18" i="7"/>
  <c r="N40" i="21" l="1"/>
  <c r="L47" i="21"/>
  <c r="N45" i="21"/>
  <c r="N44" i="21"/>
  <c r="C147" i="21"/>
  <c r="N146" i="21"/>
  <c r="L34" i="21"/>
  <c r="N38" i="21"/>
  <c r="L40" i="21"/>
  <c r="N149" i="21"/>
  <c r="N47" i="21"/>
  <c r="L19" i="21"/>
  <c r="N19" i="21" s="1"/>
  <c r="L142" i="21"/>
  <c r="L25" i="21"/>
  <c r="O117" i="21"/>
  <c r="Q117" i="21" s="1"/>
  <c r="L142" i="20"/>
  <c r="N24" i="20"/>
  <c r="N40" i="20"/>
  <c r="C147" i="20"/>
  <c r="N44" i="20"/>
  <c r="L47" i="20"/>
  <c r="N47" i="20" s="1"/>
  <c r="L19" i="20"/>
  <c r="N19" i="20" s="1"/>
  <c r="O117" i="20"/>
  <c r="Q117" i="20" s="1"/>
  <c r="N38" i="20"/>
  <c r="L40" i="20"/>
  <c r="N146" i="20"/>
  <c r="N147" i="20"/>
  <c r="N34" i="20"/>
  <c r="L34" i="20"/>
  <c r="L141" i="19"/>
  <c r="K47" i="19"/>
  <c r="N34" i="19"/>
  <c r="C146" i="19"/>
  <c r="N40" i="19"/>
  <c r="L40" i="19"/>
  <c r="L25" i="19"/>
  <c r="N152" i="19"/>
  <c r="N38" i="19"/>
  <c r="L19" i="19"/>
  <c r="N19" i="19" s="1"/>
  <c r="O117" i="19"/>
  <c r="Q117" i="19" s="1"/>
  <c r="L34" i="19"/>
  <c r="L47" i="19"/>
  <c r="N47" i="19" s="1"/>
  <c r="L140" i="18"/>
  <c r="O142" i="18"/>
  <c r="N149" i="18" s="1"/>
  <c r="L34" i="18"/>
  <c r="L47" i="18"/>
  <c r="N29" i="18"/>
  <c r="N38" i="18"/>
  <c r="N34" i="18"/>
  <c r="N145" i="18"/>
  <c r="L19" i="18"/>
  <c r="N19" i="18" s="1"/>
  <c r="N47" i="18"/>
  <c r="N147" i="18"/>
  <c r="N40" i="18"/>
  <c r="N146" i="18"/>
  <c r="L25" i="18"/>
  <c r="N23" i="18"/>
  <c r="C145" i="18"/>
  <c r="O117" i="18"/>
  <c r="Q117" i="18" s="1"/>
  <c r="Q51" i="18"/>
  <c r="N34" i="17"/>
  <c r="L25" i="17"/>
  <c r="C144" i="17"/>
  <c r="N30" i="17"/>
  <c r="L19" i="17"/>
  <c r="N19" i="17" s="1"/>
  <c r="N143" i="17"/>
  <c r="O117" i="17"/>
  <c r="Q117" i="17" s="1"/>
  <c r="Q51" i="17"/>
  <c r="L139" i="17"/>
  <c r="N145" i="17"/>
  <c r="N40" i="17"/>
  <c r="L47" i="17"/>
  <c r="N47" i="17" s="1"/>
  <c r="L40" i="17"/>
  <c r="N23" i="17"/>
  <c r="L40" i="16"/>
  <c r="L34" i="16"/>
  <c r="C144" i="16"/>
  <c r="L19" i="16"/>
  <c r="N19" i="16" s="1"/>
  <c r="N7" i="16"/>
  <c r="L47" i="16"/>
  <c r="N47" i="16" s="1"/>
  <c r="O141" i="16"/>
  <c r="N148" i="16" s="1"/>
  <c r="L25" i="16"/>
  <c r="Q51" i="16"/>
  <c r="O117" i="16"/>
  <c r="Q117" i="16" s="1"/>
  <c r="N143" i="16"/>
  <c r="N145" i="16"/>
  <c r="N40" i="16"/>
  <c r="N121" i="16"/>
  <c r="L139" i="16"/>
  <c r="L139" i="15"/>
  <c r="N38" i="15"/>
  <c r="N45" i="15"/>
  <c r="C144" i="15"/>
  <c r="N40" i="15"/>
  <c r="L25" i="15"/>
  <c r="L34" i="15"/>
  <c r="N7" i="15"/>
  <c r="L19" i="15"/>
  <c r="N19" i="15" s="1"/>
  <c r="Q51" i="15"/>
  <c r="O117" i="15"/>
  <c r="Q117" i="15" s="1"/>
  <c r="N121" i="15"/>
  <c r="N34" i="15"/>
  <c r="N144" i="15"/>
  <c r="N150" i="15" s="1"/>
  <c r="N10" i="14"/>
  <c r="L40" i="14"/>
  <c r="L25" i="14"/>
  <c r="C140" i="14"/>
  <c r="M19" i="14"/>
  <c r="N139" i="14" s="1"/>
  <c r="N38" i="14"/>
  <c r="N44" i="14"/>
  <c r="L19" i="14"/>
  <c r="N40" i="14"/>
  <c r="N141" i="14"/>
  <c r="L34" i="14"/>
  <c r="N46" i="14"/>
  <c r="N142" i="14"/>
  <c r="L135" i="14"/>
  <c r="N140" i="14"/>
  <c r="N34" i="14"/>
  <c r="O116" i="14"/>
  <c r="Q116" i="14" s="1"/>
  <c r="Q50" i="14"/>
  <c r="N24" i="14"/>
  <c r="L10" i="13"/>
  <c r="N128" i="13"/>
  <c r="N132" i="13"/>
  <c r="L15" i="13"/>
  <c r="M39" i="13"/>
  <c r="N140" i="13" s="1"/>
  <c r="N130" i="13"/>
  <c r="F18" i="13"/>
  <c r="F135" i="13" s="1"/>
  <c r="C137" i="13" s="1"/>
  <c r="O93" i="13"/>
  <c r="O108" i="13"/>
  <c r="L120" i="13"/>
  <c r="N120" i="13" s="1"/>
  <c r="Q108" i="13"/>
  <c r="N108" i="13"/>
  <c r="K44" i="13"/>
  <c r="K45" i="13" s="1"/>
  <c r="M44" i="13"/>
  <c r="M45" i="13" s="1"/>
  <c r="N141" i="13" s="1"/>
  <c r="L17" i="13"/>
  <c r="N17" i="13" s="1"/>
  <c r="I33" i="13"/>
  <c r="L31" i="13"/>
  <c r="N31" i="13" s="1"/>
  <c r="J135" i="13"/>
  <c r="C138" i="13" s="1"/>
  <c r="L131" i="13"/>
  <c r="N131" i="13" s="1"/>
  <c r="L124" i="13"/>
  <c r="N124" i="13" s="1"/>
  <c r="L123" i="13"/>
  <c r="N123" i="13" s="1"/>
  <c r="L115" i="13"/>
  <c r="J115" i="13"/>
  <c r="N115" i="13" s="1"/>
  <c r="O103" i="13"/>
  <c r="Q103" i="13" s="1"/>
  <c r="O57" i="13"/>
  <c r="Q57" i="13" s="1"/>
  <c r="O66" i="13"/>
  <c r="Q66" i="13" s="1"/>
  <c r="O72" i="13"/>
  <c r="Q72" i="13" s="1"/>
  <c r="O87" i="13"/>
  <c r="Q87" i="13" s="1"/>
  <c r="O82" i="13"/>
  <c r="Q82" i="13" s="1"/>
  <c r="L122" i="13"/>
  <c r="N122" i="13" s="1"/>
  <c r="L126" i="13"/>
  <c r="N126" i="13" s="1"/>
  <c r="L129" i="13"/>
  <c r="N129" i="13" s="1"/>
  <c r="K124" i="13"/>
  <c r="L127" i="13"/>
  <c r="N127" i="13" s="1"/>
  <c r="Q93" i="13"/>
  <c r="O61" i="13"/>
  <c r="Q61" i="13" s="1"/>
  <c r="O69" i="13"/>
  <c r="Q69" i="13" s="1"/>
  <c r="O74" i="13"/>
  <c r="Q74" i="13" s="1"/>
  <c r="O51" i="13"/>
  <c r="Q51" i="13" s="1"/>
  <c r="N82" i="13"/>
  <c r="O95" i="13"/>
  <c r="Q95" i="13" s="1"/>
  <c r="N103" i="13"/>
  <c r="N61" i="13"/>
  <c r="O54" i="13"/>
  <c r="Q54" i="13" s="1"/>
  <c r="O59" i="13"/>
  <c r="Q59" i="13" s="1"/>
  <c r="N72" i="13"/>
  <c r="O80" i="13"/>
  <c r="Q80" i="13" s="1"/>
  <c r="N93" i="13"/>
  <c r="O75" i="13"/>
  <c r="Q75" i="13" s="1"/>
  <c r="N49" i="13"/>
  <c r="N59" i="13"/>
  <c r="O78" i="13"/>
  <c r="Q78" i="13" s="1"/>
  <c r="O96" i="13"/>
  <c r="Q96" i="13" s="1"/>
  <c r="N57" i="13"/>
  <c r="O99" i="13"/>
  <c r="Q99" i="13" s="1"/>
  <c r="O81" i="13"/>
  <c r="Q81" i="13" s="1"/>
  <c r="O102" i="13"/>
  <c r="Q102" i="13" s="1"/>
  <c r="O76" i="13"/>
  <c r="Q76" i="13" s="1"/>
  <c r="O84" i="13"/>
  <c r="Q84" i="13" s="1"/>
  <c r="O63" i="13"/>
  <c r="Q63" i="13" s="1"/>
  <c r="N76" i="13"/>
  <c r="I45" i="13"/>
  <c r="L43" i="13"/>
  <c r="N43" i="13" s="1"/>
  <c r="L37" i="13"/>
  <c r="N37" i="13" s="1"/>
  <c r="L28" i="13"/>
  <c r="N28" i="13" s="1"/>
  <c r="M24" i="13"/>
  <c r="N144" i="13" s="1"/>
  <c r="I24" i="13"/>
  <c r="N9" i="13"/>
  <c r="L11" i="13"/>
  <c r="N11" i="13" s="1"/>
  <c r="L8" i="13"/>
  <c r="N8" i="13" s="1"/>
  <c r="L12" i="13"/>
  <c r="N12" i="13" s="1"/>
  <c r="L5" i="13"/>
  <c r="N5" i="13" s="1"/>
  <c r="L13" i="13"/>
  <c r="N13" i="13" s="1"/>
  <c r="L14" i="13"/>
  <c r="N14" i="13" s="1"/>
  <c r="N10" i="13"/>
  <c r="L121" i="13"/>
  <c r="N121" i="13" s="1"/>
  <c r="G121" i="13"/>
  <c r="K8" i="13"/>
  <c r="L22" i="13"/>
  <c r="E24" i="13"/>
  <c r="G22" i="13"/>
  <c r="G14" i="13"/>
  <c r="N78" i="13"/>
  <c r="N99" i="13"/>
  <c r="G17" i="13"/>
  <c r="O60" i="13"/>
  <c r="Q60" i="13" s="1"/>
  <c r="N60" i="13"/>
  <c r="N69" i="13"/>
  <c r="O90" i="13"/>
  <c r="Q90" i="13" s="1"/>
  <c r="N90" i="13"/>
  <c r="O97" i="13"/>
  <c r="Q97" i="13" s="1"/>
  <c r="E134" i="13"/>
  <c r="L119" i="13"/>
  <c r="G119" i="13"/>
  <c r="O67" i="13"/>
  <c r="Q67" i="13" s="1"/>
  <c r="G12" i="13"/>
  <c r="O88" i="13"/>
  <c r="Q88" i="13" s="1"/>
  <c r="N142" i="13"/>
  <c r="G15" i="13"/>
  <c r="L29" i="13"/>
  <c r="N29" i="13" s="1"/>
  <c r="K29" i="13"/>
  <c r="O56" i="13"/>
  <c r="Q56" i="13" s="1"/>
  <c r="N56" i="13"/>
  <c r="L133" i="13"/>
  <c r="N133" i="13" s="1"/>
  <c r="G10" i="13"/>
  <c r="L23" i="13"/>
  <c r="N23" i="13" s="1"/>
  <c r="K38" i="13"/>
  <c r="I39" i="13"/>
  <c r="N63" i="13"/>
  <c r="N74" i="13"/>
  <c r="O86" i="13"/>
  <c r="Q86" i="13" s="1"/>
  <c r="N86" i="13"/>
  <c r="L125" i="13"/>
  <c r="N125" i="13" s="1"/>
  <c r="G125" i="13"/>
  <c r="N15" i="13"/>
  <c r="O52" i="13"/>
  <c r="Q52" i="13" s="1"/>
  <c r="N54" i="13"/>
  <c r="N95" i="13"/>
  <c r="O105" i="13"/>
  <c r="Q105" i="13" s="1"/>
  <c r="N105" i="13"/>
  <c r="E33" i="13"/>
  <c r="N84" i="13"/>
  <c r="M134" i="13"/>
  <c r="G31" i="13"/>
  <c r="O71" i="13"/>
  <c r="Q71" i="13" s="1"/>
  <c r="N71" i="13"/>
  <c r="O101" i="13"/>
  <c r="Q101" i="13" s="1"/>
  <c r="N101" i="13"/>
  <c r="K28" i="13"/>
  <c r="N80" i="13"/>
  <c r="L38" i="13"/>
  <c r="E39" i="13"/>
  <c r="O58" i="13"/>
  <c r="Q58" i="13" s="1"/>
  <c r="K23" i="13"/>
  <c r="K24" i="13" s="1"/>
  <c r="O65" i="13"/>
  <c r="Q65" i="13" s="1"/>
  <c r="K131" i="13"/>
  <c r="M18" i="13"/>
  <c r="O50" i="13"/>
  <c r="Q50" i="13" s="1"/>
  <c r="O73" i="13"/>
  <c r="Q73" i="13" s="1"/>
  <c r="O107" i="13"/>
  <c r="Q107" i="13" s="1"/>
  <c r="O114" i="13"/>
  <c r="Q114" i="13" s="1"/>
  <c r="O92" i="13"/>
  <c r="Q92" i="13" s="1"/>
  <c r="O94" i="13"/>
  <c r="Q94" i="13" s="1"/>
  <c r="I134" i="13"/>
  <c r="G123" i="13"/>
  <c r="E45" i="13"/>
  <c r="L44" i="13"/>
  <c r="O64" i="13"/>
  <c r="Q64" i="13" s="1"/>
  <c r="N75" i="13"/>
  <c r="O79" i="13"/>
  <c r="Q79" i="13" s="1"/>
  <c r="K119" i="13"/>
  <c r="G130" i="13"/>
  <c r="G9" i="13"/>
  <c r="K13" i="13"/>
  <c r="G44" i="13"/>
  <c r="O49" i="13"/>
  <c r="N92" i="13"/>
  <c r="N96" i="13"/>
  <c r="O98" i="13"/>
  <c r="Q98" i="13" s="1"/>
  <c r="O100" i="13"/>
  <c r="Q100" i="13" s="1"/>
  <c r="G128" i="13"/>
  <c r="I18" i="13"/>
  <c r="K18" i="13" s="1"/>
  <c r="N66" i="13"/>
  <c r="N81" i="13"/>
  <c r="O85" i="13"/>
  <c r="Q85" i="13" s="1"/>
  <c r="K37" i="13"/>
  <c r="E18" i="13"/>
  <c r="L7" i="13"/>
  <c r="O62" i="13"/>
  <c r="Q62" i="13" s="1"/>
  <c r="O77" i="13"/>
  <c r="Q77" i="13" s="1"/>
  <c r="N107" i="13"/>
  <c r="G7" i="13"/>
  <c r="L32" i="13"/>
  <c r="N32" i="13" s="1"/>
  <c r="G32" i="13"/>
  <c r="O68" i="13"/>
  <c r="Q68" i="13" s="1"/>
  <c r="O70" i="13"/>
  <c r="Q70" i="13" s="1"/>
  <c r="O83" i="13"/>
  <c r="Q83" i="13" s="1"/>
  <c r="K7" i="13"/>
  <c r="L30" i="13"/>
  <c r="N30" i="13" s="1"/>
  <c r="N51" i="13"/>
  <c r="O53" i="13"/>
  <c r="Q53" i="13" s="1"/>
  <c r="O55" i="13"/>
  <c r="Q55" i="13" s="1"/>
  <c r="N98" i="13"/>
  <c r="N102" i="13"/>
  <c r="O104" i="13"/>
  <c r="Q104" i="13" s="1"/>
  <c r="O106" i="13"/>
  <c r="Q106" i="13" s="1"/>
  <c r="E115" i="13"/>
  <c r="L16" i="13"/>
  <c r="N16" i="13" s="1"/>
  <c r="G16" i="13"/>
  <c r="G30" i="13"/>
  <c r="N68" i="13"/>
  <c r="N83" i="13"/>
  <c r="O89" i="13"/>
  <c r="Q89" i="13" s="1"/>
  <c r="O91" i="13"/>
  <c r="Q91" i="13" s="1"/>
  <c r="P115" i="13"/>
  <c r="N137" i="13" s="1"/>
  <c r="M33" i="13"/>
  <c r="G120" i="13"/>
  <c r="G132" i="13"/>
  <c r="N124" i="12"/>
  <c r="O60" i="12"/>
  <c r="L43" i="12"/>
  <c r="L14" i="12"/>
  <c r="L125" i="12"/>
  <c r="N125" i="12" s="1"/>
  <c r="L8" i="12"/>
  <c r="N8" i="12" s="1"/>
  <c r="Q89" i="12"/>
  <c r="Q87" i="12"/>
  <c r="I45" i="12"/>
  <c r="L11" i="12"/>
  <c r="Q77" i="12"/>
  <c r="N77" i="12"/>
  <c r="O75" i="12"/>
  <c r="Q75" i="12" s="1"/>
  <c r="O72" i="12"/>
  <c r="Q72" i="12" s="1"/>
  <c r="O71" i="12"/>
  <c r="Q71" i="12" s="1"/>
  <c r="O69" i="12"/>
  <c r="Q69" i="12" s="1"/>
  <c r="O66" i="12"/>
  <c r="Q66" i="12" s="1"/>
  <c r="O63" i="12"/>
  <c r="Q63" i="12" s="1"/>
  <c r="O54" i="12"/>
  <c r="O86" i="12"/>
  <c r="Q86" i="12" s="1"/>
  <c r="O65" i="12"/>
  <c r="N65" i="12"/>
  <c r="L13" i="12"/>
  <c r="N13" i="12" s="1"/>
  <c r="L110" i="12"/>
  <c r="N89" i="12"/>
  <c r="O99" i="12"/>
  <c r="Q99" i="12" s="1"/>
  <c r="O74" i="12"/>
  <c r="O80" i="12"/>
  <c r="Q80" i="12" s="1"/>
  <c r="O83" i="12"/>
  <c r="Q83" i="12" s="1"/>
  <c r="O95" i="12"/>
  <c r="Q95" i="12" s="1"/>
  <c r="O50" i="12"/>
  <c r="Q50" i="12" s="1"/>
  <c r="O98" i="12"/>
  <c r="Q98" i="12" s="1"/>
  <c r="O59" i="12"/>
  <c r="Q59" i="12" s="1"/>
  <c r="O104" i="12"/>
  <c r="Q104" i="12" s="1"/>
  <c r="O107" i="12"/>
  <c r="Q107" i="12" s="1"/>
  <c r="O92" i="12"/>
  <c r="Q92" i="12" s="1"/>
  <c r="O53" i="12"/>
  <c r="Q53" i="12" s="1"/>
  <c r="O62" i="12"/>
  <c r="Q62" i="12" s="1"/>
  <c r="O101" i="12"/>
  <c r="Q101" i="12" s="1"/>
  <c r="L30" i="12"/>
  <c r="L5" i="12"/>
  <c r="L17" i="12"/>
  <c r="N17" i="12" s="1"/>
  <c r="N11" i="12"/>
  <c r="L122" i="12"/>
  <c r="N122" i="12" s="1"/>
  <c r="L126" i="12"/>
  <c r="N126" i="12" s="1"/>
  <c r="L121" i="12"/>
  <c r="N121" i="12" s="1"/>
  <c r="L128" i="12"/>
  <c r="N128" i="12" s="1"/>
  <c r="L116" i="12"/>
  <c r="N116" i="12" s="1"/>
  <c r="G126" i="12"/>
  <c r="G125" i="12"/>
  <c r="L114" i="12"/>
  <c r="N114" i="12" s="1"/>
  <c r="L123" i="12"/>
  <c r="N123" i="12" s="1"/>
  <c r="G114" i="12"/>
  <c r="L117" i="12"/>
  <c r="N117" i="12" s="1"/>
  <c r="Q51" i="12"/>
  <c r="P110" i="12"/>
  <c r="N132" i="12" s="1"/>
  <c r="Q54" i="12"/>
  <c r="Q57" i="12"/>
  <c r="Q60" i="12"/>
  <c r="Q102" i="12"/>
  <c r="Q105" i="12"/>
  <c r="Q108" i="12"/>
  <c r="Q65" i="12"/>
  <c r="Q74" i="12"/>
  <c r="O70" i="12"/>
  <c r="Q70" i="12" s="1"/>
  <c r="O106" i="12"/>
  <c r="Q106" i="12" s="1"/>
  <c r="N80" i="12"/>
  <c r="O85" i="12"/>
  <c r="Q85" i="12" s="1"/>
  <c r="N92" i="12"/>
  <c r="O97" i="12"/>
  <c r="Q97" i="12" s="1"/>
  <c r="N104" i="12"/>
  <c r="O56" i="12"/>
  <c r="Q56" i="12" s="1"/>
  <c r="O68" i="12"/>
  <c r="Q68" i="12" s="1"/>
  <c r="O94" i="12"/>
  <c r="Q94" i="12" s="1"/>
  <c r="J110" i="12"/>
  <c r="N110" i="12" s="1"/>
  <c r="O109" i="12"/>
  <c r="Q109" i="12" s="1"/>
  <c r="N59" i="12"/>
  <c r="N71" i="12"/>
  <c r="N83" i="12"/>
  <c r="N95" i="12"/>
  <c r="N107" i="12"/>
  <c r="N50" i="12"/>
  <c r="N62" i="12"/>
  <c r="N74" i="12"/>
  <c r="N86" i="12"/>
  <c r="O91" i="12"/>
  <c r="Q91" i="12" s="1"/>
  <c r="N98" i="12"/>
  <c r="O103" i="12"/>
  <c r="Q103" i="12" s="1"/>
  <c r="M45" i="12"/>
  <c r="N136" i="12" s="1"/>
  <c r="L44" i="12"/>
  <c r="N44" i="12" s="1"/>
  <c r="K44" i="12"/>
  <c r="F130" i="12"/>
  <c r="C132" i="12" s="1"/>
  <c r="L38" i="12"/>
  <c r="L39" i="12" s="1"/>
  <c r="N38" i="12"/>
  <c r="G38" i="12"/>
  <c r="N31" i="12"/>
  <c r="G30" i="12"/>
  <c r="G31" i="12"/>
  <c r="I33" i="12"/>
  <c r="N30" i="12"/>
  <c r="L29" i="12"/>
  <c r="N29" i="12" s="1"/>
  <c r="M24" i="12"/>
  <c r="N139" i="12" s="1"/>
  <c r="J130" i="12"/>
  <c r="C133" i="12" s="1"/>
  <c r="L23" i="12"/>
  <c r="N23" i="12" s="1"/>
  <c r="I24" i="12"/>
  <c r="M18" i="12"/>
  <c r="N133" i="12" s="1"/>
  <c r="K17" i="12"/>
  <c r="L12" i="12"/>
  <c r="N12" i="12" s="1"/>
  <c r="L15" i="12"/>
  <c r="N15" i="12"/>
  <c r="L10" i="12"/>
  <c r="N10" i="12" s="1"/>
  <c r="K5" i="12"/>
  <c r="O131" i="12"/>
  <c r="N138" i="12" s="1"/>
  <c r="G16" i="12"/>
  <c r="L16" i="12"/>
  <c r="N16" i="12" s="1"/>
  <c r="E24" i="12"/>
  <c r="L22" i="12"/>
  <c r="E33" i="12"/>
  <c r="E110" i="12"/>
  <c r="H49" i="12"/>
  <c r="N135" i="12"/>
  <c r="E18" i="12"/>
  <c r="L9" i="12"/>
  <c r="N9" i="12" s="1"/>
  <c r="N14" i="12"/>
  <c r="L28" i="12"/>
  <c r="O64" i="12"/>
  <c r="Q64" i="12" s="1"/>
  <c r="O88" i="12"/>
  <c r="Q88" i="12" s="1"/>
  <c r="O100" i="12"/>
  <c r="Q100" i="12" s="1"/>
  <c r="I129" i="12"/>
  <c r="G14" i="12"/>
  <c r="G9" i="12"/>
  <c r="K28" i="12"/>
  <c r="K33" i="12" s="1"/>
  <c r="K118" i="12"/>
  <c r="L118" i="12"/>
  <c r="N118" i="12" s="1"/>
  <c r="G120" i="12"/>
  <c r="L120" i="12"/>
  <c r="N120" i="12" s="1"/>
  <c r="L7" i="12"/>
  <c r="I18" i="12"/>
  <c r="K18" i="12" s="1"/>
  <c r="K7" i="12"/>
  <c r="I39" i="12"/>
  <c r="K38" i="12"/>
  <c r="K39" i="12" s="1"/>
  <c r="N39" i="12" s="1"/>
  <c r="K22" i="12"/>
  <c r="K24" i="12" s="1"/>
  <c r="G43" i="12"/>
  <c r="G122" i="12"/>
  <c r="E129" i="12"/>
  <c r="N64" i="12"/>
  <c r="N70" i="12"/>
  <c r="N85" i="12"/>
  <c r="N88" i="12"/>
  <c r="N91" i="12"/>
  <c r="N94" i="12"/>
  <c r="N97" i="12"/>
  <c r="N100" i="12"/>
  <c r="N103" i="12"/>
  <c r="N106" i="12"/>
  <c r="N109" i="12"/>
  <c r="K115" i="12"/>
  <c r="G117" i="12"/>
  <c r="E45" i="12"/>
  <c r="G13" i="12"/>
  <c r="G29" i="12"/>
  <c r="L32" i="12"/>
  <c r="N32" i="12" s="1"/>
  <c r="G37" i="12"/>
  <c r="K43" i="12"/>
  <c r="O49" i="12"/>
  <c r="H51" i="12"/>
  <c r="O52" i="12"/>
  <c r="Q52" i="12" s="1"/>
  <c r="H54" i="12"/>
  <c r="O55" i="12"/>
  <c r="Q55" i="12" s="1"/>
  <c r="H57" i="12"/>
  <c r="O58" i="12"/>
  <c r="Q58" i="12" s="1"/>
  <c r="H60" i="12"/>
  <c r="O61" i="12"/>
  <c r="Q61" i="12" s="1"/>
  <c r="H63" i="12"/>
  <c r="H66" i="12"/>
  <c r="O67" i="12"/>
  <c r="Q67" i="12" s="1"/>
  <c r="H69" i="12"/>
  <c r="H72" i="12"/>
  <c r="O73" i="12"/>
  <c r="Q73" i="12" s="1"/>
  <c r="H75" i="12"/>
  <c r="O76" i="12"/>
  <c r="Q76" i="12" s="1"/>
  <c r="H78" i="12"/>
  <c r="O79" i="12"/>
  <c r="Q79" i="12" s="1"/>
  <c r="H81" i="12"/>
  <c r="O82" i="12"/>
  <c r="Q82" i="12" s="1"/>
  <c r="H84" i="12"/>
  <c r="H87" i="12"/>
  <c r="H90" i="12"/>
  <c r="H93" i="12"/>
  <c r="H96" i="12"/>
  <c r="H99" i="12"/>
  <c r="H102" i="12"/>
  <c r="H105" i="12"/>
  <c r="H108" i="12"/>
  <c r="L115" i="12"/>
  <c r="N115" i="12" s="1"/>
  <c r="G124" i="12"/>
  <c r="L127" i="12"/>
  <c r="N127" i="12" s="1"/>
  <c r="G11" i="12"/>
  <c r="N49" i="12"/>
  <c r="G8" i="12"/>
  <c r="E39" i="12"/>
  <c r="G119" i="12"/>
  <c r="M33" i="12"/>
  <c r="N5" i="12"/>
  <c r="N43" i="12"/>
  <c r="L17" i="11"/>
  <c r="N17" i="11" s="1"/>
  <c r="L10" i="11"/>
  <c r="P110" i="11"/>
  <c r="N132" i="11" s="1"/>
  <c r="M24" i="11"/>
  <c r="N139" i="11" s="1"/>
  <c r="L22" i="11"/>
  <c r="O105" i="11"/>
  <c r="Q105" i="11" s="1"/>
  <c r="O99" i="11"/>
  <c r="Q99" i="11" s="1"/>
  <c r="E24" i="11"/>
  <c r="O97" i="11"/>
  <c r="M45" i="11"/>
  <c r="L28" i="11"/>
  <c r="N28" i="11" s="1"/>
  <c r="O102" i="11"/>
  <c r="Q102" i="11" s="1"/>
  <c r="L15" i="11"/>
  <c r="L5" i="11"/>
  <c r="N5" i="11" s="1"/>
  <c r="I39" i="11"/>
  <c r="L37" i="11"/>
  <c r="N37" i="11" s="1"/>
  <c r="L29" i="11"/>
  <c r="N29" i="11" s="1"/>
  <c r="L32" i="11"/>
  <c r="N32" i="11" s="1"/>
  <c r="L14" i="11"/>
  <c r="N14" i="11" s="1"/>
  <c r="L126" i="11"/>
  <c r="N126" i="11" s="1"/>
  <c r="L117" i="11"/>
  <c r="N117" i="11" s="1"/>
  <c r="G124" i="11"/>
  <c r="K126" i="11"/>
  <c r="L115" i="11"/>
  <c r="N115" i="11" s="1"/>
  <c r="L118" i="11"/>
  <c r="N118" i="11" s="1"/>
  <c r="L127" i="11"/>
  <c r="N127" i="11" s="1"/>
  <c r="L119" i="11"/>
  <c r="N119" i="11" s="1"/>
  <c r="O108" i="11"/>
  <c r="Q108" i="11" s="1"/>
  <c r="O51" i="11"/>
  <c r="Q51" i="11" s="1"/>
  <c r="O57" i="11"/>
  <c r="Q57" i="11" s="1"/>
  <c r="O63" i="11"/>
  <c r="Q63" i="11" s="1"/>
  <c r="O72" i="11"/>
  <c r="Q72" i="11" s="1"/>
  <c r="O106" i="11"/>
  <c r="Q106" i="11" s="1"/>
  <c r="O84" i="11"/>
  <c r="Q84" i="11" s="1"/>
  <c r="O78" i="11"/>
  <c r="Q78" i="11" s="1"/>
  <c r="O93" i="11"/>
  <c r="Q93" i="11" s="1"/>
  <c r="O54" i="11"/>
  <c r="Q54" i="11" s="1"/>
  <c r="O60" i="11"/>
  <c r="Q60" i="11" s="1"/>
  <c r="O66" i="11"/>
  <c r="Q66" i="11" s="1"/>
  <c r="O69" i="11"/>
  <c r="Q69" i="11" s="1"/>
  <c r="O75" i="11"/>
  <c r="Q75" i="11" s="1"/>
  <c r="O81" i="11"/>
  <c r="Q81" i="11" s="1"/>
  <c r="O87" i="11"/>
  <c r="Q87" i="11" s="1"/>
  <c r="O90" i="11"/>
  <c r="Q90" i="11" s="1"/>
  <c r="Q97" i="11"/>
  <c r="O88" i="11"/>
  <c r="Q88" i="11" s="1"/>
  <c r="N60" i="11"/>
  <c r="N81" i="11"/>
  <c r="N72" i="11"/>
  <c r="O79" i="11"/>
  <c r="Q79" i="11" s="1"/>
  <c r="N102" i="11"/>
  <c r="O109" i="11"/>
  <c r="Q109" i="11" s="1"/>
  <c r="N51" i="11"/>
  <c r="O91" i="11"/>
  <c r="Q91" i="11" s="1"/>
  <c r="N93" i="11"/>
  <c r="O100" i="11"/>
  <c r="Q100" i="11" s="1"/>
  <c r="N63" i="11"/>
  <c r="O82" i="11"/>
  <c r="Q82" i="11" s="1"/>
  <c r="N84" i="11"/>
  <c r="N54" i="11"/>
  <c r="N75" i="11"/>
  <c r="O103" i="11"/>
  <c r="Q103" i="11" s="1"/>
  <c r="E110" i="11"/>
  <c r="N66" i="11"/>
  <c r="O94" i="11"/>
  <c r="Q94" i="11" s="1"/>
  <c r="N96" i="11"/>
  <c r="N105" i="11"/>
  <c r="N87" i="11"/>
  <c r="N57" i="11"/>
  <c r="O85" i="11"/>
  <c r="Q85" i="11" s="1"/>
  <c r="O76" i="11"/>
  <c r="Q76" i="11" s="1"/>
  <c r="K45" i="11"/>
  <c r="K38" i="11"/>
  <c r="K39" i="11" s="1"/>
  <c r="L38" i="11"/>
  <c r="N38" i="11" s="1"/>
  <c r="G37" i="11"/>
  <c r="L30" i="11"/>
  <c r="N30" i="11" s="1"/>
  <c r="J130" i="11"/>
  <c r="C133" i="11" s="1"/>
  <c r="F130" i="11"/>
  <c r="C132" i="11" s="1"/>
  <c r="N13" i="11"/>
  <c r="G13" i="11"/>
  <c r="G15" i="11"/>
  <c r="L16" i="11"/>
  <c r="N16" i="11" s="1"/>
  <c r="L12" i="11"/>
  <c r="N12" i="11" s="1"/>
  <c r="L43" i="11"/>
  <c r="N43" i="11" s="1"/>
  <c r="E45" i="11"/>
  <c r="G43" i="11"/>
  <c r="O70" i="11"/>
  <c r="Q70" i="11" s="1"/>
  <c r="N70" i="11"/>
  <c r="J110" i="11"/>
  <c r="N110" i="11" s="1"/>
  <c r="O49" i="11"/>
  <c r="N49" i="11"/>
  <c r="M18" i="11"/>
  <c r="L110" i="11"/>
  <c r="O64" i="11"/>
  <c r="Q64" i="11" s="1"/>
  <c r="N64" i="11"/>
  <c r="N9" i="11"/>
  <c r="M39" i="11"/>
  <c r="L114" i="11"/>
  <c r="I129" i="11"/>
  <c r="K114" i="11"/>
  <c r="G10" i="11"/>
  <c r="L44" i="11"/>
  <c r="N44" i="11" s="1"/>
  <c r="G44" i="11"/>
  <c r="O73" i="11"/>
  <c r="Q73" i="11" s="1"/>
  <c r="N73" i="11"/>
  <c r="G17" i="11"/>
  <c r="I24" i="11"/>
  <c r="K22" i="11"/>
  <c r="K24" i="11" s="1"/>
  <c r="G28" i="11"/>
  <c r="E33" i="11"/>
  <c r="H50" i="11"/>
  <c r="O52" i="11"/>
  <c r="Q52" i="11" s="1"/>
  <c r="N52" i="11"/>
  <c r="M129" i="11"/>
  <c r="O131" i="11" s="1"/>
  <c r="N138" i="11" s="1"/>
  <c r="G5" i="11"/>
  <c r="N7" i="11"/>
  <c r="N22" i="11"/>
  <c r="O67" i="11"/>
  <c r="Q67" i="11" s="1"/>
  <c r="N67" i="11"/>
  <c r="N10" i="11"/>
  <c r="L23" i="11"/>
  <c r="L24" i="11" s="1"/>
  <c r="L121" i="11"/>
  <c r="N121" i="11" s="1"/>
  <c r="G128" i="11"/>
  <c r="I18" i="11"/>
  <c r="K18" i="11" s="1"/>
  <c r="L11" i="11"/>
  <c r="N11" i="11" s="1"/>
  <c r="G11" i="11"/>
  <c r="M33" i="11"/>
  <c r="O61" i="11"/>
  <c r="Q61" i="11" s="1"/>
  <c r="N61" i="11"/>
  <c r="G12" i="11"/>
  <c r="N136" i="11"/>
  <c r="E18" i="11"/>
  <c r="G7" i="11"/>
  <c r="I33" i="11"/>
  <c r="L31" i="11"/>
  <c r="K119" i="11"/>
  <c r="O58" i="11"/>
  <c r="Q58" i="11" s="1"/>
  <c r="N58" i="11"/>
  <c r="G123" i="11"/>
  <c r="L123" i="11"/>
  <c r="N123" i="11" s="1"/>
  <c r="L8" i="11"/>
  <c r="N8" i="11" s="1"/>
  <c r="N15" i="11"/>
  <c r="K31" i="11"/>
  <c r="O55" i="11"/>
  <c r="Q55" i="11" s="1"/>
  <c r="N55" i="11"/>
  <c r="L116" i="11"/>
  <c r="N116" i="11" s="1"/>
  <c r="E129" i="11"/>
  <c r="G9" i="11"/>
  <c r="G22" i="11"/>
  <c r="O50" i="11"/>
  <c r="Q50" i="11" s="1"/>
  <c r="O53" i="11"/>
  <c r="Q53" i="11" s="1"/>
  <c r="O56" i="11"/>
  <c r="Q56" i="11" s="1"/>
  <c r="O59" i="11"/>
  <c r="Q59" i="11" s="1"/>
  <c r="O62" i="11"/>
  <c r="Q62" i="11" s="1"/>
  <c r="O65" i="11"/>
  <c r="Q65" i="11" s="1"/>
  <c r="O68" i="11"/>
  <c r="Q68" i="11" s="1"/>
  <c r="O71" i="11"/>
  <c r="Q71" i="11" s="1"/>
  <c r="O74" i="11"/>
  <c r="Q74" i="11" s="1"/>
  <c r="O77" i="11"/>
  <c r="Q77" i="11" s="1"/>
  <c r="O80" i="11"/>
  <c r="Q80" i="11" s="1"/>
  <c r="O83" i="11"/>
  <c r="Q83" i="11" s="1"/>
  <c r="O86" i="11"/>
  <c r="Q86" i="11" s="1"/>
  <c r="O89" i="11"/>
  <c r="Q89" i="11" s="1"/>
  <c r="O92" i="11"/>
  <c r="Q92" i="11" s="1"/>
  <c r="O95" i="11"/>
  <c r="Q95" i="11" s="1"/>
  <c r="O98" i="11"/>
  <c r="Q98" i="11" s="1"/>
  <c r="O101" i="11"/>
  <c r="Q101" i="11" s="1"/>
  <c r="O104" i="11"/>
  <c r="Q104" i="11" s="1"/>
  <c r="O107" i="11"/>
  <c r="Q107" i="11" s="1"/>
  <c r="G120" i="11"/>
  <c r="G122" i="11"/>
  <c r="L125" i="11"/>
  <c r="N125" i="11" s="1"/>
  <c r="K16" i="11"/>
  <c r="K32" i="11"/>
  <c r="N76" i="11"/>
  <c r="N79" i="11"/>
  <c r="N82" i="11"/>
  <c r="N85" i="11"/>
  <c r="N88" i="11"/>
  <c r="N91" i="11"/>
  <c r="N94" i="11"/>
  <c r="N97" i="11"/>
  <c r="N100" i="11"/>
  <c r="N103" i="11"/>
  <c r="N106" i="11"/>
  <c r="N109" i="11"/>
  <c r="K115" i="11"/>
  <c r="K127" i="11"/>
  <c r="E39" i="11"/>
  <c r="I45" i="11"/>
  <c r="L119" i="10"/>
  <c r="N119" i="10" s="1"/>
  <c r="L127" i="10"/>
  <c r="N127" i="10" s="1"/>
  <c r="P110" i="10"/>
  <c r="N132" i="10" s="1"/>
  <c r="O59" i="10"/>
  <c r="I45" i="10"/>
  <c r="Q68" i="10"/>
  <c r="Q59" i="10"/>
  <c r="Q50" i="10"/>
  <c r="M33" i="10"/>
  <c r="N134" i="10" s="1"/>
  <c r="O90" i="10"/>
  <c r="Q90" i="10" s="1"/>
  <c r="L22" i="10"/>
  <c r="N22" i="10" s="1"/>
  <c r="L15" i="10"/>
  <c r="N15" i="10" s="1"/>
  <c r="O108" i="10"/>
  <c r="Q108" i="10" s="1"/>
  <c r="O55" i="10"/>
  <c r="Q55" i="10" s="1"/>
  <c r="O54" i="10"/>
  <c r="Q54" i="10" s="1"/>
  <c r="O63" i="10"/>
  <c r="Q63" i="10" s="1"/>
  <c r="O66" i="10"/>
  <c r="Q66" i="10" s="1"/>
  <c r="O72" i="10"/>
  <c r="Q72" i="10" s="1"/>
  <c r="E39" i="10"/>
  <c r="L12" i="10"/>
  <c r="N12" i="10" s="1"/>
  <c r="L123" i="10"/>
  <c r="N123" i="10" s="1"/>
  <c r="L118" i="10"/>
  <c r="N118" i="10" s="1"/>
  <c r="L122" i="10"/>
  <c r="N122" i="10" s="1"/>
  <c r="L125" i="10"/>
  <c r="N125" i="10" s="1"/>
  <c r="L117" i="10"/>
  <c r="N117" i="10" s="1"/>
  <c r="O49" i="10"/>
  <c r="Q49" i="10" s="1"/>
  <c r="O64" i="10"/>
  <c r="Q64" i="10" s="1"/>
  <c r="N66" i="10"/>
  <c r="O75" i="10"/>
  <c r="Q75" i="10" s="1"/>
  <c r="O93" i="10"/>
  <c r="Q93" i="10" s="1"/>
  <c r="O69" i="10"/>
  <c r="Q69" i="10" s="1"/>
  <c r="O73" i="10"/>
  <c r="Q73" i="10" s="1"/>
  <c r="O78" i="10"/>
  <c r="Q78" i="10" s="1"/>
  <c r="O96" i="10"/>
  <c r="Q96" i="10" s="1"/>
  <c r="N54" i="10"/>
  <c r="H50" i="10"/>
  <c r="O56" i="10"/>
  <c r="Q56" i="10" s="1"/>
  <c r="O81" i="10"/>
  <c r="Q81" i="10" s="1"/>
  <c r="O99" i="10"/>
  <c r="Q99" i="10" s="1"/>
  <c r="O52" i="10"/>
  <c r="Q52" i="10" s="1"/>
  <c r="N63" i="10"/>
  <c r="H59" i="10"/>
  <c r="O65" i="10"/>
  <c r="Q65" i="10" s="1"/>
  <c r="O84" i="10"/>
  <c r="Q84" i="10" s="1"/>
  <c r="O102" i="10"/>
  <c r="Q102" i="10" s="1"/>
  <c r="O61" i="10"/>
  <c r="Q61" i="10" s="1"/>
  <c r="N72" i="10"/>
  <c r="O57" i="10"/>
  <c r="Q57" i="10" s="1"/>
  <c r="H68" i="10"/>
  <c r="O74" i="10"/>
  <c r="Q74" i="10" s="1"/>
  <c r="O87" i="10"/>
  <c r="Q87" i="10" s="1"/>
  <c r="O105" i="10"/>
  <c r="Q105" i="10" s="1"/>
  <c r="O70" i="10"/>
  <c r="Q70" i="10" s="1"/>
  <c r="K43" i="10"/>
  <c r="K45" i="10" s="1"/>
  <c r="G37" i="10"/>
  <c r="L37" i="10"/>
  <c r="N37" i="10" s="1"/>
  <c r="L38" i="10"/>
  <c r="N38" i="10" s="1"/>
  <c r="K38" i="10"/>
  <c r="I33" i="10"/>
  <c r="L30" i="10"/>
  <c r="N30" i="10" s="1"/>
  <c r="M24" i="10"/>
  <c r="N139" i="10" s="1"/>
  <c r="G22" i="10"/>
  <c r="E24" i="10"/>
  <c r="K12" i="10"/>
  <c r="L7" i="10"/>
  <c r="N7" i="10" s="1"/>
  <c r="L13" i="10"/>
  <c r="N13" i="10" s="1"/>
  <c r="I18" i="10"/>
  <c r="K18" i="10" s="1"/>
  <c r="L14" i="10"/>
  <c r="N14" i="10" s="1"/>
  <c r="N17" i="10"/>
  <c r="K14" i="10"/>
  <c r="N16" i="10"/>
  <c r="G115" i="10"/>
  <c r="K29" i="10"/>
  <c r="K33" i="10" s="1"/>
  <c r="E110" i="10"/>
  <c r="K8" i="10"/>
  <c r="L120" i="10"/>
  <c r="N120" i="10" s="1"/>
  <c r="K120" i="10"/>
  <c r="G127" i="10"/>
  <c r="N8" i="10"/>
  <c r="I39" i="10"/>
  <c r="N69" i="10"/>
  <c r="O106" i="10"/>
  <c r="Q106" i="10" s="1"/>
  <c r="N108" i="10"/>
  <c r="K13" i="10"/>
  <c r="K37" i="10"/>
  <c r="O51" i="10"/>
  <c r="Q51" i="10" s="1"/>
  <c r="O60" i="10"/>
  <c r="Q60" i="10" s="1"/>
  <c r="L116" i="10"/>
  <c r="N116" i="10" s="1"/>
  <c r="G116" i="10"/>
  <c r="L11" i="10"/>
  <c r="N11" i="10" s="1"/>
  <c r="L23" i="10"/>
  <c r="N23" i="10" s="1"/>
  <c r="L32" i="10"/>
  <c r="N32" i="10" s="1"/>
  <c r="O53" i="10"/>
  <c r="Q53" i="10" s="1"/>
  <c r="O62" i="10"/>
  <c r="Q62" i="10" s="1"/>
  <c r="O71" i="10"/>
  <c r="Q71" i="10" s="1"/>
  <c r="G121" i="10"/>
  <c r="K125" i="10"/>
  <c r="L124" i="10"/>
  <c r="N124" i="10" s="1"/>
  <c r="O76" i="10"/>
  <c r="Q76" i="10" s="1"/>
  <c r="N75" i="10"/>
  <c r="G119" i="10"/>
  <c r="M18" i="10"/>
  <c r="G8" i="10"/>
  <c r="I129" i="10"/>
  <c r="L110" i="10"/>
  <c r="G15" i="10"/>
  <c r="O58" i="10"/>
  <c r="Q58" i="10" s="1"/>
  <c r="O67" i="10"/>
  <c r="Q67" i="10" s="1"/>
  <c r="N78" i="10"/>
  <c r="O80" i="10"/>
  <c r="Q80" i="10" s="1"/>
  <c r="O82" i="10"/>
  <c r="Q82" i="10" s="1"/>
  <c r="O86" i="10"/>
  <c r="Q86" i="10" s="1"/>
  <c r="O88" i="10"/>
  <c r="Q88" i="10" s="1"/>
  <c r="N90" i="10"/>
  <c r="O94" i="10"/>
  <c r="Q94" i="10" s="1"/>
  <c r="O98" i="10"/>
  <c r="Q98" i="10" s="1"/>
  <c r="N102" i="10"/>
  <c r="O104" i="10"/>
  <c r="Q104" i="10" s="1"/>
  <c r="L44" i="10"/>
  <c r="N44" i="10" s="1"/>
  <c r="E45" i="10"/>
  <c r="G43" i="10"/>
  <c r="L114" i="10"/>
  <c r="E129" i="10"/>
  <c r="L128" i="10"/>
  <c r="N128" i="10" s="1"/>
  <c r="G128" i="10"/>
  <c r="G16" i="10"/>
  <c r="J130" i="10"/>
  <c r="C133" i="10" s="1"/>
  <c r="L28" i="10"/>
  <c r="N28" i="10"/>
  <c r="E33" i="10"/>
  <c r="O77" i="10"/>
  <c r="Q77" i="10" s="1"/>
  <c r="O79" i="10"/>
  <c r="Q79" i="10" s="1"/>
  <c r="N81" i="10"/>
  <c r="O83" i="10"/>
  <c r="Q83" i="10" s="1"/>
  <c r="O85" i="10"/>
  <c r="Q85" i="10" s="1"/>
  <c r="N87" i="10"/>
  <c r="O89" i="10"/>
  <c r="Q89" i="10" s="1"/>
  <c r="O91" i="10"/>
  <c r="Q91" i="10" s="1"/>
  <c r="N93" i="10"/>
  <c r="O95" i="10"/>
  <c r="Q95" i="10" s="1"/>
  <c r="O97" i="10"/>
  <c r="Q97" i="10" s="1"/>
  <c r="N99" i="10"/>
  <c r="O101" i="10"/>
  <c r="Q101" i="10" s="1"/>
  <c r="O103" i="10"/>
  <c r="Q103" i="10" s="1"/>
  <c r="N105" i="10"/>
  <c r="L126" i="10"/>
  <c r="N126" i="10" s="1"/>
  <c r="J110" i="10"/>
  <c r="N110" i="10" s="1"/>
  <c r="N49" i="10"/>
  <c r="G17" i="10"/>
  <c r="L29" i="10"/>
  <c r="N29" i="10" s="1"/>
  <c r="I24" i="10"/>
  <c r="K22" i="10"/>
  <c r="K24" i="10" s="1"/>
  <c r="N84" i="10"/>
  <c r="O92" i="10"/>
  <c r="Q92" i="10" s="1"/>
  <c r="N96" i="10"/>
  <c r="O100" i="10"/>
  <c r="Q100" i="10" s="1"/>
  <c r="L9" i="10"/>
  <c r="N9" i="10" s="1"/>
  <c r="K9" i="10"/>
  <c r="M39" i="10"/>
  <c r="L5" i="10"/>
  <c r="N5" i="10" s="1"/>
  <c r="L10" i="10"/>
  <c r="N10" i="10" s="1"/>
  <c r="L31" i="10"/>
  <c r="N31" i="10" s="1"/>
  <c r="F130" i="10"/>
  <c r="C132" i="10" s="1"/>
  <c r="L43" i="10"/>
  <c r="N43" i="10" s="1"/>
  <c r="O107" i="10"/>
  <c r="Q107" i="10" s="1"/>
  <c r="O109" i="10"/>
  <c r="Q109" i="10" s="1"/>
  <c r="N136" i="10"/>
  <c r="E18" i="10"/>
  <c r="L121" i="9"/>
  <c r="N121" i="9" s="1"/>
  <c r="O69" i="9"/>
  <c r="Q69" i="9" s="1"/>
  <c r="L10" i="9"/>
  <c r="N10" i="9" s="1"/>
  <c r="Q107" i="9"/>
  <c r="P110" i="9"/>
  <c r="N132" i="9" s="1"/>
  <c r="O81" i="9"/>
  <c r="Q81" i="9" s="1"/>
  <c r="O57" i="9"/>
  <c r="Q57" i="9" s="1"/>
  <c r="O93" i="9"/>
  <c r="Q93" i="9" s="1"/>
  <c r="O105" i="9"/>
  <c r="Q105" i="9" s="1"/>
  <c r="O102" i="9"/>
  <c r="Q102" i="9" s="1"/>
  <c r="O56" i="9"/>
  <c r="Q56" i="9" s="1"/>
  <c r="O83" i="9"/>
  <c r="Q83" i="9" s="1"/>
  <c r="E45" i="9"/>
  <c r="M129" i="9"/>
  <c r="L124" i="9"/>
  <c r="N124" i="9" s="1"/>
  <c r="L117" i="9"/>
  <c r="N117" i="9" s="1"/>
  <c r="L125" i="9"/>
  <c r="N125" i="9" s="1"/>
  <c r="L128" i="9"/>
  <c r="N128" i="9" s="1"/>
  <c r="L126" i="9"/>
  <c r="N126" i="9" s="1"/>
  <c r="O54" i="9"/>
  <c r="Q54" i="9" s="1"/>
  <c r="N81" i="9"/>
  <c r="O86" i="9"/>
  <c r="Q86" i="9" s="1"/>
  <c r="O62" i="9"/>
  <c r="Q62" i="9" s="1"/>
  <c r="N105" i="9"/>
  <c r="O68" i="9"/>
  <c r="Q68" i="9" s="1"/>
  <c r="N57" i="9"/>
  <c r="O87" i="9"/>
  <c r="Q87" i="9" s="1"/>
  <c r="O90" i="9"/>
  <c r="Q90" i="9" s="1"/>
  <c r="O95" i="9"/>
  <c r="Q95" i="9" s="1"/>
  <c r="O63" i="9"/>
  <c r="Q63" i="9" s="1"/>
  <c r="N87" i="9"/>
  <c r="O98" i="9"/>
  <c r="Q98" i="9" s="1"/>
  <c r="O80" i="9"/>
  <c r="Q80" i="9" s="1"/>
  <c r="N93" i="9"/>
  <c r="O74" i="9"/>
  <c r="Q74" i="9" s="1"/>
  <c r="N69" i="9"/>
  <c r="O72" i="9"/>
  <c r="Q72" i="9" s="1"/>
  <c r="O99" i="9"/>
  <c r="Q99" i="9" s="1"/>
  <c r="G43" i="9"/>
  <c r="L44" i="9"/>
  <c r="N44" i="9"/>
  <c r="M33" i="9"/>
  <c r="N134" i="9" s="1"/>
  <c r="L29" i="9"/>
  <c r="N29" i="9"/>
  <c r="L31" i="9"/>
  <c r="N31" i="9" s="1"/>
  <c r="F130" i="9"/>
  <c r="C132" i="9" s="1"/>
  <c r="L13" i="9"/>
  <c r="N13" i="9" s="1"/>
  <c r="N7" i="9"/>
  <c r="L17" i="9"/>
  <c r="N17" i="9" s="1"/>
  <c r="G8" i="9"/>
  <c r="L5" i="9"/>
  <c r="N11" i="9"/>
  <c r="N5" i="9"/>
  <c r="L15" i="9"/>
  <c r="N15" i="9" s="1"/>
  <c r="L16" i="9"/>
  <c r="N16" i="9" s="1"/>
  <c r="K13" i="9"/>
  <c r="E33" i="9"/>
  <c r="L28" i="9"/>
  <c r="O65" i="9"/>
  <c r="Q65" i="9" s="1"/>
  <c r="N65" i="9"/>
  <c r="I33" i="9"/>
  <c r="L38" i="9"/>
  <c r="N38" i="9" s="1"/>
  <c r="E39" i="9"/>
  <c r="G38" i="9"/>
  <c r="L23" i="9"/>
  <c r="N23" i="9" s="1"/>
  <c r="G23" i="9"/>
  <c r="O104" i="9"/>
  <c r="Q104" i="9" s="1"/>
  <c r="N104" i="9"/>
  <c r="O75" i="9"/>
  <c r="Q75" i="9" s="1"/>
  <c r="N75" i="9"/>
  <c r="K43" i="9"/>
  <c r="K45" i="9" s="1"/>
  <c r="I45" i="9"/>
  <c r="L43" i="9"/>
  <c r="O73" i="9"/>
  <c r="Q73" i="9" s="1"/>
  <c r="N73" i="9"/>
  <c r="N8" i="9"/>
  <c r="G28" i="9"/>
  <c r="N71" i="9"/>
  <c r="O71" i="9"/>
  <c r="Q71" i="9" s="1"/>
  <c r="N6" i="9"/>
  <c r="M18" i="9"/>
  <c r="L118" i="9"/>
  <c r="N118" i="9" s="1"/>
  <c r="G118" i="9"/>
  <c r="G11" i="9"/>
  <c r="K125" i="9"/>
  <c r="E18" i="9"/>
  <c r="K28" i="9"/>
  <c r="K33" i="9" s="1"/>
  <c r="M45" i="9"/>
  <c r="O61" i="9"/>
  <c r="Q61" i="9" s="1"/>
  <c r="N61" i="9"/>
  <c r="G116" i="9"/>
  <c r="G121" i="9"/>
  <c r="J130" i="9"/>
  <c r="C133" i="9" s="1"/>
  <c r="L9" i="9"/>
  <c r="N9" i="9" s="1"/>
  <c r="L14" i="9"/>
  <c r="G14" i="9"/>
  <c r="O51" i="9"/>
  <c r="Q51" i="9" s="1"/>
  <c r="O59" i="9"/>
  <c r="Q59" i="9" s="1"/>
  <c r="O76" i="9"/>
  <c r="Q76" i="9" s="1"/>
  <c r="N76" i="9"/>
  <c r="O92" i="9"/>
  <c r="Q92" i="9" s="1"/>
  <c r="O78" i="9"/>
  <c r="Q78" i="9" s="1"/>
  <c r="N80" i="9"/>
  <c r="O82" i="9"/>
  <c r="Q82" i="9" s="1"/>
  <c r="N82" i="9"/>
  <c r="G114" i="9"/>
  <c r="G12" i="9"/>
  <c r="E129" i="9"/>
  <c r="E110" i="9"/>
  <c r="H50" i="9"/>
  <c r="O66" i="9"/>
  <c r="Q66" i="9" s="1"/>
  <c r="N68" i="9"/>
  <c r="O70" i="9"/>
  <c r="Q70" i="9" s="1"/>
  <c r="N70" i="9"/>
  <c r="N107" i="9"/>
  <c r="L119" i="9"/>
  <c r="N119" i="9" s="1"/>
  <c r="G10" i="9"/>
  <c r="G37" i="9"/>
  <c r="L37" i="9"/>
  <c r="M39" i="9"/>
  <c r="O50" i="9"/>
  <c r="Q50" i="9" s="1"/>
  <c r="N54" i="9"/>
  <c r="N89" i="9"/>
  <c r="O89" i="9"/>
  <c r="Q89" i="9" s="1"/>
  <c r="O97" i="9"/>
  <c r="Q97" i="9" s="1"/>
  <c r="N97" i="9"/>
  <c r="O100" i="9"/>
  <c r="Q100" i="9" s="1"/>
  <c r="N100" i="9"/>
  <c r="O106" i="9"/>
  <c r="Q106" i="9" s="1"/>
  <c r="N106" i="9"/>
  <c r="O49" i="9"/>
  <c r="J110" i="9"/>
  <c r="N110" i="9" s="1"/>
  <c r="N53" i="9"/>
  <c r="O53" i="9"/>
  <c r="Q53" i="9" s="1"/>
  <c r="O88" i="9"/>
  <c r="Q88" i="9" s="1"/>
  <c r="N88" i="9"/>
  <c r="N90" i="9"/>
  <c r="L110" i="9"/>
  <c r="N63" i="9"/>
  <c r="O94" i="9"/>
  <c r="Q94" i="9" s="1"/>
  <c r="N94" i="9"/>
  <c r="L123" i="9"/>
  <c r="N123" i="9" s="1"/>
  <c r="N14" i="9"/>
  <c r="O64" i="9"/>
  <c r="Q64" i="9" s="1"/>
  <c r="N64" i="9"/>
  <c r="O101" i="9"/>
  <c r="Q101" i="9" s="1"/>
  <c r="N101" i="9"/>
  <c r="O109" i="9"/>
  <c r="Q109" i="9" s="1"/>
  <c r="N109" i="9"/>
  <c r="I129" i="9"/>
  <c r="K114" i="9"/>
  <c r="E24" i="9"/>
  <c r="L22" i="9"/>
  <c r="G22" i="9"/>
  <c r="L32" i="9"/>
  <c r="N32" i="9" s="1"/>
  <c r="I39" i="9"/>
  <c r="O58" i="9"/>
  <c r="Q58" i="9" s="1"/>
  <c r="N58" i="9"/>
  <c r="N99" i="9"/>
  <c r="L127" i="9"/>
  <c r="N127" i="9" s="1"/>
  <c r="K22" i="9"/>
  <c r="K24" i="9" s="1"/>
  <c r="I24" i="9"/>
  <c r="L30" i="9"/>
  <c r="N30" i="9" s="1"/>
  <c r="O77" i="9"/>
  <c r="Q77" i="9" s="1"/>
  <c r="N77" i="9"/>
  <c r="O85" i="9"/>
  <c r="Q85" i="9" s="1"/>
  <c r="N85" i="9"/>
  <c r="L120" i="9"/>
  <c r="N120" i="9" s="1"/>
  <c r="G120" i="9"/>
  <c r="K37" i="9"/>
  <c r="K39" i="9" s="1"/>
  <c r="G7" i="9"/>
  <c r="G16" i="9"/>
  <c r="O55" i="9"/>
  <c r="Q55" i="9" s="1"/>
  <c r="N55" i="9"/>
  <c r="O67" i="9"/>
  <c r="Q67" i="9" s="1"/>
  <c r="N67" i="9"/>
  <c r="N72" i="9"/>
  <c r="O79" i="9"/>
  <c r="Q79" i="9" s="1"/>
  <c r="N79" i="9"/>
  <c r="I18" i="9"/>
  <c r="K18" i="9" s="1"/>
  <c r="N50" i="9"/>
  <c r="O60" i="9"/>
  <c r="Q60" i="9" s="1"/>
  <c r="O84" i="9"/>
  <c r="Q84" i="9" s="1"/>
  <c r="O96" i="9"/>
  <c r="Q96" i="9" s="1"/>
  <c r="O108" i="9"/>
  <c r="Q108" i="9" s="1"/>
  <c r="N137" i="9"/>
  <c r="L122" i="9"/>
  <c r="N122" i="9" s="1"/>
  <c r="K124" i="9"/>
  <c r="O91" i="9"/>
  <c r="Q91" i="9" s="1"/>
  <c r="N91" i="9"/>
  <c r="O103" i="9"/>
  <c r="Q103" i="9" s="1"/>
  <c r="N103" i="9"/>
  <c r="K7" i="9"/>
  <c r="O52" i="9"/>
  <c r="Q52" i="9" s="1"/>
  <c r="L115" i="9"/>
  <c r="N115" i="9" s="1"/>
  <c r="L128" i="8"/>
  <c r="L121" i="8"/>
  <c r="O56" i="8"/>
  <c r="K44" i="8"/>
  <c r="K45" i="8" s="1"/>
  <c r="L11" i="8"/>
  <c r="N11" i="8" s="1"/>
  <c r="O63" i="8"/>
  <c r="Q63" i="8" s="1"/>
  <c r="N121" i="8"/>
  <c r="O74" i="8"/>
  <c r="Q74" i="8" s="1"/>
  <c r="O52" i="8"/>
  <c r="Q52" i="8" s="1"/>
  <c r="O49" i="8"/>
  <c r="Q49" i="8" s="1"/>
  <c r="O57" i="8"/>
  <c r="Q57" i="8" s="1"/>
  <c r="O92" i="8"/>
  <c r="Q92" i="8" s="1"/>
  <c r="E24" i="8"/>
  <c r="L16" i="8"/>
  <c r="N16" i="8" s="1"/>
  <c r="Q50" i="8"/>
  <c r="Q56" i="8"/>
  <c r="Q77" i="8"/>
  <c r="Q95" i="8"/>
  <c r="Q104" i="8"/>
  <c r="P110" i="8"/>
  <c r="N132" i="8" s="1"/>
  <c r="N128" i="8"/>
  <c r="O108" i="8"/>
  <c r="Q108" i="8" s="1"/>
  <c r="O94" i="8"/>
  <c r="Q94" i="8" s="1"/>
  <c r="O70" i="8"/>
  <c r="Q70" i="8" s="1"/>
  <c r="O96" i="8"/>
  <c r="Q96" i="8" s="1"/>
  <c r="O91" i="8"/>
  <c r="Q91" i="8" s="1"/>
  <c r="O106" i="8"/>
  <c r="Q106" i="8" s="1"/>
  <c r="O72" i="8"/>
  <c r="Q72" i="8" s="1"/>
  <c r="O78" i="8"/>
  <c r="Q78" i="8" s="1"/>
  <c r="O82" i="8"/>
  <c r="Q82" i="8" s="1"/>
  <c r="O84" i="8"/>
  <c r="Q84" i="8" s="1"/>
  <c r="O90" i="8"/>
  <c r="Q90" i="8" s="1"/>
  <c r="L9" i="8"/>
  <c r="L17" i="8"/>
  <c r="I129" i="8"/>
  <c r="G124" i="8"/>
  <c r="G127" i="8"/>
  <c r="L118" i="8"/>
  <c r="N118" i="8" s="1"/>
  <c r="L116" i="8"/>
  <c r="N116" i="8" s="1"/>
  <c r="G128" i="8"/>
  <c r="G116" i="8"/>
  <c r="L122" i="8"/>
  <c r="N122" i="8" s="1"/>
  <c r="L125" i="8"/>
  <c r="N125" i="8" s="1"/>
  <c r="L117" i="8"/>
  <c r="N117" i="8" s="1"/>
  <c r="N49" i="8"/>
  <c r="N52" i="8"/>
  <c r="N57" i="8"/>
  <c r="N90" i="8"/>
  <c r="O67" i="8"/>
  <c r="Q67" i="8" s="1"/>
  <c r="O81" i="8"/>
  <c r="Q81" i="8" s="1"/>
  <c r="O88" i="8"/>
  <c r="Q88" i="8" s="1"/>
  <c r="O100" i="8"/>
  <c r="Q100" i="8" s="1"/>
  <c r="O75" i="8"/>
  <c r="Q75" i="8" s="1"/>
  <c r="N82" i="8"/>
  <c r="O59" i="8"/>
  <c r="Q59" i="8" s="1"/>
  <c r="O64" i="8"/>
  <c r="Q64" i="8" s="1"/>
  <c r="O73" i="8"/>
  <c r="Q73" i="8" s="1"/>
  <c r="N78" i="8"/>
  <c r="O80" i="8"/>
  <c r="Q80" i="8" s="1"/>
  <c r="O55" i="8"/>
  <c r="Q55" i="8" s="1"/>
  <c r="O83" i="8"/>
  <c r="Q83" i="8" s="1"/>
  <c r="O62" i="8"/>
  <c r="Q62" i="8" s="1"/>
  <c r="O58" i="8"/>
  <c r="Q58" i="8" s="1"/>
  <c r="O60" i="8"/>
  <c r="Q60" i="8" s="1"/>
  <c r="N72" i="8"/>
  <c r="Q86" i="8"/>
  <c r="O103" i="8"/>
  <c r="Q103" i="8" s="1"/>
  <c r="O101" i="8"/>
  <c r="Q101" i="8" s="1"/>
  <c r="N106" i="8"/>
  <c r="O99" i="8"/>
  <c r="Q99" i="8" s="1"/>
  <c r="O85" i="8"/>
  <c r="Q85" i="8" s="1"/>
  <c r="O76" i="8"/>
  <c r="Q76" i="8" s="1"/>
  <c r="O109" i="8"/>
  <c r="Q109" i="8" s="1"/>
  <c r="O65" i="8"/>
  <c r="Q65" i="8" s="1"/>
  <c r="O68" i="8"/>
  <c r="Q68" i="8" s="1"/>
  <c r="O98" i="8"/>
  <c r="Q98" i="8" s="1"/>
  <c r="N44" i="8"/>
  <c r="L37" i="8"/>
  <c r="N37" i="8" s="1"/>
  <c r="E39" i="8"/>
  <c r="L38" i="8"/>
  <c r="N38" i="8" s="1"/>
  <c r="I39" i="8"/>
  <c r="L30" i="8"/>
  <c r="L28" i="8"/>
  <c r="L32" i="8"/>
  <c r="N32" i="8" s="1"/>
  <c r="L22" i="8"/>
  <c r="N22" i="8" s="1"/>
  <c r="L23" i="8"/>
  <c r="N23" i="8" s="1"/>
  <c r="L12" i="8"/>
  <c r="N12" i="8" s="1"/>
  <c r="L10" i="8"/>
  <c r="N10" i="8" s="1"/>
  <c r="G9" i="8"/>
  <c r="N9" i="8"/>
  <c r="G16" i="8"/>
  <c r="L14" i="8"/>
  <c r="N14" i="8" s="1"/>
  <c r="M39" i="8"/>
  <c r="N17" i="8"/>
  <c r="K32" i="8"/>
  <c r="O105" i="8"/>
  <c r="Q105" i="8" s="1"/>
  <c r="N105" i="8"/>
  <c r="O66" i="8"/>
  <c r="Q66" i="8" s="1"/>
  <c r="O89" i="8"/>
  <c r="Q89" i="8" s="1"/>
  <c r="H89" i="8"/>
  <c r="L13" i="8"/>
  <c r="N13" i="8" s="1"/>
  <c r="G13" i="8"/>
  <c r="K30" i="8"/>
  <c r="N64" i="8"/>
  <c r="K122" i="8"/>
  <c r="I24" i="8"/>
  <c r="N103" i="8"/>
  <c r="L115" i="8"/>
  <c r="N115" i="8" s="1"/>
  <c r="E129" i="8"/>
  <c r="G115" i="8"/>
  <c r="G17" i="8"/>
  <c r="O93" i="8"/>
  <c r="Q93" i="8" s="1"/>
  <c r="N93" i="8"/>
  <c r="N5" i="8"/>
  <c r="L15" i="8"/>
  <c r="N15" i="8" s="1"/>
  <c r="K15" i="8"/>
  <c r="O107" i="8"/>
  <c r="Q107" i="8" s="1"/>
  <c r="H107" i="8"/>
  <c r="N30" i="8"/>
  <c r="E110" i="8"/>
  <c r="H54" i="8"/>
  <c r="H56" i="8"/>
  <c r="G117" i="8"/>
  <c r="K22" i="8"/>
  <c r="K24" i="8" s="1"/>
  <c r="O54" i="8"/>
  <c r="Q54" i="8" s="1"/>
  <c r="N54" i="8"/>
  <c r="K114" i="8"/>
  <c r="L120" i="8"/>
  <c r="N120" i="8" s="1"/>
  <c r="K120" i="8"/>
  <c r="G44" i="8"/>
  <c r="E45" i="8"/>
  <c r="H74" i="8"/>
  <c r="H95" i="8"/>
  <c r="O87" i="8"/>
  <c r="Q87" i="8" s="1"/>
  <c r="N87" i="8"/>
  <c r="O97" i="8"/>
  <c r="Q97" i="8" s="1"/>
  <c r="N97" i="8"/>
  <c r="G8" i="8"/>
  <c r="G11" i="8"/>
  <c r="O71" i="8"/>
  <c r="Q71" i="8" s="1"/>
  <c r="H71" i="8"/>
  <c r="H77" i="8"/>
  <c r="N85" i="8"/>
  <c r="M129" i="8"/>
  <c r="I18" i="8"/>
  <c r="K18" i="8" s="1"/>
  <c r="M33" i="8"/>
  <c r="L31" i="8"/>
  <c r="N31" i="8" s="1"/>
  <c r="G31" i="8"/>
  <c r="O69" i="8"/>
  <c r="Q69" i="8" s="1"/>
  <c r="N69" i="8"/>
  <c r="O79" i="8"/>
  <c r="Q79" i="8" s="1"/>
  <c r="N79" i="8"/>
  <c r="K8" i="8"/>
  <c r="K10" i="8"/>
  <c r="E18" i="8"/>
  <c r="N28" i="8"/>
  <c r="N75" i="8"/>
  <c r="O102" i="8"/>
  <c r="Q102" i="8" s="1"/>
  <c r="N108" i="8"/>
  <c r="N137" i="8"/>
  <c r="F130" i="8"/>
  <c r="C132" i="8" s="1"/>
  <c r="L29" i="8"/>
  <c r="N29" i="8" s="1"/>
  <c r="E33" i="8"/>
  <c r="L43" i="8"/>
  <c r="L45" i="8" s="1"/>
  <c r="G43" i="8"/>
  <c r="O53" i="8"/>
  <c r="Q53" i="8" s="1"/>
  <c r="H53" i="8"/>
  <c r="N67" i="8"/>
  <c r="G29" i="8"/>
  <c r="J110" i="8"/>
  <c r="N110" i="8" s="1"/>
  <c r="O51" i="8"/>
  <c r="Q51" i="8" s="1"/>
  <c r="N51" i="8"/>
  <c r="O61" i="8"/>
  <c r="Q61" i="8" s="1"/>
  <c r="N61" i="8"/>
  <c r="H92" i="8"/>
  <c r="N100" i="8"/>
  <c r="L119" i="8"/>
  <c r="N119" i="8" s="1"/>
  <c r="G119" i="8"/>
  <c r="M18" i="8"/>
  <c r="L110" i="8"/>
  <c r="I33" i="8"/>
  <c r="N8" i="8"/>
  <c r="K29" i="8"/>
  <c r="I45" i="8"/>
  <c r="G121" i="8"/>
  <c r="K125" i="8"/>
  <c r="J130" i="8"/>
  <c r="C133" i="8" s="1"/>
  <c r="K38" i="8"/>
  <c r="K39" i="8" s="1"/>
  <c r="H50" i="8"/>
  <c r="N66" i="8"/>
  <c r="H68" i="8"/>
  <c r="N84" i="8"/>
  <c r="H86" i="8"/>
  <c r="N102" i="8"/>
  <c r="H104" i="8"/>
  <c r="L123" i="8"/>
  <c r="N123" i="8" s="1"/>
  <c r="G5" i="8"/>
  <c r="N58" i="8"/>
  <c r="N76" i="8"/>
  <c r="N94" i="8"/>
  <c r="G23" i="8"/>
  <c r="M45" i="8"/>
  <c r="N63" i="8"/>
  <c r="N81" i="8"/>
  <c r="N99" i="8"/>
  <c r="L7" i="8"/>
  <c r="L114" i="8"/>
  <c r="L126" i="8"/>
  <c r="N126" i="8" s="1"/>
  <c r="L131" i="7"/>
  <c r="J129" i="7"/>
  <c r="F129" i="7"/>
  <c r="M128" i="7"/>
  <c r="I128" i="7"/>
  <c r="K128" i="7" s="1"/>
  <c r="E128" i="7"/>
  <c r="G128" i="7" s="1"/>
  <c r="M127" i="7"/>
  <c r="I127" i="7"/>
  <c r="K127" i="7" s="1"/>
  <c r="E127" i="7"/>
  <c r="L127" i="7" s="1"/>
  <c r="N127" i="7" s="1"/>
  <c r="M126" i="7"/>
  <c r="I126" i="7"/>
  <c r="K126" i="7" s="1"/>
  <c r="E126" i="7"/>
  <c r="G126" i="7" s="1"/>
  <c r="M125" i="7"/>
  <c r="I125" i="7"/>
  <c r="K125" i="7" s="1"/>
  <c r="E125" i="7"/>
  <c r="L125" i="7" s="1"/>
  <c r="N125" i="7" s="1"/>
  <c r="M124" i="7"/>
  <c r="I124" i="7"/>
  <c r="K124" i="7" s="1"/>
  <c r="E124" i="7"/>
  <c r="G124" i="7" s="1"/>
  <c r="M123" i="7"/>
  <c r="I123" i="7"/>
  <c r="K123" i="7" s="1"/>
  <c r="E123" i="7"/>
  <c r="M122" i="7"/>
  <c r="I122" i="7"/>
  <c r="K122" i="7" s="1"/>
  <c r="E122" i="7"/>
  <c r="G122" i="7" s="1"/>
  <c r="M121" i="7"/>
  <c r="I121" i="7"/>
  <c r="K121" i="7" s="1"/>
  <c r="E121" i="7"/>
  <c r="G121" i="7" s="1"/>
  <c r="M120" i="7"/>
  <c r="I120" i="7"/>
  <c r="K120" i="7" s="1"/>
  <c r="E120" i="7"/>
  <c r="M119" i="7"/>
  <c r="I119" i="7"/>
  <c r="K119" i="7" s="1"/>
  <c r="E119" i="7"/>
  <c r="M118" i="7"/>
  <c r="I118" i="7"/>
  <c r="K118" i="7" s="1"/>
  <c r="E118" i="7"/>
  <c r="M117" i="7"/>
  <c r="I117" i="7"/>
  <c r="E117" i="7"/>
  <c r="G117" i="7" s="1"/>
  <c r="M116" i="7"/>
  <c r="I116" i="7"/>
  <c r="K116" i="7" s="1"/>
  <c r="E116" i="7"/>
  <c r="G116" i="7" s="1"/>
  <c r="M115" i="7"/>
  <c r="I115" i="7"/>
  <c r="K115" i="7" s="1"/>
  <c r="E115" i="7"/>
  <c r="L115" i="7" s="1"/>
  <c r="M114" i="7"/>
  <c r="I114" i="7"/>
  <c r="K114" i="7" s="1"/>
  <c r="E114" i="7"/>
  <c r="R110" i="7"/>
  <c r="M110" i="7"/>
  <c r="G110" i="7"/>
  <c r="P109" i="7"/>
  <c r="L109" i="7"/>
  <c r="J109" i="7"/>
  <c r="N109" i="7" s="1"/>
  <c r="E109" i="7"/>
  <c r="H109" i="7" s="1"/>
  <c r="P108" i="7"/>
  <c r="L108" i="7"/>
  <c r="J108" i="7"/>
  <c r="E108" i="7"/>
  <c r="H108" i="7" s="1"/>
  <c r="P107" i="7"/>
  <c r="L107" i="7"/>
  <c r="J107" i="7"/>
  <c r="E107" i="7"/>
  <c r="H107" i="7" s="1"/>
  <c r="P106" i="7"/>
  <c r="L106" i="7"/>
  <c r="J106" i="7"/>
  <c r="N106" i="7" s="1"/>
  <c r="E106" i="7"/>
  <c r="P105" i="7"/>
  <c r="L105" i="7"/>
  <c r="J105" i="7"/>
  <c r="E105" i="7"/>
  <c r="H105" i="7" s="1"/>
  <c r="P104" i="7"/>
  <c r="L104" i="7"/>
  <c r="J104" i="7"/>
  <c r="E104" i="7"/>
  <c r="H104" i="7" s="1"/>
  <c r="P103" i="7"/>
  <c r="L103" i="7"/>
  <c r="J103" i="7"/>
  <c r="N103" i="7" s="1"/>
  <c r="E103" i="7"/>
  <c r="H103" i="7" s="1"/>
  <c r="P102" i="7"/>
  <c r="L102" i="7"/>
  <c r="J102" i="7"/>
  <c r="E102" i="7"/>
  <c r="H102" i="7" s="1"/>
  <c r="P101" i="7"/>
  <c r="L101" i="7"/>
  <c r="J101" i="7"/>
  <c r="E101" i="7"/>
  <c r="H101" i="7" s="1"/>
  <c r="P100" i="7"/>
  <c r="L100" i="7"/>
  <c r="J100" i="7"/>
  <c r="N100" i="7" s="1"/>
  <c r="E100" i="7"/>
  <c r="H100" i="7" s="1"/>
  <c r="P99" i="7"/>
  <c r="L99" i="7"/>
  <c r="J99" i="7"/>
  <c r="E99" i="7"/>
  <c r="H99" i="7" s="1"/>
  <c r="P98" i="7"/>
  <c r="L98" i="7"/>
  <c r="J98" i="7"/>
  <c r="E98" i="7"/>
  <c r="H98" i="7" s="1"/>
  <c r="P97" i="7"/>
  <c r="L97" i="7"/>
  <c r="J97" i="7"/>
  <c r="N97" i="7" s="1"/>
  <c r="E97" i="7"/>
  <c r="H97" i="7" s="1"/>
  <c r="P96" i="7"/>
  <c r="L96" i="7"/>
  <c r="J96" i="7"/>
  <c r="E96" i="7"/>
  <c r="H96" i="7" s="1"/>
  <c r="P95" i="7"/>
  <c r="L95" i="7"/>
  <c r="J95" i="7"/>
  <c r="E95" i="7"/>
  <c r="H95" i="7" s="1"/>
  <c r="P94" i="7"/>
  <c r="L94" i="7"/>
  <c r="J94" i="7"/>
  <c r="N94" i="7" s="1"/>
  <c r="E94" i="7"/>
  <c r="H94" i="7" s="1"/>
  <c r="P93" i="7"/>
  <c r="L93" i="7"/>
  <c r="J93" i="7"/>
  <c r="E93" i="7"/>
  <c r="H93" i="7" s="1"/>
  <c r="P92" i="7"/>
  <c r="L92" i="7"/>
  <c r="J92" i="7"/>
  <c r="N92" i="7" s="1"/>
  <c r="E92" i="7"/>
  <c r="H92" i="7" s="1"/>
  <c r="P91" i="7"/>
  <c r="L91" i="7"/>
  <c r="J91" i="7"/>
  <c r="N91" i="7" s="1"/>
  <c r="E91" i="7"/>
  <c r="P90" i="7"/>
  <c r="L90" i="7"/>
  <c r="J90" i="7"/>
  <c r="E90" i="7"/>
  <c r="H90" i="7" s="1"/>
  <c r="P89" i="7"/>
  <c r="L89" i="7"/>
  <c r="J89" i="7"/>
  <c r="E89" i="7"/>
  <c r="H89" i="7" s="1"/>
  <c r="P88" i="7"/>
  <c r="L88" i="7"/>
  <c r="J88" i="7"/>
  <c r="N88" i="7" s="1"/>
  <c r="E88" i="7"/>
  <c r="H88" i="7" s="1"/>
  <c r="P87" i="7"/>
  <c r="L87" i="7"/>
  <c r="J87" i="7"/>
  <c r="E87" i="7"/>
  <c r="H87" i="7" s="1"/>
  <c r="P86" i="7"/>
  <c r="L86" i="7"/>
  <c r="J86" i="7"/>
  <c r="E86" i="7"/>
  <c r="H86" i="7" s="1"/>
  <c r="P85" i="7"/>
  <c r="L85" i="7"/>
  <c r="J85" i="7"/>
  <c r="N85" i="7" s="1"/>
  <c r="E85" i="7"/>
  <c r="H85" i="7" s="1"/>
  <c r="P84" i="7"/>
  <c r="L84" i="7"/>
  <c r="J84" i="7"/>
  <c r="E84" i="7"/>
  <c r="H84" i="7" s="1"/>
  <c r="P83" i="7"/>
  <c r="L83" i="7"/>
  <c r="J83" i="7"/>
  <c r="E83" i="7"/>
  <c r="H83" i="7" s="1"/>
  <c r="P82" i="7"/>
  <c r="L82" i="7"/>
  <c r="J82" i="7"/>
  <c r="N82" i="7" s="1"/>
  <c r="E82" i="7"/>
  <c r="H82" i="7" s="1"/>
  <c r="P81" i="7"/>
  <c r="L81" i="7"/>
  <c r="J81" i="7"/>
  <c r="E81" i="7"/>
  <c r="H81" i="7" s="1"/>
  <c r="P80" i="7"/>
  <c r="L80" i="7"/>
  <c r="J80" i="7"/>
  <c r="E80" i="7"/>
  <c r="H80" i="7" s="1"/>
  <c r="P79" i="7"/>
  <c r="L79" i="7"/>
  <c r="J79" i="7"/>
  <c r="N79" i="7" s="1"/>
  <c r="E79" i="7"/>
  <c r="H79" i="7" s="1"/>
  <c r="P78" i="7"/>
  <c r="L78" i="7"/>
  <c r="J78" i="7"/>
  <c r="E78" i="7"/>
  <c r="H78" i="7" s="1"/>
  <c r="P77" i="7"/>
  <c r="L77" i="7"/>
  <c r="J77" i="7"/>
  <c r="E77" i="7"/>
  <c r="H77" i="7" s="1"/>
  <c r="P76" i="7"/>
  <c r="L76" i="7"/>
  <c r="J76" i="7"/>
  <c r="N76" i="7" s="1"/>
  <c r="E76" i="7"/>
  <c r="P75" i="7"/>
  <c r="L75" i="7"/>
  <c r="J75" i="7"/>
  <c r="E75" i="7"/>
  <c r="H75" i="7" s="1"/>
  <c r="P74" i="7"/>
  <c r="L74" i="7"/>
  <c r="J74" i="7"/>
  <c r="E74" i="7"/>
  <c r="H74" i="7" s="1"/>
  <c r="P73" i="7"/>
  <c r="L73" i="7"/>
  <c r="J73" i="7"/>
  <c r="N73" i="7" s="1"/>
  <c r="E73" i="7"/>
  <c r="H73" i="7" s="1"/>
  <c r="P72" i="7"/>
  <c r="L72" i="7"/>
  <c r="J72" i="7"/>
  <c r="E72" i="7"/>
  <c r="H72" i="7" s="1"/>
  <c r="P71" i="7"/>
  <c r="L71" i="7"/>
  <c r="J71" i="7"/>
  <c r="E71" i="7"/>
  <c r="H71" i="7" s="1"/>
  <c r="P70" i="7"/>
  <c r="L70" i="7"/>
  <c r="J70" i="7"/>
  <c r="N70" i="7" s="1"/>
  <c r="E70" i="7"/>
  <c r="P69" i="7"/>
  <c r="L69" i="7"/>
  <c r="J69" i="7"/>
  <c r="E69" i="7"/>
  <c r="H69" i="7" s="1"/>
  <c r="P68" i="7"/>
  <c r="L68" i="7"/>
  <c r="J68" i="7"/>
  <c r="E68" i="7"/>
  <c r="H68" i="7" s="1"/>
  <c r="P67" i="7"/>
  <c r="L67" i="7"/>
  <c r="J67" i="7"/>
  <c r="N67" i="7" s="1"/>
  <c r="E67" i="7"/>
  <c r="H67" i="7" s="1"/>
  <c r="P66" i="7"/>
  <c r="L66" i="7"/>
  <c r="J66" i="7"/>
  <c r="E66" i="7"/>
  <c r="H66" i="7" s="1"/>
  <c r="P65" i="7"/>
  <c r="L65" i="7"/>
  <c r="J65" i="7"/>
  <c r="E65" i="7"/>
  <c r="H65" i="7" s="1"/>
  <c r="P64" i="7"/>
  <c r="L64" i="7"/>
  <c r="J64" i="7"/>
  <c r="N64" i="7" s="1"/>
  <c r="E64" i="7"/>
  <c r="H64" i="7" s="1"/>
  <c r="P63" i="7"/>
  <c r="L63" i="7"/>
  <c r="J63" i="7"/>
  <c r="H63" i="7"/>
  <c r="E63" i="7"/>
  <c r="P62" i="7"/>
  <c r="L62" i="7"/>
  <c r="J62" i="7"/>
  <c r="E62" i="7"/>
  <c r="H62" i="7" s="1"/>
  <c r="P61" i="7"/>
  <c r="L61" i="7"/>
  <c r="J61" i="7"/>
  <c r="N61" i="7" s="1"/>
  <c r="E61" i="7"/>
  <c r="H61" i="7" s="1"/>
  <c r="P60" i="7"/>
  <c r="L60" i="7"/>
  <c r="J60" i="7"/>
  <c r="E60" i="7"/>
  <c r="H60" i="7" s="1"/>
  <c r="P59" i="7"/>
  <c r="L59" i="7"/>
  <c r="J59" i="7"/>
  <c r="E59" i="7"/>
  <c r="H59" i="7" s="1"/>
  <c r="P58" i="7"/>
  <c r="L58" i="7"/>
  <c r="J58" i="7"/>
  <c r="N58" i="7" s="1"/>
  <c r="E58" i="7"/>
  <c r="H58" i="7" s="1"/>
  <c r="P57" i="7"/>
  <c r="L57" i="7"/>
  <c r="J57" i="7"/>
  <c r="E57" i="7"/>
  <c r="H57" i="7" s="1"/>
  <c r="P56" i="7"/>
  <c r="L56" i="7"/>
  <c r="J56" i="7"/>
  <c r="E56" i="7"/>
  <c r="H56" i="7" s="1"/>
  <c r="P55" i="7"/>
  <c r="L55" i="7"/>
  <c r="J55" i="7"/>
  <c r="N55" i="7" s="1"/>
  <c r="E55" i="7"/>
  <c r="P54" i="7"/>
  <c r="L54" i="7"/>
  <c r="J54" i="7"/>
  <c r="E54" i="7"/>
  <c r="H54" i="7" s="1"/>
  <c r="P53" i="7"/>
  <c r="L53" i="7"/>
  <c r="J53" i="7"/>
  <c r="E53" i="7"/>
  <c r="H53" i="7" s="1"/>
  <c r="P52" i="7"/>
  <c r="L52" i="7"/>
  <c r="J52" i="7"/>
  <c r="N52" i="7" s="1"/>
  <c r="E52" i="7"/>
  <c r="H52" i="7" s="1"/>
  <c r="P51" i="7"/>
  <c r="L51" i="7"/>
  <c r="J51" i="7"/>
  <c r="E51" i="7"/>
  <c r="H51" i="7" s="1"/>
  <c r="P50" i="7"/>
  <c r="L50" i="7"/>
  <c r="J50" i="7"/>
  <c r="E50" i="7"/>
  <c r="H50" i="7" s="1"/>
  <c r="P49" i="7"/>
  <c r="L49" i="7"/>
  <c r="J49" i="7"/>
  <c r="N49" i="7" s="1"/>
  <c r="E49" i="7"/>
  <c r="J45" i="7"/>
  <c r="F45" i="7"/>
  <c r="M44" i="7"/>
  <c r="I44" i="7"/>
  <c r="K44" i="7" s="1"/>
  <c r="E44" i="7"/>
  <c r="G44" i="7" s="1"/>
  <c r="M43" i="7"/>
  <c r="M45" i="7" s="1"/>
  <c r="N136" i="7" s="1"/>
  <c r="I43" i="7"/>
  <c r="K43" i="7" s="1"/>
  <c r="E43" i="7"/>
  <c r="J39" i="7"/>
  <c r="F39" i="7"/>
  <c r="M38" i="7"/>
  <c r="I38" i="7"/>
  <c r="K38" i="7" s="1"/>
  <c r="E38" i="7"/>
  <c r="L38" i="7" s="1"/>
  <c r="M37" i="7"/>
  <c r="I37" i="7"/>
  <c r="E37" i="7"/>
  <c r="J33" i="7"/>
  <c r="F33" i="7"/>
  <c r="M32" i="7"/>
  <c r="I32" i="7"/>
  <c r="K32" i="7" s="1"/>
  <c r="E32" i="7"/>
  <c r="G32" i="7" s="1"/>
  <c r="M31" i="7"/>
  <c r="I31" i="7"/>
  <c r="K31" i="7" s="1"/>
  <c r="E31" i="7"/>
  <c r="G31" i="7" s="1"/>
  <c r="M30" i="7"/>
  <c r="I30" i="7"/>
  <c r="K30" i="7" s="1"/>
  <c r="E30" i="7"/>
  <c r="M29" i="7"/>
  <c r="I29" i="7"/>
  <c r="E29" i="7"/>
  <c r="G29" i="7" s="1"/>
  <c r="M28" i="7"/>
  <c r="I28" i="7"/>
  <c r="K28" i="7" s="1"/>
  <c r="E28" i="7"/>
  <c r="G28" i="7" s="1"/>
  <c r="J24" i="7"/>
  <c r="F24" i="7"/>
  <c r="M23" i="7"/>
  <c r="I23" i="7"/>
  <c r="K23" i="7" s="1"/>
  <c r="E23" i="7"/>
  <c r="M22" i="7"/>
  <c r="I22" i="7"/>
  <c r="E22" i="7"/>
  <c r="J18" i="7"/>
  <c r="F18" i="7"/>
  <c r="M17" i="7"/>
  <c r="I17" i="7"/>
  <c r="K17" i="7" s="1"/>
  <c r="E17" i="7"/>
  <c r="G17" i="7" s="1"/>
  <c r="M16" i="7"/>
  <c r="I16" i="7"/>
  <c r="K16" i="7" s="1"/>
  <c r="E16" i="7"/>
  <c r="G16" i="7" s="1"/>
  <c r="M14" i="7"/>
  <c r="I14" i="7"/>
  <c r="K14" i="7" s="1"/>
  <c r="E14" i="7"/>
  <c r="G14" i="7" s="1"/>
  <c r="M13" i="7"/>
  <c r="I13" i="7"/>
  <c r="K13" i="7" s="1"/>
  <c r="E13" i="7"/>
  <c r="M12" i="7"/>
  <c r="I12" i="7"/>
  <c r="K12" i="7" s="1"/>
  <c r="E12" i="7"/>
  <c r="M11" i="7"/>
  <c r="I11" i="7"/>
  <c r="K11" i="7" s="1"/>
  <c r="E11" i="7"/>
  <c r="L11" i="7" s="1"/>
  <c r="M10" i="7"/>
  <c r="I10" i="7"/>
  <c r="K10" i="7" s="1"/>
  <c r="E10" i="7"/>
  <c r="M15" i="7"/>
  <c r="I15" i="7"/>
  <c r="K15" i="7" s="1"/>
  <c r="E15" i="7"/>
  <c r="G15" i="7" s="1"/>
  <c r="M9" i="7"/>
  <c r="I9" i="7"/>
  <c r="K9" i="7" s="1"/>
  <c r="E9" i="7"/>
  <c r="M8" i="7"/>
  <c r="I8" i="7"/>
  <c r="K8" i="7" s="1"/>
  <c r="E8" i="7"/>
  <c r="M7" i="7"/>
  <c r="I7" i="7"/>
  <c r="K7" i="7" s="1"/>
  <c r="E7" i="7"/>
  <c r="M6" i="7"/>
  <c r="N6" i="7" s="1"/>
  <c r="I6" i="7"/>
  <c r="K6" i="7" s="1"/>
  <c r="E6" i="7"/>
  <c r="G6" i="7" s="1"/>
  <c r="M5" i="7"/>
  <c r="I5" i="7"/>
  <c r="K5" i="7" s="1"/>
  <c r="E5" i="7"/>
  <c r="L5" i="7" s="1"/>
  <c r="N55" i="6"/>
  <c r="P55" i="6"/>
  <c r="Q55" i="6"/>
  <c r="L55" i="6"/>
  <c r="J55" i="6"/>
  <c r="O55" i="6"/>
  <c r="H55" i="6"/>
  <c r="E55" i="6"/>
  <c r="N54" i="6"/>
  <c r="P54" i="6"/>
  <c r="Q54" i="6" s="1"/>
  <c r="L54" i="6"/>
  <c r="J54" i="6"/>
  <c r="O54" i="6" s="1"/>
  <c r="H54" i="6"/>
  <c r="E54" i="6"/>
  <c r="Q51" i="6"/>
  <c r="P51" i="6"/>
  <c r="O51" i="6"/>
  <c r="N51" i="6"/>
  <c r="L51" i="6"/>
  <c r="J51" i="6"/>
  <c r="H51" i="6"/>
  <c r="E51" i="6"/>
  <c r="E52" i="6"/>
  <c r="H52" i="6"/>
  <c r="J52" i="6"/>
  <c r="N52" i="6" s="1"/>
  <c r="L52" i="6"/>
  <c r="P52" i="6"/>
  <c r="M6" i="6"/>
  <c r="I6" i="6"/>
  <c r="K6" i="6" s="1"/>
  <c r="E6" i="6"/>
  <c r="G6" i="6" s="1"/>
  <c r="N153" i="21" l="1"/>
  <c r="N153" i="20"/>
  <c r="N151" i="18"/>
  <c r="N150" i="17"/>
  <c r="N150" i="16"/>
  <c r="N19" i="14"/>
  <c r="N146" i="14"/>
  <c r="C139" i="13"/>
  <c r="L39" i="13"/>
  <c r="L45" i="13"/>
  <c r="N45" i="13" s="1"/>
  <c r="N44" i="13"/>
  <c r="L33" i="13"/>
  <c r="N7" i="13"/>
  <c r="L18" i="13"/>
  <c r="N18" i="13" s="1"/>
  <c r="N138" i="13"/>
  <c r="K39" i="13"/>
  <c r="N39" i="13" s="1"/>
  <c r="N38" i="13"/>
  <c r="O136" i="13"/>
  <c r="N143" i="13" s="1"/>
  <c r="N22" i="13"/>
  <c r="L24" i="13"/>
  <c r="O115" i="13"/>
  <c r="Q115" i="13" s="1"/>
  <c r="Q49" i="13"/>
  <c r="N139" i="13"/>
  <c r="K33" i="13"/>
  <c r="N33" i="13" s="1"/>
  <c r="N119" i="13"/>
  <c r="L134" i="13"/>
  <c r="L33" i="12"/>
  <c r="N28" i="12"/>
  <c r="L24" i="12"/>
  <c r="C134" i="12"/>
  <c r="K45" i="12"/>
  <c r="L45" i="12"/>
  <c r="N45" i="12" s="1"/>
  <c r="N22" i="12"/>
  <c r="N134" i="12"/>
  <c r="N140" i="12" s="1"/>
  <c r="N33" i="12"/>
  <c r="Q49" i="12"/>
  <c r="O110" i="12"/>
  <c r="Q110" i="12" s="1"/>
  <c r="L129" i="12"/>
  <c r="L18" i="12"/>
  <c r="N18" i="12" s="1"/>
  <c r="N7" i="12"/>
  <c r="K33" i="11"/>
  <c r="N33" i="11" s="1"/>
  <c r="L33" i="11"/>
  <c r="L39" i="11"/>
  <c r="C134" i="11"/>
  <c r="L18" i="11"/>
  <c r="N18" i="11" s="1"/>
  <c r="N134" i="11"/>
  <c r="N114" i="11"/>
  <c r="L129" i="11"/>
  <c r="L45" i="11"/>
  <c r="N45" i="11" s="1"/>
  <c r="O110" i="11"/>
  <c r="Q110" i="11" s="1"/>
  <c r="Q49" i="11"/>
  <c r="N135" i="11"/>
  <c r="N39" i="11"/>
  <c r="N31" i="11"/>
  <c r="N23" i="11"/>
  <c r="N133" i="11"/>
  <c r="N33" i="10"/>
  <c r="L39" i="10"/>
  <c r="K39" i="10"/>
  <c r="N39" i="10" s="1"/>
  <c r="N133" i="10"/>
  <c r="N114" i="10"/>
  <c r="L129" i="10"/>
  <c r="L45" i="10"/>
  <c r="N45" i="10" s="1"/>
  <c r="L18" i="10"/>
  <c r="N18" i="10" s="1"/>
  <c r="C134" i="10"/>
  <c r="L24" i="10"/>
  <c r="N135" i="10"/>
  <c r="O110" i="10"/>
  <c r="Q110" i="10" s="1"/>
  <c r="L33" i="10"/>
  <c r="O131" i="9"/>
  <c r="N138" i="9" s="1"/>
  <c r="N33" i="9"/>
  <c r="C134" i="9"/>
  <c r="L45" i="9"/>
  <c r="N45" i="9" s="1"/>
  <c r="L129" i="9"/>
  <c r="L18" i="9"/>
  <c r="N18" i="9" s="1"/>
  <c r="N133" i="9"/>
  <c r="N135" i="9"/>
  <c r="N39" i="9"/>
  <c r="Q49" i="9"/>
  <c r="O110" i="9"/>
  <c r="Q110" i="9" s="1"/>
  <c r="L39" i="9"/>
  <c r="N43" i="9"/>
  <c r="N136" i="9"/>
  <c r="L33" i="9"/>
  <c r="N37" i="9"/>
  <c r="N22" i="9"/>
  <c r="L24" i="9"/>
  <c r="N28" i="9"/>
  <c r="L39" i="8"/>
  <c r="N43" i="8"/>
  <c r="C134" i="8"/>
  <c r="K33" i="8"/>
  <c r="N33" i="8" s="1"/>
  <c r="L24" i="8"/>
  <c r="N45" i="8"/>
  <c r="N136" i="8"/>
  <c r="N133" i="8"/>
  <c r="N134" i="8"/>
  <c r="N114" i="8"/>
  <c r="L129" i="8"/>
  <c r="O131" i="8"/>
  <c r="N138" i="8" s="1"/>
  <c r="N135" i="8"/>
  <c r="N39" i="8"/>
  <c r="O110" i="8"/>
  <c r="Q110" i="8" s="1"/>
  <c r="L33" i="8"/>
  <c r="L18" i="8"/>
  <c r="N18" i="8" s="1"/>
  <c r="N7" i="8"/>
  <c r="M24" i="7"/>
  <c r="N139" i="7" s="1"/>
  <c r="O83" i="7"/>
  <c r="Q83" i="7" s="1"/>
  <c r="O86" i="7"/>
  <c r="L114" i="7"/>
  <c r="Q86" i="7"/>
  <c r="M39" i="7"/>
  <c r="N135" i="7" s="1"/>
  <c r="L7" i="7"/>
  <c r="L28" i="7"/>
  <c r="N28" i="7" s="1"/>
  <c r="O98" i="7"/>
  <c r="Q98" i="7" s="1"/>
  <c r="O50" i="7"/>
  <c r="Q50" i="7" s="1"/>
  <c r="L121" i="7"/>
  <c r="N121" i="7" s="1"/>
  <c r="L128" i="7"/>
  <c r="N128" i="7" s="1"/>
  <c r="O79" i="7"/>
  <c r="Q79" i="7" s="1"/>
  <c r="O71" i="7"/>
  <c r="Q71" i="7" s="1"/>
  <c r="O77" i="7"/>
  <c r="Q77" i="7" s="1"/>
  <c r="N115" i="7"/>
  <c r="L22" i="7"/>
  <c r="O58" i="7"/>
  <c r="Q58" i="7" s="1"/>
  <c r="O62" i="7"/>
  <c r="Q62" i="7" s="1"/>
  <c r="I45" i="7"/>
  <c r="L123" i="7"/>
  <c r="N123" i="7" s="1"/>
  <c r="N11" i="7"/>
  <c r="O101" i="7"/>
  <c r="Q101" i="7" s="1"/>
  <c r="O59" i="7"/>
  <c r="Q59" i="7" s="1"/>
  <c r="K45" i="7"/>
  <c r="N62" i="7"/>
  <c r="O89" i="7"/>
  <c r="Q89" i="7" s="1"/>
  <c r="L116" i="7"/>
  <c r="N116" i="7" s="1"/>
  <c r="N77" i="7"/>
  <c r="L15" i="7"/>
  <c r="N15" i="7" s="1"/>
  <c r="L32" i="7"/>
  <c r="N32" i="7" s="1"/>
  <c r="I39" i="7"/>
  <c r="L44" i="7"/>
  <c r="N44" i="7" s="1"/>
  <c r="O68" i="7"/>
  <c r="Q68" i="7" s="1"/>
  <c r="O73" i="7"/>
  <c r="Q73" i="7" s="1"/>
  <c r="O92" i="7"/>
  <c r="Q92" i="7" s="1"/>
  <c r="O94" i="7"/>
  <c r="Q94" i="7" s="1"/>
  <c r="G123" i="7"/>
  <c r="N98" i="7"/>
  <c r="O80" i="7"/>
  <c r="Q80" i="7" s="1"/>
  <c r="O109" i="7"/>
  <c r="Q109" i="7" s="1"/>
  <c r="O65" i="7"/>
  <c r="Q65" i="7" s="1"/>
  <c r="L9" i="7"/>
  <c r="N9" i="7" s="1"/>
  <c r="G11" i="7"/>
  <c r="L14" i="7"/>
  <c r="O52" i="7"/>
  <c r="Q52" i="7" s="1"/>
  <c r="L126" i="7"/>
  <c r="N126" i="7" s="1"/>
  <c r="N14" i="7"/>
  <c r="E24" i="7"/>
  <c r="G22" i="7"/>
  <c r="O56" i="7"/>
  <c r="Q56" i="7" s="1"/>
  <c r="O104" i="7"/>
  <c r="Q104" i="7" s="1"/>
  <c r="G127" i="7"/>
  <c r="L13" i="7"/>
  <c r="N13" i="7" s="1"/>
  <c r="L29" i="7"/>
  <c r="N29" i="7" s="1"/>
  <c r="O107" i="7"/>
  <c r="Q107" i="7" s="1"/>
  <c r="L124" i="7"/>
  <c r="N124" i="7" s="1"/>
  <c r="L8" i="7"/>
  <c r="N8" i="7" s="1"/>
  <c r="L10" i="7"/>
  <c r="N10" i="7" s="1"/>
  <c r="L17" i="7"/>
  <c r="N17" i="7" s="1"/>
  <c r="N59" i="7"/>
  <c r="N80" i="7"/>
  <c r="P110" i="7"/>
  <c r="N132" i="7" s="1"/>
  <c r="L122" i="7"/>
  <c r="N122" i="7" s="1"/>
  <c r="G115" i="7"/>
  <c r="O57" i="7"/>
  <c r="Q57" i="7" s="1"/>
  <c r="N57" i="7"/>
  <c r="I24" i="7"/>
  <c r="L31" i="7"/>
  <c r="N31" i="7" s="1"/>
  <c r="O90" i="7"/>
  <c r="Q90" i="7" s="1"/>
  <c r="N90" i="7"/>
  <c r="L12" i="7"/>
  <c r="N12" i="7" s="1"/>
  <c r="G12" i="7"/>
  <c r="O95" i="7"/>
  <c r="Q95" i="7" s="1"/>
  <c r="N95" i="7"/>
  <c r="O74" i="7"/>
  <c r="Q74" i="7" s="1"/>
  <c r="N74" i="7"/>
  <c r="O93" i="7"/>
  <c r="Q93" i="7" s="1"/>
  <c r="N93" i="7"/>
  <c r="H91" i="7"/>
  <c r="O91" i="7"/>
  <c r="Q91" i="7" s="1"/>
  <c r="H70" i="7"/>
  <c r="O70" i="7"/>
  <c r="Q70" i="7" s="1"/>
  <c r="O84" i="7"/>
  <c r="Q84" i="7" s="1"/>
  <c r="N84" i="7"/>
  <c r="N86" i="7"/>
  <c r="O105" i="7"/>
  <c r="Q105" i="7" s="1"/>
  <c r="N105" i="7"/>
  <c r="O99" i="7"/>
  <c r="Q99" i="7" s="1"/>
  <c r="N99" i="7"/>
  <c r="L110" i="7"/>
  <c r="H55" i="7"/>
  <c r="O55" i="7"/>
  <c r="Q55" i="7" s="1"/>
  <c r="K22" i="7"/>
  <c r="K24" i="7" s="1"/>
  <c r="K29" i="7"/>
  <c r="K33" i="7" s="1"/>
  <c r="K37" i="7"/>
  <c r="K39" i="7" s="1"/>
  <c r="N50" i="7"/>
  <c r="N71" i="7"/>
  <c r="M129" i="7"/>
  <c r="N114" i="7"/>
  <c r="G9" i="7"/>
  <c r="O88" i="7"/>
  <c r="Q88" i="7" s="1"/>
  <c r="L117" i="7"/>
  <c r="N117" i="7" s="1"/>
  <c r="K117" i="7"/>
  <c r="G7" i="7"/>
  <c r="E18" i="7"/>
  <c r="G38" i="7"/>
  <c r="N107" i="7"/>
  <c r="F130" i="7"/>
  <c r="C132" i="7" s="1"/>
  <c r="G13" i="7"/>
  <c r="I18" i="7"/>
  <c r="K18" i="7" s="1"/>
  <c r="N56" i="7"/>
  <c r="O63" i="7"/>
  <c r="Q63" i="7" s="1"/>
  <c r="N63" i="7"/>
  <c r="N38" i="7"/>
  <c r="N7" i="7"/>
  <c r="L16" i="7"/>
  <c r="N16" i="7" s="1"/>
  <c r="M33" i="7"/>
  <c r="I33" i="7"/>
  <c r="O103" i="7"/>
  <c r="Q103" i="7" s="1"/>
  <c r="L119" i="7"/>
  <c r="N119" i="7" s="1"/>
  <c r="M18" i="7"/>
  <c r="N5" i="7"/>
  <c r="O78" i="7"/>
  <c r="Q78" i="7" s="1"/>
  <c r="N78" i="7"/>
  <c r="H76" i="7"/>
  <c r="O76" i="7"/>
  <c r="Q76" i="7" s="1"/>
  <c r="E45" i="7"/>
  <c r="G43" i="7"/>
  <c r="O69" i="7"/>
  <c r="Q69" i="7" s="1"/>
  <c r="N69" i="7"/>
  <c r="O97" i="7"/>
  <c r="Q97" i="7" s="1"/>
  <c r="O53" i="7"/>
  <c r="Q53" i="7" s="1"/>
  <c r="N53" i="7"/>
  <c r="G10" i="7"/>
  <c r="L23" i="7"/>
  <c r="N23" i="7" s="1"/>
  <c r="G23" i="7"/>
  <c r="L43" i="7"/>
  <c r="H49" i="7"/>
  <c r="E110" i="7"/>
  <c r="O49" i="7"/>
  <c r="O67" i="7"/>
  <c r="Q67" i="7" s="1"/>
  <c r="N65" i="7"/>
  <c r="G5" i="7"/>
  <c r="J110" i="7"/>
  <c r="N110" i="7" s="1"/>
  <c r="J130" i="7"/>
  <c r="C133" i="7" s="1"/>
  <c r="O54" i="7"/>
  <c r="Q54" i="7" s="1"/>
  <c r="N54" i="7"/>
  <c r="O75" i="7"/>
  <c r="Q75" i="7" s="1"/>
  <c r="N75" i="7"/>
  <c r="N137" i="7"/>
  <c r="E33" i="7"/>
  <c r="O61" i="7"/>
  <c r="Q61" i="7" s="1"/>
  <c r="O82" i="7"/>
  <c r="Q82" i="7" s="1"/>
  <c r="N101" i="7"/>
  <c r="H106" i="7"/>
  <c r="O106" i="7"/>
  <c r="Q106" i="7" s="1"/>
  <c r="I129" i="7"/>
  <c r="G119" i="7"/>
  <c r="O72" i="7"/>
  <c r="Q72" i="7" s="1"/>
  <c r="N72" i="7"/>
  <c r="O108" i="7"/>
  <c r="Q108" i="7" s="1"/>
  <c r="N108" i="7"/>
  <c r="G120" i="7"/>
  <c r="L120" i="7"/>
  <c r="N120" i="7" s="1"/>
  <c r="O51" i="7"/>
  <c r="Q51" i="7" s="1"/>
  <c r="N51" i="7"/>
  <c r="O87" i="7"/>
  <c r="Q87" i="7" s="1"/>
  <c r="N87" i="7"/>
  <c r="O66" i="7"/>
  <c r="Q66" i="7" s="1"/>
  <c r="N66" i="7"/>
  <c r="N89" i="7"/>
  <c r="O102" i="7"/>
  <c r="Q102" i="7" s="1"/>
  <c r="N102" i="7"/>
  <c r="G125" i="7"/>
  <c r="G8" i="7"/>
  <c r="L30" i="7"/>
  <c r="N30" i="7" s="1"/>
  <c r="L37" i="7"/>
  <c r="E39" i="7"/>
  <c r="N68" i="7"/>
  <c r="O81" i="7"/>
  <c r="Q81" i="7" s="1"/>
  <c r="N81" i="7"/>
  <c r="O85" i="7"/>
  <c r="Q85" i="7" s="1"/>
  <c r="N104" i="7"/>
  <c r="E129" i="7"/>
  <c r="L118" i="7"/>
  <c r="N118" i="7" s="1"/>
  <c r="G30" i="7"/>
  <c r="G37" i="7"/>
  <c r="O60" i="7"/>
  <c r="Q60" i="7" s="1"/>
  <c r="N60" i="7"/>
  <c r="O64" i="7"/>
  <c r="Q64" i="7" s="1"/>
  <c r="N83" i="7"/>
  <c r="O96" i="7"/>
  <c r="Q96" i="7" s="1"/>
  <c r="N96" i="7"/>
  <c r="O100" i="7"/>
  <c r="Q100" i="7" s="1"/>
  <c r="G114" i="7"/>
  <c r="G118" i="7"/>
  <c r="O52" i="6"/>
  <c r="Q52" i="6" s="1"/>
  <c r="N145" i="13" l="1"/>
  <c r="N140" i="11"/>
  <c r="N140" i="10"/>
  <c r="N140" i="9"/>
  <c r="N140" i="8"/>
  <c r="L45" i="7"/>
  <c r="N45" i="7" s="1"/>
  <c r="N39" i="7"/>
  <c r="L24" i="7"/>
  <c r="L33" i="7"/>
  <c r="N22" i="7"/>
  <c r="C134" i="7"/>
  <c r="L129" i="7"/>
  <c r="N133" i="7"/>
  <c r="N134" i="7"/>
  <c r="N33" i="7"/>
  <c r="N43" i="7"/>
  <c r="O110" i="7"/>
  <c r="Q110" i="7" s="1"/>
  <c r="Q49" i="7"/>
  <c r="O131" i="7"/>
  <c r="N138" i="7" s="1"/>
  <c r="L39" i="7"/>
  <c r="N37" i="7"/>
  <c r="L18" i="7"/>
  <c r="N18" i="7" s="1"/>
  <c r="P53" i="6"/>
  <c r="P50" i="6"/>
  <c r="L53" i="6"/>
  <c r="L50" i="6"/>
  <c r="J53" i="6"/>
  <c r="N53" i="6" s="1"/>
  <c r="J50" i="6"/>
  <c r="N50" i="6" s="1"/>
  <c r="E53" i="6"/>
  <c r="H53" i="6" s="1"/>
  <c r="E50" i="6"/>
  <c r="H50" i="6" s="1"/>
  <c r="N140" i="7" l="1"/>
  <c r="O50" i="6"/>
  <c r="Q50" i="6" s="1"/>
  <c r="O53" i="6"/>
  <c r="Q53" i="6" s="1"/>
  <c r="L133" i="6"/>
  <c r="J131" i="6"/>
  <c r="F131" i="6"/>
  <c r="M130" i="6"/>
  <c r="I130" i="6"/>
  <c r="K130" i="6" s="1"/>
  <c r="E130" i="6"/>
  <c r="L130" i="6" s="1"/>
  <c r="M129" i="6"/>
  <c r="I129" i="6"/>
  <c r="K129" i="6" s="1"/>
  <c r="E129" i="6"/>
  <c r="L129" i="6" s="1"/>
  <c r="M128" i="6"/>
  <c r="I128" i="6"/>
  <c r="K128" i="6" s="1"/>
  <c r="E128" i="6"/>
  <c r="G128" i="6" s="1"/>
  <c r="M127" i="6"/>
  <c r="I127" i="6"/>
  <c r="K127" i="6" s="1"/>
  <c r="E127" i="6"/>
  <c r="G127" i="6" s="1"/>
  <c r="M126" i="6"/>
  <c r="I126" i="6"/>
  <c r="E126" i="6"/>
  <c r="G126" i="6" s="1"/>
  <c r="M125" i="6"/>
  <c r="I125" i="6"/>
  <c r="K125" i="6" s="1"/>
  <c r="E125" i="6"/>
  <c r="L125" i="6" s="1"/>
  <c r="M124" i="6"/>
  <c r="I124" i="6"/>
  <c r="K124" i="6" s="1"/>
  <c r="E124" i="6"/>
  <c r="G124" i="6" s="1"/>
  <c r="M123" i="6"/>
  <c r="I123" i="6"/>
  <c r="K123" i="6" s="1"/>
  <c r="E123" i="6"/>
  <c r="M122" i="6"/>
  <c r="I122" i="6"/>
  <c r="K122" i="6" s="1"/>
  <c r="E122" i="6"/>
  <c r="L122" i="6" s="1"/>
  <c r="M121" i="6"/>
  <c r="I121" i="6"/>
  <c r="K121" i="6" s="1"/>
  <c r="E121" i="6"/>
  <c r="L121" i="6" s="1"/>
  <c r="M120" i="6"/>
  <c r="I120" i="6"/>
  <c r="K120" i="6" s="1"/>
  <c r="E120" i="6"/>
  <c r="M119" i="6"/>
  <c r="I119" i="6"/>
  <c r="K119" i="6" s="1"/>
  <c r="E119" i="6"/>
  <c r="L119" i="6" s="1"/>
  <c r="M118" i="6"/>
  <c r="I118" i="6"/>
  <c r="E118" i="6"/>
  <c r="G118" i="6" s="1"/>
  <c r="M117" i="6"/>
  <c r="I117" i="6"/>
  <c r="E117" i="6"/>
  <c r="G117" i="6" s="1"/>
  <c r="M116" i="6"/>
  <c r="I116" i="6"/>
  <c r="K116" i="6" s="1"/>
  <c r="E116" i="6"/>
  <c r="G116" i="6" s="1"/>
  <c r="M115" i="6"/>
  <c r="I115" i="6"/>
  <c r="K115" i="6" s="1"/>
  <c r="E115" i="6"/>
  <c r="L115" i="6" s="1"/>
  <c r="M114" i="6"/>
  <c r="I114" i="6"/>
  <c r="E114" i="6"/>
  <c r="R110" i="6"/>
  <c r="M110" i="6"/>
  <c r="G110" i="6"/>
  <c r="P110" i="6" s="1"/>
  <c r="N134" i="6" s="1"/>
  <c r="P109" i="6"/>
  <c r="L109" i="6"/>
  <c r="J109" i="6"/>
  <c r="E109" i="6"/>
  <c r="H109" i="6" s="1"/>
  <c r="P108" i="6"/>
  <c r="L108" i="6"/>
  <c r="J108" i="6"/>
  <c r="N108" i="6" s="1"/>
  <c r="E108" i="6"/>
  <c r="P107" i="6"/>
  <c r="L107" i="6"/>
  <c r="J107" i="6"/>
  <c r="E107" i="6"/>
  <c r="H107" i="6" s="1"/>
  <c r="P106" i="6"/>
  <c r="L106" i="6"/>
  <c r="J106" i="6"/>
  <c r="E106" i="6"/>
  <c r="H106" i="6" s="1"/>
  <c r="P105" i="6"/>
  <c r="L105" i="6"/>
  <c r="J105" i="6"/>
  <c r="N105" i="6" s="1"/>
  <c r="E105" i="6"/>
  <c r="P104" i="6"/>
  <c r="L104" i="6"/>
  <c r="J104" i="6"/>
  <c r="E104" i="6"/>
  <c r="H104" i="6" s="1"/>
  <c r="P103" i="6"/>
  <c r="L103" i="6"/>
  <c r="J103" i="6"/>
  <c r="E103" i="6"/>
  <c r="H103" i="6" s="1"/>
  <c r="P102" i="6"/>
  <c r="L102" i="6"/>
  <c r="J102" i="6"/>
  <c r="E102" i="6"/>
  <c r="H102" i="6" s="1"/>
  <c r="P101" i="6"/>
  <c r="L101" i="6"/>
  <c r="J101" i="6"/>
  <c r="N101" i="6" s="1"/>
  <c r="E101" i="6"/>
  <c r="P100" i="6"/>
  <c r="L100" i="6"/>
  <c r="J100" i="6"/>
  <c r="E100" i="6"/>
  <c r="H100" i="6" s="1"/>
  <c r="P99" i="6"/>
  <c r="L99" i="6"/>
  <c r="J99" i="6"/>
  <c r="E99" i="6"/>
  <c r="H99" i="6" s="1"/>
  <c r="P98" i="6"/>
  <c r="L98" i="6"/>
  <c r="J98" i="6"/>
  <c r="N98" i="6" s="1"/>
  <c r="E98" i="6"/>
  <c r="O98" i="6" s="1"/>
  <c r="P97" i="6"/>
  <c r="L97" i="6"/>
  <c r="J97" i="6"/>
  <c r="E97" i="6"/>
  <c r="H97" i="6" s="1"/>
  <c r="P96" i="6"/>
  <c r="L96" i="6"/>
  <c r="J96" i="6"/>
  <c r="E96" i="6"/>
  <c r="H96" i="6" s="1"/>
  <c r="P95" i="6"/>
  <c r="L95" i="6"/>
  <c r="J95" i="6"/>
  <c r="N95" i="6" s="1"/>
  <c r="E95" i="6"/>
  <c r="O95" i="6" s="1"/>
  <c r="P94" i="6"/>
  <c r="L94" i="6"/>
  <c r="J94" i="6"/>
  <c r="E94" i="6"/>
  <c r="H94" i="6" s="1"/>
  <c r="P93" i="6"/>
  <c r="L93" i="6"/>
  <c r="J93" i="6"/>
  <c r="E93" i="6"/>
  <c r="H93" i="6" s="1"/>
  <c r="P92" i="6"/>
  <c r="L92" i="6"/>
  <c r="J92" i="6"/>
  <c r="N92" i="6" s="1"/>
  <c r="E92" i="6"/>
  <c r="O92" i="6" s="1"/>
  <c r="P91" i="6"/>
  <c r="L91" i="6"/>
  <c r="J91" i="6"/>
  <c r="E91" i="6"/>
  <c r="H91" i="6" s="1"/>
  <c r="P90" i="6"/>
  <c r="L90" i="6"/>
  <c r="J90" i="6"/>
  <c r="E90" i="6"/>
  <c r="H90" i="6" s="1"/>
  <c r="P89" i="6"/>
  <c r="L89" i="6"/>
  <c r="J89" i="6"/>
  <c r="N89" i="6" s="1"/>
  <c r="E89" i="6"/>
  <c r="P88" i="6"/>
  <c r="L88" i="6"/>
  <c r="J88" i="6"/>
  <c r="N88" i="6" s="1"/>
  <c r="E88" i="6"/>
  <c r="H88" i="6" s="1"/>
  <c r="P87" i="6"/>
  <c r="L87" i="6"/>
  <c r="J87" i="6"/>
  <c r="E87" i="6"/>
  <c r="H87" i="6" s="1"/>
  <c r="P86" i="6"/>
  <c r="L86" i="6"/>
  <c r="J86" i="6"/>
  <c r="N86" i="6" s="1"/>
  <c r="E86" i="6"/>
  <c r="O86" i="6" s="1"/>
  <c r="P85" i="6"/>
  <c r="L85" i="6"/>
  <c r="J85" i="6"/>
  <c r="E85" i="6"/>
  <c r="H85" i="6" s="1"/>
  <c r="P84" i="6"/>
  <c r="L84" i="6"/>
  <c r="J84" i="6"/>
  <c r="E84" i="6"/>
  <c r="H84" i="6" s="1"/>
  <c r="P83" i="6"/>
  <c r="L83" i="6"/>
  <c r="J83" i="6"/>
  <c r="N83" i="6" s="1"/>
  <c r="E83" i="6"/>
  <c r="O83" i="6" s="1"/>
  <c r="P82" i="6"/>
  <c r="L82" i="6"/>
  <c r="J82" i="6"/>
  <c r="E82" i="6"/>
  <c r="H82" i="6" s="1"/>
  <c r="P81" i="6"/>
  <c r="L81" i="6"/>
  <c r="J81" i="6"/>
  <c r="E81" i="6"/>
  <c r="H81" i="6" s="1"/>
  <c r="P80" i="6"/>
  <c r="L80" i="6"/>
  <c r="J80" i="6"/>
  <c r="N80" i="6" s="1"/>
  <c r="E80" i="6"/>
  <c r="O80" i="6" s="1"/>
  <c r="P79" i="6"/>
  <c r="L79" i="6"/>
  <c r="J79" i="6"/>
  <c r="E79" i="6"/>
  <c r="H79" i="6" s="1"/>
  <c r="P78" i="6"/>
  <c r="L78" i="6"/>
  <c r="J78" i="6"/>
  <c r="E78" i="6"/>
  <c r="H78" i="6" s="1"/>
  <c r="P77" i="6"/>
  <c r="L77" i="6"/>
  <c r="J77" i="6"/>
  <c r="N77" i="6" s="1"/>
  <c r="E77" i="6"/>
  <c r="P76" i="6"/>
  <c r="L76" i="6"/>
  <c r="J76" i="6"/>
  <c r="E76" i="6"/>
  <c r="H76" i="6" s="1"/>
  <c r="P75" i="6"/>
  <c r="L75" i="6"/>
  <c r="J75" i="6"/>
  <c r="E75" i="6"/>
  <c r="H75" i="6" s="1"/>
  <c r="P74" i="6"/>
  <c r="L74" i="6"/>
  <c r="J74" i="6"/>
  <c r="N74" i="6" s="1"/>
  <c r="E74" i="6"/>
  <c r="O74" i="6" s="1"/>
  <c r="P73" i="6"/>
  <c r="L73" i="6"/>
  <c r="J73" i="6"/>
  <c r="E73" i="6"/>
  <c r="H73" i="6" s="1"/>
  <c r="P72" i="6"/>
  <c r="L72" i="6"/>
  <c r="J72" i="6"/>
  <c r="E72" i="6"/>
  <c r="H72" i="6" s="1"/>
  <c r="P71" i="6"/>
  <c r="L71" i="6"/>
  <c r="J71" i="6"/>
  <c r="N71" i="6" s="1"/>
  <c r="E71" i="6"/>
  <c r="O71" i="6" s="1"/>
  <c r="P70" i="6"/>
  <c r="L70" i="6"/>
  <c r="J70" i="6"/>
  <c r="E70" i="6"/>
  <c r="H70" i="6" s="1"/>
  <c r="P69" i="6"/>
  <c r="L69" i="6"/>
  <c r="J69" i="6"/>
  <c r="E69" i="6"/>
  <c r="H69" i="6" s="1"/>
  <c r="P68" i="6"/>
  <c r="L68" i="6"/>
  <c r="J68" i="6"/>
  <c r="N68" i="6" s="1"/>
  <c r="E68" i="6"/>
  <c r="O68" i="6" s="1"/>
  <c r="P67" i="6"/>
  <c r="L67" i="6"/>
  <c r="J67" i="6"/>
  <c r="E67" i="6"/>
  <c r="H67" i="6" s="1"/>
  <c r="P66" i="6"/>
  <c r="L66" i="6"/>
  <c r="J66" i="6"/>
  <c r="E66" i="6"/>
  <c r="H66" i="6" s="1"/>
  <c r="P65" i="6"/>
  <c r="L65" i="6"/>
  <c r="J65" i="6"/>
  <c r="N65" i="6" s="1"/>
  <c r="E65" i="6"/>
  <c r="P64" i="6"/>
  <c r="L64" i="6"/>
  <c r="J64" i="6"/>
  <c r="E64" i="6"/>
  <c r="H64" i="6" s="1"/>
  <c r="P63" i="6"/>
  <c r="L63" i="6"/>
  <c r="J63" i="6"/>
  <c r="E63" i="6"/>
  <c r="H63" i="6" s="1"/>
  <c r="P62" i="6"/>
  <c r="L62" i="6"/>
  <c r="J62" i="6"/>
  <c r="N62" i="6" s="1"/>
  <c r="E62" i="6"/>
  <c r="O62" i="6" s="1"/>
  <c r="P61" i="6"/>
  <c r="L61" i="6"/>
  <c r="J61" i="6"/>
  <c r="E61" i="6"/>
  <c r="H61" i="6" s="1"/>
  <c r="P60" i="6"/>
  <c r="L60" i="6"/>
  <c r="J60" i="6"/>
  <c r="E60" i="6"/>
  <c r="H60" i="6" s="1"/>
  <c r="P59" i="6"/>
  <c r="L59" i="6"/>
  <c r="J59" i="6"/>
  <c r="N59" i="6" s="1"/>
  <c r="E59" i="6"/>
  <c r="O59" i="6" s="1"/>
  <c r="P58" i="6"/>
  <c r="L58" i="6"/>
  <c r="J58" i="6"/>
  <c r="E58" i="6"/>
  <c r="H58" i="6" s="1"/>
  <c r="P57" i="6"/>
  <c r="L57" i="6"/>
  <c r="J57" i="6"/>
  <c r="E57" i="6"/>
  <c r="H57" i="6" s="1"/>
  <c r="P56" i="6"/>
  <c r="L56" i="6"/>
  <c r="J56" i="6"/>
  <c r="N56" i="6" s="1"/>
  <c r="E56" i="6"/>
  <c r="O56" i="6" s="1"/>
  <c r="P49" i="6"/>
  <c r="L49" i="6"/>
  <c r="J49" i="6"/>
  <c r="E49" i="6"/>
  <c r="H49" i="6" s="1"/>
  <c r="J45" i="6"/>
  <c r="F45" i="6"/>
  <c r="M44" i="6"/>
  <c r="I44" i="6"/>
  <c r="K44" i="6" s="1"/>
  <c r="E44" i="6"/>
  <c r="M43" i="6"/>
  <c r="I43" i="6"/>
  <c r="E43" i="6"/>
  <c r="G43" i="6" s="1"/>
  <c r="J39" i="6"/>
  <c r="F39" i="6"/>
  <c r="M38" i="6"/>
  <c r="I38" i="6"/>
  <c r="K38" i="6" s="1"/>
  <c r="E38" i="6"/>
  <c r="M37" i="6"/>
  <c r="I37" i="6"/>
  <c r="E37" i="6"/>
  <c r="J33" i="6"/>
  <c r="F33" i="6"/>
  <c r="M32" i="6"/>
  <c r="I32" i="6"/>
  <c r="K32" i="6" s="1"/>
  <c r="E32" i="6"/>
  <c r="L32" i="6" s="1"/>
  <c r="M31" i="6"/>
  <c r="I31" i="6"/>
  <c r="K31" i="6" s="1"/>
  <c r="E31" i="6"/>
  <c r="M30" i="6"/>
  <c r="I30" i="6"/>
  <c r="K30" i="6" s="1"/>
  <c r="E30" i="6"/>
  <c r="M29" i="6"/>
  <c r="I29" i="6"/>
  <c r="K29" i="6" s="1"/>
  <c r="E29" i="6"/>
  <c r="L29" i="6" s="1"/>
  <c r="M28" i="6"/>
  <c r="I28" i="6"/>
  <c r="E28" i="6"/>
  <c r="J24" i="6"/>
  <c r="F24" i="6"/>
  <c r="M23" i="6"/>
  <c r="I23" i="6"/>
  <c r="K23" i="6" s="1"/>
  <c r="E23" i="6"/>
  <c r="M22" i="6"/>
  <c r="I22" i="6"/>
  <c r="E22" i="6"/>
  <c r="O18" i="6"/>
  <c r="J18" i="6"/>
  <c r="F18" i="6"/>
  <c r="M17" i="6"/>
  <c r="I17" i="6"/>
  <c r="K17" i="6" s="1"/>
  <c r="E17" i="6"/>
  <c r="G17" i="6" s="1"/>
  <c r="M16" i="6"/>
  <c r="I16" i="6"/>
  <c r="E16" i="6"/>
  <c r="G16" i="6" s="1"/>
  <c r="M15" i="6"/>
  <c r="I15" i="6"/>
  <c r="K15" i="6" s="1"/>
  <c r="E15" i="6"/>
  <c r="L15" i="6" s="1"/>
  <c r="M14" i="6"/>
  <c r="I14" i="6"/>
  <c r="K14" i="6" s="1"/>
  <c r="E14" i="6"/>
  <c r="G14" i="6" s="1"/>
  <c r="M13" i="6"/>
  <c r="I13" i="6"/>
  <c r="K13" i="6" s="1"/>
  <c r="E13" i="6"/>
  <c r="M12" i="6"/>
  <c r="I12" i="6"/>
  <c r="K12" i="6" s="1"/>
  <c r="E12" i="6"/>
  <c r="L12" i="6" s="1"/>
  <c r="M11" i="6"/>
  <c r="I11" i="6"/>
  <c r="E11" i="6"/>
  <c r="G11" i="6" s="1"/>
  <c r="M10" i="6"/>
  <c r="I10" i="6"/>
  <c r="K10" i="6" s="1"/>
  <c r="E10" i="6"/>
  <c r="L10" i="6" s="1"/>
  <c r="M9" i="6"/>
  <c r="I9" i="6"/>
  <c r="K9" i="6" s="1"/>
  <c r="E9" i="6"/>
  <c r="M8" i="6"/>
  <c r="I8" i="6"/>
  <c r="K8" i="6" s="1"/>
  <c r="E8" i="6"/>
  <c r="G8" i="6" s="1"/>
  <c r="M7" i="6"/>
  <c r="I7" i="6"/>
  <c r="E7" i="6"/>
  <c r="G7" i="6" s="1"/>
  <c r="M5" i="6"/>
  <c r="I5" i="6"/>
  <c r="E5" i="6"/>
  <c r="G5" i="6" s="1"/>
  <c r="L138" i="5"/>
  <c r="J136" i="5"/>
  <c r="F136" i="5"/>
  <c r="M135" i="5"/>
  <c r="I135" i="5"/>
  <c r="K135" i="5" s="1"/>
  <c r="E135" i="5"/>
  <c r="M134" i="5"/>
  <c r="I134" i="5"/>
  <c r="K134" i="5" s="1"/>
  <c r="E134" i="5"/>
  <c r="M133" i="5"/>
  <c r="I133" i="5"/>
  <c r="K133" i="5" s="1"/>
  <c r="E133" i="5"/>
  <c r="M132" i="5"/>
  <c r="I132" i="5"/>
  <c r="K132" i="5" s="1"/>
  <c r="E132" i="5"/>
  <c r="M131" i="5"/>
  <c r="I131" i="5"/>
  <c r="K131" i="5" s="1"/>
  <c r="E131" i="5"/>
  <c r="M130" i="5"/>
  <c r="I130" i="5"/>
  <c r="K130" i="5" s="1"/>
  <c r="E130" i="5"/>
  <c r="M129" i="5"/>
  <c r="I129" i="5"/>
  <c r="K129" i="5" s="1"/>
  <c r="E129" i="5"/>
  <c r="M128" i="5"/>
  <c r="I128" i="5"/>
  <c r="K128" i="5" s="1"/>
  <c r="E128" i="5"/>
  <c r="M127" i="5"/>
  <c r="I127" i="5"/>
  <c r="K127" i="5" s="1"/>
  <c r="E127" i="5"/>
  <c r="M126" i="5"/>
  <c r="I126" i="5"/>
  <c r="K126" i="5" s="1"/>
  <c r="E126" i="5"/>
  <c r="M125" i="5"/>
  <c r="I125" i="5"/>
  <c r="K125" i="5" s="1"/>
  <c r="E125" i="5"/>
  <c r="M124" i="5"/>
  <c r="I124" i="5"/>
  <c r="K124" i="5" s="1"/>
  <c r="E124" i="5"/>
  <c r="M123" i="5"/>
  <c r="I123" i="5"/>
  <c r="K123" i="5" s="1"/>
  <c r="E123" i="5"/>
  <c r="M122" i="5"/>
  <c r="I122" i="5"/>
  <c r="K122" i="5" s="1"/>
  <c r="E122" i="5"/>
  <c r="M121" i="5"/>
  <c r="I121" i="5"/>
  <c r="K121" i="5" s="1"/>
  <c r="E121" i="5"/>
  <c r="M120" i="5"/>
  <c r="I120" i="5"/>
  <c r="K120" i="5" s="1"/>
  <c r="E120" i="5"/>
  <c r="M119" i="5"/>
  <c r="I119" i="5"/>
  <c r="K119" i="5" s="1"/>
  <c r="E119" i="5"/>
  <c r="M118" i="5"/>
  <c r="I118" i="5"/>
  <c r="K118" i="5" s="1"/>
  <c r="E118" i="5"/>
  <c r="M117" i="5"/>
  <c r="I117" i="5"/>
  <c r="K117" i="5" s="1"/>
  <c r="E117" i="5"/>
  <c r="M116" i="5"/>
  <c r="I116" i="5"/>
  <c r="K116" i="5" s="1"/>
  <c r="E116" i="5"/>
  <c r="M115" i="5"/>
  <c r="I115" i="5"/>
  <c r="K115" i="5" s="1"/>
  <c r="E115" i="5"/>
  <c r="M114" i="5"/>
  <c r="I114" i="5"/>
  <c r="K114" i="5" s="1"/>
  <c r="E114" i="5"/>
  <c r="M113" i="5"/>
  <c r="N144" i="5" s="1"/>
  <c r="I113" i="5"/>
  <c r="K113" i="5" s="1"/>
  <c r="E113" i="5"/>
  <c r="M112" i="5"/>
  <c r="I112" i="5"/>
  <c r="K112" i="5" s="1"/>
  <c r="E112" i="5"/>
  <c r="M111" i="5"/>
  <c r="I111" i="5"/>
  <c r="K111" i="5" s="1"/>
  <c r="E111" i="5"/>
  <c r="M110" i="5"/>
  <c r="I110" i="5"/>
  <c r="K110" i="5" s="1"/>
  <c r="E110" i="5"/>
  <c r="M109" i="5"/>
  <c r="M136" i="5" s="1"/>
  <c r="I109" i="5"/>
  <c r="E109" i="5"/>
  <c r="E136" i="5" s="1"/>
  <c r="R105" i="5"/>
  <c r="M105" i="5"/>
  <c r="G105" i="5"/>
  <c r="P105" i="5" s="1"/>
  <c r="N139" i="5" s="1"/>
  <c r="E105" i="5"/>
  <c r="P104" i="5"/>
  <c r="L104" i="5"/>
  <c r="L105" i="5" s="1"/>
  <c r="J104" i="5"/>
  <c r="E104" i="5"/>
  <c r="H104" i="5" s="1"/>
  <c r="P103" i="5"/>
  <c r="L103" i="5"/>
  <c r="J103" i="5"/>
  <c r="E103" i="5"/>
  <c r="H103" i="5" s="1"/>
  <c r="P102" i="5"/>
  <c r="L102" i="5"/>
  <c r="J102" i="5"/>
  <c r="E102" i="5"/>
  <c r="H102" i="5" s="1"/>
  <c r="P101" i="5"/>
  <c r="L101" i="5"/>
  <c r="J101" i="5"/>
  <c r="E101" i="5"/>
  <c r="H101" i="5" s="1"/>
  <c r="P100" i="5"/>
  <c r="L100" i="5"/>
  <c r="J100" i="5"/>
  <c r="E100" i="5"/>
  <c r="H100" i="5" s="1"/>
  <c r="P99" i="5"/>
  <c r="L99" i="5"/>
  <c r="J99" i="5"/>
  <c r="E99" i="5"/>
  <c r="H99" i="5" s="1"/>
  <c r="P98" i="5"/>
  <c r="L98" i="5"/>
  <c r="J98" i="5"/>
  <c r="E98" i="5"/>
  <c r="H98" i="5" s="1"/>
  <c r="P97" i="5"/>
  <c r="L97" i="5"/>
  <c r="J97" i="5"/>
  <c r="E97" i="5"/>
  <c r="H97" i="5" s="1"/>
  <c r="P96" i="5"/>
  <c r="L96" i="5"/>
  <c r="J96" i="5"/>
  <c r="E96" i="5"/>
  <c r="H96" i="5" s="1"/>
  <c r="P95" i="5"/>
  <c r="L95" i="5"/>
  <c r="J95" i="5"/>
  <c r="E95" i="5"/>
  <c r="H95" i="5" s="1"/>
  <c r="P94" i="5"/>
  <c r="L94" i="5"/>
  <c r="J94" i="5"/>
  <c r="E94" i="5"/>
  <c r="H94" i="5" s="1"/>
  <c r="P93" i="5"/>
  <c r="L93" i="5"/>
  <c r="J93" i="5"/>
  <c r="E93" i="5"/>
  <c r="H93" i="5" s="1"/>
  <c r="P92" i="5"/>
  <c r="L92" i="5"/>
  <c r="J92" i="5"/>
  <c r="E92" i="5"/>
  <c r="H92" i="5" s="1"/>
  <c r="P91" i="5"/>
  <c r="L91" i="5"/>
  <c r="J91" i="5"/>
  <c r="E91" i="5"/>
  <c r="H91" i="5" s="1"/>
  <c r="P90" i="5"/>
  <c r="L90" i="5"/>
  <c r="J90" i="5"/>
  <c r="E90" i="5"/>
  <c r="H90" i="5" s="1"/>
  <c r="P89" i="5"/>
  <c r="L89" i="5"/>
  <c r="J89" i="5"/>
  <c r="E89" i="5"/>
  <c r="H89" i="5" s="1"/>
  <c r="P88" i="5"/>
  <c r="L88" i="5"/>
  <c r="J88" i="5"/>
  <c r="E88" i="5"/>
  <c r="H88" i="5" s="1"/>
  <c r="P87" i="5"/>
  <c r="L87" i="5"/>
  <c r="J87" i="5"/>
  <c r="E87" i="5"/>
  <c r="H87" i="5" s="1"/>
  <c r="P86" i="5"/>
  <c r="L86" i="5"/>
  <c r="J86" i="5"/>
  <c r="E86" i="5"/>
  <c r="H86" i="5" s="1"/>
  <c r="P85" i="5"/>
  <c r="L85" i="5"/>
  <c r="J85" i="5"/>
  <c r="E85" i="5"/>
  <c r="H85" i="5" s="1"/>
  <c r="P84" i="5"/>
  <c r="L84" i="5"/>
  <c r="J84" i="5"/>
  <c r="E84" i="5"/>
  <c r="H84" i="5" s="1"/>
  <c r="P83" i="5"/>
  <c r="L83" i="5"/>
  <c r="J83" i="5"/>
  <c r="E83" i="5"/>
  <c r="H83" i="5" s="1"/>
  <c r="P82" i="5"/>
  <c r="L82" i="5"/>
  <c r="J82" i="5"/>
  <c r="E82" i="5"/>
  <c r="H82" i="5" s="1"/>
  <c r="P81" i="5"/>
  <c r="L81" i="5"/>
  <c r="J81" i="5"/>
  <c r="E81" i="5"/>
  <c r="H81" i="5" s="1"/>
  <c r="P80" i="5"/>
  <c r="L80" i="5"/>
  <c r="J80" i="5"/>
  <c r="E80" i="5"/>
  <c r="H80" i="5" s="1"/>
  <c r="P79" i="5"/>
  <c r="L79" i="5"/>
  <c r="J79" i="5"/>
  <c r="E79" i="5"/>
  <c r="H79" i="5" s="1"/>
  <c r="P78" i="5"/>
  <c r="L78" i="5"/>
  <c r="J78" i="5"/>
  <c r="E78" i="5"/>
  <c r="H78" i="5" s="1"/>
  <c r="P77" i="5"/>
  <c r="L77" i="5"/>
  <c r="J77" i="5"/>
  <c r="E77" i="5"/>
  <c r="H77" i="5" s="1"/>
  <c r="P76" i="5"/>
  <c r="L76" i="5"/>
  <c r="J76" i="5"/>
  <c r="E76" i="5"/>
  <c r="H76" i="5" s="1"/>
  <c r="P75" i="5"/>
  <c r="L75" i="5"/>
  <c r="J75" i="5"/>
  <c r="E75" i="5"/>
  <c r="H75" i="5" s="1"/>
  <c r="P74" i="5"/>
  <c r="L74" i="5"/>
  <c r="J74" i="5"/>
  <c r="E74" i="5"/>
  <c r="H74" i="5" s="1"/>
  <c r="P73" i="5"/>
  <c r="L73" i="5"/>
  <c r="J73" i="5"/>
  <c r="E73" i="5"/>
  <c r="H73" i="5" s="1"/>
  <c r="P72" i="5"/>
  <c r="L72" i="5"/>
  <c r="J72" i="5"/>
  <c r="E72" i="5"/>
  <c r="H72" i="5" s="1"/>
  <c r="P71" i="5"/>
  <c r="L71" i="5"/>
  <c r="J71" i="5"/>
  <c r="E71" i="5"/>
  <c r="H71" i="5" s="1"/>
  <c r="P70" i="5"/>
  <c r="L70" i="5"/>
  <c r="J70" i="5"/>
  <c r="E70" i="5"/>
  <c r="H70" i="5" s="1"/>
  <c r="P69" i="5"/>
  <c r="L69" i="5"/>
  <c r="J69" i="5"/>
  <c r="E69" i="5"/>
  <c r="H69" i="5" s="1"/>
  <c r="P68" i="5"/>
  <c r="L68" i="5"/>
  <c r="J68" i="5"/>
  <c r="E68" i="5"/>
  <c r="H68" i="5" s="1"/>
  <c r="P67" i="5"/>
  <c r="L67" i="5"/>
  <c r="J67" i="5"/>
  <c r="E67" i="5"/>
  <c r="H67" i="5" s="1"/>
  <c r="P66" i="5"/>
  <c r="L66" i="5"/>
  <c r="J66" i="5"/>
  <c r="E66" i="5"/>
  <c r="H66" i="5" s="1"/>
  <c r="P65" i="5"/>
  <c r="L65" i="5"/>
  <c r="J65" i="5"/>
  <c r="E65" i="5"/>
  <c r="H65" i="5" s="1"/>
  <c r="P64" i="5"/>
  <c r="L64" i="5"/>
  <c r="J64" i="5"/>
  <c r="E64" i="5"/>
  <c r="H64" i="5" s="1"/>
  <c r="P63" i="5"/>
  <c r="L63" i="5"/>
  <c r="J63" i="5"/>
  <c r="E63" i="5"/>
  <c r="H63" i="5" s="1"/>
  <c r="P62" i="5"/>
  <c r="L62" i="5"/>
  <c r="J62" i="5"/>
  <c r="E62" i="5"/>
  <c r="H62" i="5" s="1"/>
  <c r="P61" i="5"/>
  <c r="L61" i="5"/>
  <c r="J61" i="5"/>
  <c r="E61" i="5"/>
  <c r="H61" i="5" s="1"/>
  <c r="P60" i="5"/>
  <c r="L60" i="5"/>
  <c r="J60" i="5"/>
  <c r="E60" i="5"/>
  <c r="H60" i="5" s="1"/>
  <c r="P59" i="5"/>
  <c r="L59" i="5"/>
  <c r="J59" i="5"/>
  <c r="E59" i="5"/>
  <c r="H59" i="5" s="1"/>
  <c r="P58" i="5"/>
  <c r="L58" i="5"/>
  <c r="J58" i="5"/>
  <c r="E58" i="5"/>
  <c r="H58" i="5" s="1"/>
  <c r="P57" i="5"/>
  <c r="L57" i="5"/>
  <c r="J57" i="5"/>
  <c r="E57" i="5"/>
  <c r="H57" i="5" s="1"/>
  <c r="P56" i="5"/>
  <c r="L56" i="5"/>
  <c r="J56" i="5"/>
  <c r="E56" i="5"/>
  <c r="H56" i="5" s="1"/>
  <c r="P55" i="5"/>
  <c r="L55" i="5"/>
  <c r="J55" i="5"/>
  <c r="E55" i="5"/>
  <c r="H55" i="5" s="1"/>
  <c r="P54" i="5"/>
  <c r="L54" i="5"/>
  <c r="J54" i="5"/>
  <c r="E54" i="5"/>
  <c r="H54" i="5" s="1"/>
  <c r="P53" i="5"/>
  <c r="L53" i="5"/>
  <c r="J53" i="5"/>
  <c r="E53" i="5"/>
  <c r="H53" i="5" s="1"/>
  <c r="P52" i="5"/>
  <c r="L52" i="5"/>
  <c r="J52" i="5"/>
  <c r="E52" i="5"/>
  <c r="H52" i="5" s="1"/>
  <c r="P51" i="5"/>
  <c r="L51" i="5"/>
  <c r="J51" i="5"/>
  <c r="E51" i="5"/>
  <c r="H51" i="5" s="1"/>
  <c r="P50" i="5"/>
  <c r="L50" i="5"/>
  <c r="J50" i="5"/>
  <c r="E50" i="5"/>
  <c r="H50" i="5" s="1"/>
  <c r="P49" i="5"/>
  <c r="L49" i="5"/>
  <c r="J49" i="5"/>
  <c r="E49" i="5"/>
  <c r="H49" i="5" s="1"/>
  <c r="P48" i="5"/>
  <c r="L48" i="5"/>
  <c r="J48" i="5"/>
  <c r="E48" i="5"/>
  <c r="H48" i="5" s="1"/>
  <c r="J44" i="5"/>
  <c r="F44" i="5"/>
  <c r="E44" i="5"/>
  <c r="M43" i="5"/>
  <c r="I43" i="5"/>
  <c r="G43" i="5"/>
  <c r="E43" i="5"/>
  <c r="M42" i="5"/>
  <c r="I42" i="5"/>
  <c r="K42" i="5" s="1"/>
  <c r="E42" i="5"/>
  <c r="J38" i="5"/>
  <c r="F38" i="5"/>
  <c r="M37" i="5"/>
  <c r="I37" i="5"/>
  <c r="K37" i="5" s="1"/>
  <c r="E37" i="5"/>
  <c r="M36" i="5"/>
  <c r="I36" i="5"/>
  <c r="E36" i="5"/>
  <c r="J32" i="5"/>
  <c r="F32" i="5"/>
  <c r="M31" i="5"/>
  <c r="I31" i="5"/>
  <c r="K31" i="5" s="1"/>
  <c r="E31" i="5"/>
  <c r="M30" i="5"/>
  <c r="I30" i="5"/>
  <c r="K30" i="5" s="1"/>
  <c r="E30" i="5"/>
  <c r="M29" i="5"/>
  <c r="I29" i="5"/>
  <c r="K29" i="5" s="1"/>
  <c r="E29" i="5"/>
  <c r="M28" i="5"/>
  <c r="I28" i="5"/>
  <c r="K28" i="5" s="1"/>
  <c r="E28" i="5"/>
  <c r="M27" i="5"/>
  <c r="I27" i="5"/>
  <c r="E27" i="5"/>
  <c r="J23" i="5"/>
  <c r="F23" i="5"/>
  <c r="M22" i="5"/>
  <c r="I22" i="5"/>
  <c r="K22" i="5" s="1"/>
  <c r="E22" i="5"/>
  <c r="M21" i="5"/>
  <c r="I21" i="5"/>
  <c r="E21" i="5"/>
  <c r="O17" i="5"/>
  <c r="J17" i="5"/>
  <c r="F17" i="5"/>
  <c r="F137" i="5" s="1"/>
  <c r="C139" i="5" s="1"/>
  <c r="M16" i="5"/>
  <c r="I16" i="5"/>
  <c r="K16" i="5" s="1"/>
  <c r="E16" i="5"/>
  <c r="M15" i="5"/>
  <c r="I15" i="5"/>
  <c r="K15" i="5" s="1"/>
  <c r="E15" i="5"/>
  <c r="M14" i="5"/>
  <c r="I14" i="5"/>
  <c r="K14" i="5" s="1"/>
  <c r="E14" i="5"/>
  <c r="M13" i="5"/>
  <c r="I13" i="5"/>
  <c r="K13" i="5" s="1"/>
  <c r="E13" i="5"/>
  <c r="M12" i="5"/>
  <c r="I12" i="5"/>
  <c r="K12" i="5" s="1"/>
  <c r="E12" i="5"/>
  <c r="M11" i="5"/>
  <c r="I11" i="5"/>
  <c r="K11" i="5" s="1"/>
  <c r="E11" i="5"/>
  <c r="M10" i="5"/>
  <c r="I10" i="5"/>
  <c r="K10" i="5" s="1"/>
  <c r="E10" i="5"/>
  <c r="M9" i="5"/>
  <c r="I9" i="5"/>
  <c r="K9" i="5" s="1"/>
  <c r="E9" i="5"/>
  <c r="M8" i="5"/>
  <c r="I8" i="5"/>
  <c r="K8" i="5" s="1"/>
  <c r="E8" i="5"/>
  <c r="M7" i="5"/>
  <c r="I7" i="5"/>
  <c r="K7" i="5" s="1"/>
  <c r="E7" i="5"/>
  <c r="M6" i="5"/>
  <c r="I6" i="5"/>
  <c r="E6" i="5"/>
  <c r="M5" i="5"/>
  <c r="I5" i="5"/>
  <c r="K5" i="5" s="1"/>
  <c r="E5" i="5"/>
  <c r="J136" i="4"/>
  <c r="N147" i="3"/>
  <c r="M136" i="3"/>
  <c r="R105" i="3"/>
  <c r="O17" i="3"/>
  <c r="E43" i="3"/>
  <c r="E42" i="3"/>
  <c r="M44" i="3"/>
  <c r="N44" i="3" s="1"/>
  <c r="L138" i="4"/>
  <c r="F136" i="4"/>
  <c r="M135" i="4"/>
  <c r="I135" i="4"/>
  <c r="K135" i="4" s="1"/>
  <c r="G135" i="4"/>
  <c r="E135" i="4"/>
  <c r="M134" i="4"/>
  <c r="K134" i="4"/>
  <c r="I134" i="4"/>
  <c r="E134" i="4"/>
  <c r="L134" i="4" s="1"/>
  <c r="N134" i="4" s="1"/>
  <c r="M133" i="4"/>
  <c r="L133" i="4"/>
  <c r="N133" i="4" s="1"/>
  <c r="I133" i="4"/>
  <c r="K133" i="4" s="1"/>
  <c r="E133" i="4"/>
  <c r="G133" i="4" s="1"/>
  <c r="M132" i="4"/>
  <c r="L132" i="4"/>
  <c r="N132" i="4" s="1"/>
  <c r="K132" i="4"/>
  <c r="I132" i="4"/>
  <c r="G132" i="4"/>
  <c r="E132" i="4"/>
  <c r="M131" i="4"/>
  <c r="I131" i="4"/>
  <c r="K131" i="4" s="1"/>
  <c r="E131" i="4"/>
  <c r="M130" i="4"/>
  <c r="L130" i="4"/>
  <c r="N130" i="4" s="1"/>
  <c r="I130" i="4"/>
  <c r="K130" i="4" s="1"/>
  <c r="G130" i="4"/>
  <c r="E130" i="4"/>
  <c r="M129" i="4"/>
  <c r="L129" i="4"/>
  <c r="N129" i="4" s="1"/>
  <c r="K129" i="4"/>
  <c r="I129" i="4"/>
  <c r="E129" i="4"/>
  <c r="G129" i="4" s="1"/>
  <c r="M128" i="4"/>
  <c r="I128" i="4"/>
  <c r="K128" i="4" s="1"/>
  <c r="E128" i="4"/>
  <c r="M127" i="4"/>
  <c r="I127" i="4"/>
  <c r="K127" i="4" s="1"/>
  <c r="G127" i="4"/>
  <c r="E127" i="4"/>
  <c r="M126" i="4"/>
  <c r="N126" i="4" s="1"/>
  <c r="K126" i="4"/>
  <c r="I126" i="4"/>
  <c r="E126" i="4"/>
  <c r="L126" i="4" s="1"/>
  <c r="M125" i="4"/>
  <c r="I125" i="4"/>
  <c r="K125" i="4" s="1"/>
  <c r="E125" i="4"/>
  <c r="G125" i="4" s="1"/>
  <c r="N124" i="4"/>
  <c r="M124" i="4"/>
  <c r="L124" i="4"/>
  <c r="K124" i="4"/>
  <c r="I124" i="4"/>
  <c r="G124" i="4"/>
  <c r="E124" i="4"/>
  <c r="M123" i="4"/>
  <c r="K123" i="4"/>
  <c r="I123" i="4"/>
  <c r="E123" i="4"/>
  <c r="M122" i="4"/>
  <c r="I122" i="4"/>
  <c r="K122" i="4" s="1"/>
  <c r="G122" i="4"/>
  <c r="E122" i="4"/>
  <c r="M121" i="4"/>
  <c r="K121" i="4"/>
  <c r="I121" i="4"/>
  <c r="E121" i="4"/>
  <c r="G121" i="4" s="1"/>
  <c r="M120" i="4"/>
  <c r="K120" i="4"/>
  <c r="I120" i="4"/>
  <c r="E120" i="4"/>
  <c r="M119" i="4"/>
  <c r="I119" i="4"/>
  <c r="K119" i="4" s="1"/>
  <c r="G119" i="4"/>
  <c r="E119" i="4"/>
  <c r="M118" i="4"/>
  <c r="I118" i="4"/>
  <c r="K118" i="4" s="1"/>
  <c r="E118" i="4"/>
  <c r="L118" i="4" s="1"/>
  <c r="N118" i="4" s="1"/>
  <c r="M117" i="4"/>
  <c r="L117" i="4"/>
  <c r="N117" i="4" s="1"/>
  <c r="I117" i="4"/>
  <c r="K117" i="4" s="1"/>
  <c r="E117" i="4"/>
  <c r="G117" i="4" s="1"/>
  <c r="M116" i="4"/>
  <c r="L116" i="4"/>
  <c r="N116" i="4" s="1"/>
  <c r="K116" i="4"/>
  <c r="I116" i="4"/>
  <c r="G116" i="4"/>
  <c r="E116" i="4"/>
  <c r="M115" i="4"/>
  <c r="I115" i="4"/>
  <c r="K115" i="4" s="1"/>
  <c r="E115" i="4"/>
  <c r="M114" i="4"/>
  <c r="L114" i="4"/>
  <c r="I114" i="4"/>
  <c r="K114" i="4" s="1"/>
  <c r="G114" i="4"/>
  <c r="E114" i="4"/>
  <c r="M113" i="4"/>
  <c r="L113" i="4"/>
  <c r="N113" i="4" s="1"/>
  <c r="K113" i="4"/>
  <c r="I113" i="4"/>
  <c r="E113" i="4"/>
  <c r="G113" i="4" s="1"/>
  <c r="M112" i="4"/>
  <c r="I112" i="4"/>
  <c r="K112" i="4" s="1"/>
  <c r="E112" i="4"/>
  <c r="M111" i="4"/>
  <c r="I111" i="4"/>
  <c r="K111" i="4" s="1"/>
  <c r="G111" i="4"/>
  <c r="E111" i="4"/>
  <c r="M110" i="4"/>
  <c r="N110" i="4" s="1"/>
  <c r="K110" i="4"/>
  <c r="I110" i="4"/>
  <c r="E110" i="4"/>
  <c r="L110" i="4" s="1"/>
  <c r="M109" i="4"/>
  <c r="I109" i="4"/>
  <c r="K109" i="4" s="1"/>
  <c r="E109" i="4"/>
  <c r="G109" i="4" s="1"/>
  <c r="R105" i="4"/>
  <c r="M105" i="4"/>
  <c r="P105" i="4" s="1"/>
  <c r="N139" i="4" s="1"/>
  <c r="G105" i="4"/>
  <c r="P104" i="4"/>
  <c r="Q104" i="4" s="1"/>
  <c r="N104" i="4"/>
  <c r="L104" i="4"/>
  <c r="J104" i="4"/>
  <c r="O104" i="4" s="1"/>
  <c r="H104" i="4"/>
  <c r="E104" i="4"/>
  <c r="P103" i="4"/>
  <c r="L103" i="4"/>
  <c r="J103" i="4"/>
  <c r="H103" i="4"/>
  <c r="E103" i="4"/>
  <c r="P102" i="4"/>
  <c r="L102" i="4"/>
  <c r="J102" i="4"/>
  <c r="H102" i="4"/>
  <c r="E102" i="4"/>
  <c r="P101" i="4"/>
  <c r="L101" i="4"/>
  <c r="J101" i="4"/>
  <c r="O101" i="4" s="1"/>
  <c r="Q101" i="4" s="1"/>
  <c r="H101" i="4"/>
  <c r="E101" i="4"/>
  <c r="P100" i="4"/>
  <c r="L100" i="4"/>
  <c r="J100" i="4"/>
  <c r="O100" i="4" s="1"/>
  <c r="Q100" i="4" s="1"/>
  <c r="H100" i="4"/>
  <c r="E100" i="4"/>
  <c r="Q99" i="4"/>
  <c r="P99" i="4"/>
  <c r="L99" i="4"/>
  <c r="J99" i="4"/>
  <c r="O99" i="4" s="1"/>
  <c r="H99" i="4"/>
  <c r="E99" i="4"/>
  <c r="P98" i="4"/>
  <c r="Q98" i="4" s="1"/>
  <c r="L98" i="4"/>
  <c r="J98" i="4"/>
  <c r="O98" i="4" s="1"/>
  <c r="H98" i="4"/>
  <c r="E98" i="4"/>
  <c r="P97" i="4"/>
  <c r="Q97" i="4" s="1"/>
  <c r="N97" i="4"/>
  <c r="L97" i="4"/>
  <c r="J97" i="4"/>
  <c r="O97" i="4" s="1"/>
  <c r="H97" i="4"/>
  <c r="E97" i="4"/>
  <c r="P96" i="4"/>
  <c r="Q96" i="4" s="1"/>
  <c r="N96" i="4"/>
  <c r="L96" i="4"/>
  <c r="J96" i="4"/>
  <c r="O96" i="4" s="1"/>
  <c r="H96" i="4"/>
  <c r="E96" i="4"/>
  <c r="P95" i="4"/>
  <c r="L95" i="4"/>
  <c r="J95" i="4"/>
  <c r="H95" i="4"/>
  <c r="E95" i="4"/>
  <c r="P94" i="4"/>
  <c r="L94" i="4"/>
  <c r="J94" i="4"/>
  <c r="H94" i="4"/>
  <c r="E94" i="4"/>
  <c r="P93" i="4"/>
  <c r="L93" i="4"/>
  <c r="J93" i="4"/>
  <c r="O93" i="4" s="1"/>
  <c r="Q93" i="4" s="1"/>
  <c r="H93" i="4"/>
  <c r="E93" i="4"/>
  <c r="P92" i="4"/>
  <c r="L92" i="4"/>
  <c r="J92" i="4"/>
  <c r="O92" i="4" s="1"/>
  <c r="Q92" i="4" s="1"/>
  <c r="H92" i="4"/>
  <c r="E92" i="4"/>
  <c r="Q91" i="4"/>
  <c r="P91" i="4"/>
  <c r="L91" i="4"/>
  <c r="J91" i="4"/>
  <c r="O91" i="4" s="1"/>
  <c r="H91" i="4"/>
  <c r="E91" i="4"/>
  <c r="Q90" i="4"/>
  <c r="P90" i="4"/>
  <c r="L90" i="4"/>
  <c r="J90" i="4"/>
  <c r="O90" i="4" s="1"/>
  <c r="H90" i="4"/>
  <c r="E90" i="4"/>
  <c r="P89" i="4"/>
  <c r="Q89" i="4" s="1"/>
  <c r="N89" i="4"/>
  <c r="L89" i="4"/>
  <c r="J89" i="4"/>
  <c r="O89" i="4" s="1"/>
  <c r="H89" i="4"/>
  <c r="E89" i="4"/>
  <c r="P88" i="4"/>
  <c r="Q88" i="4" s="1"/>
  <c r="N88" i="4"/>
  <c r="L88" i="4"/>
  <c r="J88" i="4"/>
  <c r="O88" i="4" s="1"/>
  <c r="H88" i="4"/>
  <c r="E88" i="4"/>
  <c r="P87" i="4"/>
  <c r="L87" i="4"/>
  <c r="J87" i="4"/>
  <c r="H87" i="4"/>
  <c r="E87" i="4"/>
  <c r="P86" i="4"/>
  <c r="L86" i="4"/>
  <c r="J86" i="4"/>
  <c r="H86" i="4"/>
  <c r="E86" i="4"/>
  <c r="P85" i="4"/>
  <c r="L85" i="4"/>
  <c r="J85" i="4"/>
  <c r="O85" i="4" s="1"/>
  <c r="Q85" i="4" s="1"/>
  <c r="H85" i="4"/>
  <c r="E85" i="4"/>
  <c r="P84" i="4"/>
  <c r="L84" i="4"/>
  <c r="J84" i="4"/>
  <c r="O84" i="4" s="1"/>
  <c r="Q84" i="4" s="1"/>
  <c r="H84" i="4"/>
  <c r="E84" i="4"/>
  <c r="Q83" i="4"/>
  <c r="P83" i="4"/>
  <c r="L83" i="4"/>
  <c r="J83" i="4"/>
  <c r="O83" i="4" s="1"/>
  <c r="H83" i="4"/>
  <c r="E83" i="4"/>
  <c r="P82" i="4"/>
  <c r="Q82" i="4" s="1"/>
  <c r="L82" i="4"/>
  <c r="J82" i="4"/>
  <c r="O82" i="4" s="1"/>
  <c r="H82" i="4"/>
  <c r="E82" i="4"/>
  <c r="P81" i="4"/>
  <c r="Q81" i="4" s="1"/>
  <c r="N81" i="4"/>
  <c r="L81" i="4"/>
  <c r="J81" i="4"/>
  <c r="O81" i="4" s="1"/>
  <c r="H81" i="4"/>
  <c r="E81" i="4"/>
  <c r="P80" i="4"/>
  <c r="Q80" i="4" s="1"/>
  <c r="N80" i="4"/>
  <c r="L80" i="4"/>
  <c r="J80" i="4"/>
  <c r="O80" i="4" s="1"/>
  <c r="H80" i="4"/>
  <c r="E80" i="4"/>
  <c r="P79" i="4"/>
  <c r="L79" i="4"/>
  <c r="J79" i="4"/>
  <c r="H79" i="4"/>
  <c r="E79" i="4"/>
  <c r="P78" i="4"/>
  <c r="L78" i="4"/>
  <c r="J78" i="4"/>
  <c r="E78" i="4"/>
  <c r="H78" i="4" s="1"/>
  <c r="P77" i="4"/>
  <c r="L77" i="4"/>
  <c r="J77" i="4"/>
  <c r="O77" i="4" s="1"/>
  <c r="Q77" i="4" s="1"/>
  <c r="H77" i="4"/>
  <c r="E77" i="4"/>
  <c r="P76" i="4"/>
  <c r="L76" i="4"/>
  <c r="J76" i="4"/>
  <c r="O76" i="4" s="1"/>
  <c r="Q76" i="4" s="1"/>
  <c r="H76" i="4"/>
  <c r="E76" i="4"/>
  <c r="Q75" i="4"/>
  <c r="P75" i="4"/>
  <c r="L75" i="4"/>
  <c r="J75" i="4"/>
  <c r="O75" i="4" s="1"/>
  <c r="H75" i="4"/>
  <c r="E75" i="4"/>
  <c r="Q74" i="4"/>
  <c r="P74" i="4"/>
  <c r="L74" i="4"/>
  <c r="J74" i="4"/>
  <c r="O74" i="4" s="1"/>
  <c r="H74" i="4"/>
  <c r="E74" i="4"/>
  <c r="P73" i="4"/>
  <c r="Q73" i="4" s="1"/>
  <c r="N73" i="4"/>
  <c r="L73" i="4"/>
  <c r="J73" i="4"/>
  <c r="O73" i="4" s="1"/>
  <c r="H73" i="4"/>
  <c r="E73" i="4"/>
  <c r="P72" i="4"/>
  <c r="Q72" i="4" s="1"/>
  <c r="N72" i="4"/>
  <c r="L72" i="4"/>
  <c r="J72" i="4"/>
  <c r="O72" i="4" s="1"/>
  <c r="H72" i="4"/>
  <c r="E72" i="4"/>
  <c r="P71" i="4"/>
  <c r="L71" i="4"/>
  <c r="J71" i="4"/>
  <c r="H71" i="4"/>
  <c r="E71" i="4"/>
  <c r="P70" i="4"/>
  <c r="L70" i="4"/>
  <c r="J70" i="4"/>
  <c r="H70" i="4"/>
  <c r="E70" i="4"/>
  <c r="P69" i="4"/>
  <c r="L69" i="4"/>
  <c r="J69" i="4"/>
  <c r="O69" i="4" s="1"/>
  <c r="Q69" i="4" s="1"/>
  <c r="H69" i="4"/>
  <c r="E69" i="4"/>
  <c r="P68" i="4"/>
  <c r="L68" i="4"/>
  <c r="J68" i="4"/>
  <c r="O68" i="4" s="1"/>
  <c r="Q68" i="4" s="1"/>
  <c r="H68" i="4"/>
  <c r="E68" i="4"/>
  <c r="Q67" i="4"/>
  <c r="P67" i="4"/>
  <c r="L67" i="4"/>
  <c r="J67" i="4"/>
  <c r="O67" i="4" s="1"/>
  <c r="H67" i="4"/>
  <c r="E67" i="4"/>
  <c r="P66" i="4"/>
  <c r="Q66" i="4" s="1"/>
  <c r="L66" i="4"/>
  <c r="J66" i="4"/>
  <c r="O66" i="4" s="1"/>
  <c r="H66" i="4"/>
  <c r="E66" i="4"/>
  <c r="P65" i="4"/>
  <c r="Q65" i="4" s="1"/>
  <c r="N65" i="4"/>
  <c r="L65" i="4"/>
  <c r="J65" i="4"/>
  <c r="O65" i="4" s="1"/>
  <c r="H65" i="4"/>
  <c r="E65" i="4"/>
  <c r="P64" i="4"/>
  <c r="Q64" i="4" s="1"/>
  <c r="N64" i="4"/>
  <c r="L64" i="4"/>
  <c r="J64" i="4"/>
  <c r="O64" i="4" s="1"/>
  <c r="H64" i="4"/>
  <c r="E64" i="4"/>
  <c r="P63" i="4"/>
  <c r="L63" i="4"/>
  <c r="J63" i="4"/>
  <c r="H63" i="4"/>
  <c r="E63" i="4"/>
  <c r="P62" i="4"/>
  <c r="L62" i="4"/>
  <c r="J62" i="4"/>
  <c r="H62" i="4"/>
  <c r="E62" i="4"/>
  <c r="P61" i="4"/>
  <c r="L61" i="4"/>
  <c r="J61" i="4"/>
  <c r="O61" i="4" s="1"/>
  <c r="Q61" i="4" s="1"/>
  <c r="H61" i="4"/>
  <c r="E61" i="4"/>
  <c r="P60" i="4"/>
  <c r="L60" i="4"/>
  <c r="J60" i="4"/>
  <c r="O60" i="4" s="1"/>
  <c r="Q60" i="4" s="1"/>
  <c r="H60" i="4"/>
  <c r="E60" i="4"/>
  <c r="Q59" i="4"/>
  <c r="P59" i="4"/>
  <c r="L59" i="4"/>
  <c r="J59" i="4"/>
  <c r="O59" i="4" s="1"/>
  <c r="H59" i="4"/>
  <c r="E59" i="4"/>
  <c r="Q58" i="4"/>
  <c r="P58" i="4"/>
  <c r="L58" i="4"/>
  <c r="J58" i="4"/>
  <c r="O58" i="4" s="1"/>
  <c r="H58" i="4"/>
  <c r="E58" i="4"/>
  <c r="P57" i="4"/>
  <c r="Q57" i="4" s="1"/>
  <c r="N57" i="4"/>
  <c r="L57" i="4"/>
  <c r="J57" i="4"/>
  <c r="O57" i="4" s="1"/>
  <c r="H57" i="4"/>
  <c r="E57" i="4"/>
  <c r="P56" i="4"/>
  <c r="Q56" i="4" s="1"/>
  <c r="N56" i="4"/>
  <c r="L56" i="4"/>
  <c r="J56" i="4"/>
  <c r="O56" i="4" s="1"/>
  <c r="H56" i="4"/>
  <c r="E56" i="4"/>
  <c r="P55" i="4"/>
  <c r="L55" i="4"/>
  <c r="J55" i="4"/>
  <c r="H55" i="4"/>
  <c r="E55" i="4"/>
  <c r="P54" i="4"/>
  <c r="L54" i="4"/>
  <c r="J54" i="4"/>
  <c r="H54" i="4"/>
  <c r="E54" i="4"/>
  <c r="P53" i="4"/>
  <c r="L53" i="4"/>
  <c r="J53" i="4"/>
  <c r="O53" i="4" s="1"/>
  <c r="Q53" i="4" s="1"/>
  <c r="H53" i="4"/>
  <c r="E53" i="4"/>
  <c r="P52" i="4"/>
  <c r="L52" i="4"/>
  <c r="J52" i="4"/>
  <c r="O52" i="4" s="1"/>
  <c r="Q52" i="4" s="1"/>
  <c r="H52" i="4"/>
  <c r="E52" i="4"/>
  <c r="Q51" i="4"/>
  <c r="P51" i="4"/>
  <c r="L51" i="4"/>
  <c r="J51" i="4"/>
  <c r="O51" i="4" s="1"/>
  <c r="H51" i="4"/>
  <c r="E51" i="4"/>
  <c r="P50" i="4"/>
  <c r="Q50" i="4" s="1"/>
  <c r="L50" i="4"/>
  <c r="J50" i="4"/>
  <c r="O50" i="4" s="1"/>
  <c r="H50" i="4"/>
  <c r="E50" i="4"/>
  <c r="P49" i="4"/>
  <c r="Q49" i="4" s="1"/>
  <c r="N49" i="4"/>
  <c r="L49" i="4"/>
  <c r="J49" i="4"/>
  <c r="O49" i="4" s="1"/>
  <c r="H49" i="4"/>
  <c r="E49" i="4"/>
  <c r="P48" i="4"/>
  <c r="Q48" i="4" s="1"/>
  <c r="N48" i="4"/>
  <c r="L48" i="4"/>
  <c r="J48" i="4"/>
  <c r="O48" i="4" s="1"/>
  <c r="H48" i="4"/>
  <c r="E48" i="4"/>
  <c r="E105" i="4" s="1"/>
  <c r="J44" i="4"/>
  <c r="I44" i="4"/>
  <c r="F44" i="4"/>
  <c r="M43" i="4"/>
  <c r="I43" i="4"/>
  <c r="K43" i="4" s="1"/>
  <c r="E43" i="4"/>
  <c r="M42" i="4"/>
  <c r="I42" i="4"/>
  <c r="K42" i="4" s="1"/>
  <c r="E42" i="4"/>
  <c r="J38" i="4"/>
  <c r="F38" i="4"/>
  <c r="M37" i="4"/>
  <c r="L37" i="4"/>
  <c r="N37" i="4" s="1"/>
  <c r="K37" i="4"/>
  <c r="I37" i="4"/>
  <c r="E37" i="4"/>
  <c r="G37" i="4" s="1"/>
  <c r="M36" i="4"/>
  <c r="M38" i="4" s="1"/>
  <c r="N142" i="4" s="1"/>
  <c r="I36" i="4"/>
  <c r="I38" i="4" s="1"/>
  <c r="E36" i="4"/>
  <c r="J32" i="4"/>
  <c r="F32" i="4"/>
  <c r="M31" i="4"/>
  <c r="I31" i="4"/>
  <c r="K31" i="4" s="1"/>
  <c r="E31" i="4"/>
  <c r="G31" i="4" s="1"/>
  <c r="M30" i="4"/>
  <c r="L30" i="4"/>
  <c r="K30" i="4"/>
  <c r="I30" i="4"/>
  <c r="E30" i="4"/>
  <c r="G30" i="4" s="1"/>
  <c r="M29" i="4"/>
  <c r="I29" i="4"/>
  <c r="K29" i="4" s="1"/>
  <c r="E29" i="4"/>
  <c r="M28" i="4"/>
  <c r="I28" i="4"/>
  <c r="E28" i="4"/>
  <c r="G28" i="4" s="1"/>
  <c r="N27" i="4"/>
  <c r="M27" i="4"/>
  <c r="I27" i="4"/>
  <c r="K27" i="4" s="1"/>
  <c r="E27" i="4"/>
  <c r="L27" i="4" s="1"/>
  <c r="J23" i="4"/>
  <c r="F23" i="4"/>
  <c r="M22" i="4"/>
  <c r="L22" i="4"/>
  <c r="N22" i="4" s="1"/>
  <c r="K22" i="4"/>
  <c r="I22" i="4"/>
  <c r="E22" i="4"/>
  <c r="G22" i="4" s="1"/>
  <c r="M21" i="4"/>
  <c r="M23" i="4" s="1"/>
  <c r="N146" i="4" s="1"/>
  <c r="I21" i="4"/>
  <c r="I23" i="4" s="1"/>
  <c r="E21" i="4"/>
  <c r="O17" i="4"/>
  <c r="J17" i="4"/>
  <c r="F17" i="4"/>
  <c r="F137" i="4" s="1"/>
  <c r="C139" i="4" s="1"/>
  <c r="M16" i="4"/>
  <c r="I16" i="4"/>
  <c r="K16" i="4" s="1"/>
  <c r="E16" i="4"/>
  <c r="M15" i="4"/>
  <c r="L15" i="4"/>
  <c r="I15" i="4"/>
  <c r="K15" i="4" s="1"/>
  <c r="G15" i="4"/>
  <c r="E15" i="4"/>
  <c r="M14" i="4"/>
  <c r="K14" i="4"/>
  <c r="I14" i="4"/>
  <c r="E14" i="4"/>
  <c r="L14" i="4" s="1"/>
  <c r="M13" i="4"/>
  <c r="I13" i="4"/>
  <c r="K13" i="4" s="1"/>
  <c r="E13" i="4"/>
  <c r="G13" i="4" s="1"/>
  <c r="M12" i="4"/>
  <c r="L12" i="4"/>
  <c r="N12" i="4" s="1"/>
  <c r="I12" i="4"/>
  <c r="K12" i="4" s="1"/>
  <c r="G12" i="4"/>
  <c r="E12" i="4"/>
  <c r="M11" i="4"/>
  <c r="I11" i="4"/>
  <c r="K11" i="4" s="1"/>
  <c r="E11" i="4"/>
  <c r="M10" i="4"/>
  <c r="I10" i="4"/>
  <c r="K10" i="4" s="1"/>
  <c r="E10" i="4"/>
  <c r="L10" i="4" s="1"/>
  <c r="M9" i="4"/>
  <c r="I9" i="4"/>
  <c r="K9" i="4" s="1"/>
  <c r="E9" i="4"/>
  <c r="N8" i="4"/>
  <c r="M8" i="4"/>
  <c r="I8" i="4"/>
  <c r="K8" i="4" s="1"/>
  <c r="E8" i="4"/>
  <c r="L8" i="4" s="1"/>
  <c r="N7" i="4"/>
  <c r="M7" i="4"/>
  <c r="L7" i="4"/>
  <c r="I7" i="4"/>
  <c r="K7" i="4" s="1"/>
  <c r="E7" i="4"/>
  <c r="G7" i="4" s="1"/>
  <c r="M6" i="4"/>
  <c r="K6" i="4"/>
  <c r="I6" i="4"/>
  <c r="I17" i="4" s="1"/>
  <c r="E6" i="4"/>
  <c r="G6" i="4" s="1"/>
  <c r="M5" i="4"/>
  <c r="I5" i="4"/>
  <c r="L5" i="4" s="1"/>
  <c r="G5" i="4"/>
  <c r="E5" i="4"/>
  <c r="M15" i="3"/>
  <c r="I15" i="3"/>
  <c r="K15" i="3" s="1"/>
  <c r="E15" i="3"/>
  <c r="G15" i="3" s="1"/>
  <c r="L138" i="3"/>
  <c r="J136" i="3"/>
  <c r="F136" i="3"/>
  <c r="M135" i="3"/>
  <c r="I135" i="3"/>
  <c r="K135" i="3" s="1"/>
  <c r="E135" i="3"/>
  <c r="M134" i="3"/>
  <c r="I134" i="3"/>
  <c r="K134" i="3" s="1"/>
  <c r="E134" i="3"/>
  <c r="G134" i="3" s="1"/>
  <c r="M133" i="3"/>
  <c r="I133" i="3"/>
  <c r="E133" i="3"/>
  <c r="G133" i="3" s="1"/>
  <c r="M132" i="3"/>
  <c r="I132" i="3"/>
  <c r="E132" i="3"/>
  <c r="G132" i="3" s="1"/>
  <c r="M131" i="3"/>
  <c r="I131" i="3"/>
  <c r="K131" i="3" s="1"/>
  <c r="E131" i="3"/>
  <c r="M130" i="3"/>
  <c r="I130" i="3"/>
  <c r="K130" i="3" s="1"/>
  <c r="E130" i="3"/>
  <c r="M129" i="3"/>
  <c r="I129" i="3"/>
  <c r="K129" i="3" s="1"/>
  <c r="E129" i="3"/>
  <c r="M128" i="3"/>
  <c r="I128" i="3"/>
  <c r="K128" i="3" s="1"/>
  <c r="E128" i="3"/>
  <c r="M127" i="3"/>
  <c r="I127" i="3"/>
  <c r="K127" i="3" s="1"/>
  <c r="E127" i="3"/>
  <c r="G127" i="3" s="1"/>
  <c r="M126" i="3"/>
  <c r="I126" i="3"/>
  <c r="K126" i="3" s="1"/>
  <c r="E126" i="3"/>
  <c r="G126" i="3" s="1"/>
  <c r="M125" i="3"/>
  <c r="I125" i="3"/>
  <c r="K125" i="3" s="1"/>
  <c r="E125" i="3"/>
  <c r="G125" i="3" s="1"/>
  <c r="M124" i="3"/>
  <c r="I124" i="3"/>
  <c r="E124" i="3"/>
  <c r="G124" i="3" s="1"/>
  <c r="M123" i="3"/>
  <c r="I123" i="3"/>
  <c r="K123" i="3" s="1"/>
  <c r="E123" i="3"/>
  <c r="L123" i="3" s="1"/>
  <c r="N123" i="3" s="1"/>
  <c r="M122" i="3"/>
  <c r="I122" i="3"/>
  <c r="K122" i="3" s="1"/>
  <c r="E122" i="3"/>
  <c r="M121" i="3"/>
  <c r="I121" i="3"/>
  <c r="K121" i="3" s="1"/>
  <c r="E121" i="3"/>
  <c r="G121" i="3" s="1"/>
  <c r="M120" i="3"/>
  <c r="I120" i="3"/>
  <c r="K120" i="3" s="1"/>
  <c r="E120" i="3"/>
  <c r="L120" i="3" s="1"/>
  <c r="N120" i="3" s="1"/>
  <c r="M119" i="3"/>
  <c r="I119" i="3"/>
  <c r="K119" i="3" s="1"/>
  <c r="E119" i="3"/>
  <c r="M118" i="3"/>
  <c r="I118" i="3"/>
  <c r="K118" i="3" s="1"/>
  <c r="E118" i="3"/>
  <c r="G118" i="3" s="1"/>
  <c r="M117" i="3"/>
  <c r="I117" i="3"/>
  <c r="E117" i="3"/>
  <c r="G117" i="3" s="1"/>
  <c r="M116" i="3"/>
  <c r="I116" i="3"/>
  <c r="E116" i="3"/>
  <c r="G116" i="3" s="1"/>
  <c r="M115" i="3"/>
  <c r="I115" i="3"/>
  <c r="E115" i="3"/>
  <c r="G115" i="3" s="1"/>
  <c r="M114" i="3"/>
  <c r="I114" i="3"/>
  <c r="K114" i="3" s="1"/>
  <c r="E114" i="3"/>
  <c r="M113" i="3"/>
  <c r="I113" i="3"/>
  <c r="K113" i="3" s="1"/>
  <c r="E113" i="3"/>
  <c r="M112" i="3"/>
  <c r="I112" i="3"/>
  <c r="K112" i="3" s="1"/>
  <c r="E112" i="3"/>
  <c r="M111" i="3"/>
  <c r="I111" i="3"/>
  <c r="K111" i="3" s="1"/>
  <c r="E111" i="3"/>
  <c r="G111" i="3" s="1"/>
  <c r="M110" i="3"/>
  <c r="I110" i="3"/>
  <c r="K110" i="3" s="1"/>
  <c r="E110" i="3"/>
  <c r="G110" i="3" s="1"/>
  <c r="M109" i="3"/>
  <c r="I109" i="3"/>
  <c r="E109" i="3"/>
  <c r="G109" i="3" s="1"/>
  <c r="M105" i="3"/>
  <c r="G105" i="3"/>
  <c r="P104" i="3"/>
  <c r="L104" i="3"/>
  <c r="J104" i="3"/>
  <c r="N104" i="3" s="1"/>
  <c r="E104" i="3"/>
  <c r="H104" i="3" s="1"/>
  <c r="P103" i="3"/>
  <c r="L103" i="3"/>
  <c r="J103" i="3"/>
  <c r="E103" i="3"/>
  <c r="H103" i="3" s="1"/>
  <c r="P102" i="3"/>
  <c r="L102" i="3"/>
  <c r="J102" i="3"/>
  <c r="N102" i="3" s="1"/>
  <c r="E102" i="3"/>
  <c r="H102" i="3" s="1"/>
  <c r="P101" i="3"/>
  <c r="L101" i="3"/>
  <c r="J101" i="3"/>
  <c r="E101" i="3"/>
  <c r="H101" i="3" s="1"/>
  <c r="P100" i="3"/>
  <c r="L100" i="3"/>
  <c r="J100" i="3"/>
  <c r="N100" i="3" s="1"/>
  <c r="E100" i="3"/>
  <c r="P99" i="3"/>
  <c r="L99" i="3"/>
  <c r="J99" i="3"/>
  <c r="N99" i="3" s="1"/>
  <c r="E99" i="3"/>
  <c r="P98" i="3"/>
  <c r="L98" i="3"/>
  <c r="J98" i="3"/>
  <c r="N98" i="3" s="1"/>
  <c r="E98" i="3"/>
  <c r="P97" i="3"/>
  <c r="L97" i="3"/>
  <c r="J97" i="3"/>
  <c r="N97" i="3" s="1"/>
  <c r="E97" i="3"/>
  <c r="P96" i="3"/>
  <c r="L96" i="3"/>
  <c r="J96" i="3"/>
  <c r="N96" i="3" s="1"/>
  <c r="E96" i="3"/>
  <c r="O96" i="3" s="1"/>
  <c r="P95" i="3"/>
  <c r="L95" i="3"/>
  <c r="J95" i="3"/>
  <c r="N95" i="3" s="1"/>
  <c r="E95" i="3"/>
  <c r="P94" i="3"/>
  <c r="L94" i="3"/>
  <c r="J94" i="3"/>
  <c r="N94" i="3" s="1"/>
  <c r="E94" i="3"/>
  <c r="O94" i="3" s="1"/>
  <c r="P93" i="3"/>
  <c r="L93" i="3"/>
  <c r="J93" i="3"/>
  <c r="N93" i="3" s="1"/>
  <c r="E93" i="3"/>
  <c r="P92" i="3"/>
  <c r="L92" i="3"/>
  <c r="J92" i="3"/>
  <c r="N92" i="3" s="1"/>
  <c r="E92" i="3"/>
  <c r="O92" i="3" s="1"/>
  <c r="P91" i="3"/>
  <c r="L91" i="3"/>
  <c r="J91" i="3"/>
  <c r="N91" i="3" s="1"/>
  <c r="E91" i="3"/>
  <c r="P90" i="3"/>
  <c r="L90" i="3"/>
  <c r="J90" i="3"/>
  <c r="N90" i="3" s="1"/>
  <c r="E90" i="3"/>
  <c r="O90" i="3" s="1"/>
  <c r="P89" i="3"/>
  <c r="L89" i="3"/>
  <c r="J89" i="3"/>
  <c r="N89" i="3" s="1"/>
  <c r="E89" i="3"/>
  <c r="P88" i="3"/>
  <c r="L88" i="3"/>
  <c r="J88" i="3"/>
  <c r="N88" i="3" s="1"/>
  <c r="E88" i="3"/>
  <c r="O88" i="3" s="1"/>
  <c r="P87" i="3"/>
  <c r="L87" i="3"/>
  <c r="J87" i="3"/>
  <c r="N87" i="3" s="1"/>
  <c r="E87" i="3"/>
  <c r="P86" i="3"/>
  <c r="L86" i="3"/>
  <c r="J86" i="3"/>
  <c r="N86" i="3" s="1"/>
  <c r="E86" i="3"/>
  <c r="O86" i="3" s="1"/>
  <c r="P85" i="3"/>
  <c r="L85" i="3"/>
  <c r="J85" i="3"/>
  <c r="N85" i="3" s="1"/>
  <c r="E85" i="3"/>
  <c r="P84" i="3"/>
  <c r="L84" i="3"/>
  <c r="J84" i="3"/>
  <c r="N84" i="3" s="1"/>
  <c r="E84" i="3"/>
  <c r="O84" i="3" s="1"/>
  <c r="P83" i="3"/>
  <c r="L83" i="3"/>
  <c r="J83" i="3"/>
  <c r="N83" i="3" s="1"/>
  <c r="E83" i="3"/>
  <c r="P82" i="3"/>
  <c r="L82" i="3"/>
  <c r="J82" i="3"/>
  <c r="N82" i="3" s="1"/>
  <c r="E82" i="3"/>
  <c r="O82" i="3" s="1"/>
  <c r="P81" i="3"/>
  <c r="L81" i="3"/>
  <c r="J81" i="3"/>
  <c r="N81" i="3" s="1"/>
  <c r="E81" i="3"/>
  <c r="P80" i="3"/>
  <c r="L80" i="3"/>
  <c r="J80" i="3"/>
  <c r="N80" i="3" s="1"/>
  <c r="E80" i="3"/>
  <c r="P79" i="3"/>
  <c r="L79" i="3"/>
  <c r="J79" i="3"/>
  <c r="N79" i="3" s="1"/>
  <c r="E79" i="3"/>
  <c r="P78" i="3"/>
  <c r="L78" i="3"/>
  <c r="J78" i="3"/>
  <c r="N78" i="3" s="1"/>
  <c r="E78" i="3"/>
  <c r="O78" i="3" s="1"/>
  <c r="P77" i="3"/>
  <c r="L77" i="3"/>
  <c r="J77" i="3"/>
  <c r="N77" i="3" s="1"/>
  <c r="E77" i="3"/>
  <c r="P76" i="3"/>
  <c r="L76" i="3"/>
  <c r="J76" i="3"/>
  <c r="N76" i="3" s="1"/>
  <c r="E76" i="3"/>
  <c r="O76" i="3" s="1"/>
  <c r="P75" i="3"/>
  <c r="L75" i="3"/>
  <c r="J75" i="3"/>
  <c r="N75" i="3" s="1"/>
  <c r="E75" i="3"/>
  <c r="P74" i="3"/>
  <c r="L74" i="3"/>
  <c r="J74" i="3"/>
  <c r="N74" i="3" s="1"/>
  <c r="E74" i="3"/>
  <c r="O74" i="3" s="1"/>
  <c r="P73" i="3"/>
  <c r="L73" i="3"/>
  <c r="J73" i="3"/>
  <c r="N73" i="3" s="1"/>
  <c r="E73" i="3"/>
  <c r="P72" i="3"/>
  <c r="L72" i="3"/>
  <c r="J72" i="3"/>
  <c r="N72" i="3" s="1"/>
  <c r="E72" i="3"/>
  <c r="P71" i="3"/>
  <c r="L71" i="3"/>
  <c r="J71" i="3"/>
  <c r="N71" i="3" s="1"/>
  <c r="E71" i="3"/>
  <c r="P70" i="3"/>
  <c r="L70" i="3"/>
  <c r="J70" i="3"/>
  <c r="N70" i="3" s="1"/>
  <c r="E70" i="3"/>
  <c r="O70" i="3" s="1"/>
  <c r="P69" i="3"/>
  <c r="L69" i="3"/>
  <c r="J69" i="3"/>
  <c r="N69" i="3" s="1"/>
  <c r="E69" i="3"/>
  <c r="P68" i="3"/>
  <c r="L68" i="3"/>
  <c r="J68" i="3"/>
  <c r="N68" i="3" s="1"/>
  <c r="E68" i="3"/>
  <c r="O68" i="3" s="1"/>
  <c r="P67" i="3"/>
  <c r="L67" i="3"/>
  <c r="J67" i="3"/>
  <c r="N67" i="3" s="1"/>
  <c r="E67" i="3"/>
  <c r="P66" i="3"/>
  <c r="L66" i="3"/>
  <c r="J66" i="3"/>
  <c r="N66" i="3" s="1"/>
  <c r="E66" i="3"/>
  <c r="O66" i="3" s="1"/>
  <c r="P65" i="3"/>
  <c r="L65" i="3"/>
  <c r="J65" i="3"/>
  <c r="N65" i="3" s="1"/>
  <c r="E65" i="3"/>
  <c r="P64" i="3"/>
  <c r="L64" i="3"/>
  <c r="J64" i="3"/>
  <c r="N64" i="3" s="1"/>
  <c r="E64" i="3"/>
  <c r="O64" i="3" s="1"/>
  <c r="P63" i="3"/>
  <c r="L63" i="3"/>
  <c r="J63" i="3"/>
  <c r="N63" i="3" s="1"/>
  <c r="E63" i="3"/>
  <c r="P62" i="3"/>
  <c r="L62" i="3"/>
  <c r="J62" i="3"/>
  <c r="N62" i="3" s="1"/>
  <c r="E62" i="3"/>
  <c r="O62" i="3" s="1"/>
  <c r="P61" i="3"/>
  <c r="L61" i="3"/>
  <c r="J61" i="3"/>
  <c r="N61" i="3" s="1"/>
  <c r="E61" i="3"/>
  <c r="P60" i="3"/>
  <c r="L60" i="3"/>
  <c r="J60" i="3"/>
  <c r="N60" i="3" s="1"/>
  <c r="E60" i="3"/>
  <c r="O60" i="3" s="1"/>
  <c r="P59" i="3"/>
  <c r="L59" i="3"/>
  <c r="J59" i="3"/>
  <c r="N59" i="3" s="1"/>
  <c r="E59" i="3"/>
  <c r="P58" i="3"/>
  <c r="L58" i="3"/>
  <c r="J58" i="3"/>
  <c r="N58" i="3" s="1"/>
  <c r="E58" i="3"/>
  <c r="O58" i="3" s="1"/>
  <c r="P57" i="3"/>
  <c r="L57" i="3"/>
  <c r="J57" i="3"/>
  <c r="N57" i="3" s="1"/>
  <c r="E57" i="3"/>
  <c r="P56" i="3"/>
  <c r="L56" i="3"/>
  <c r="J56" i="3"/>
  <c r="N56" i="3" s="1"/>
  <c r="E56" i="3"/>
  <c r="O56" i="3" s="1"/>
  <c r="P55" i="3"/>
  <c r="L55" i="3"/>
  <c r="J55" i="3"/>
  <c r="N55" i="3" s="1"/>
  <c r="E55" i="3"/>
  <c r="P54" i="3"/>
  <c r="L54" i="3"/>
  <c r="J54" i="3"/>
  <c r="N54" i="3" s="1"/>
  <c r="E54" i="3"/>
  <c r="P53" i="3"/>
  <c r="L53" i="3"/>
  <c r="J53" i="3"/>
  <c r="N53" i="3" s="1"/>
  <c r="E53" i="3"/>
  <c r="P52" i="3"/>
  <c r="L52" i="3"/>
  <c r="J52" i="3"/>
  <c r="N52" i="3" s="1"/>
  <c r="E52" i="3"/>
  <c r="O52" i="3" s="1"/>
  <c r="P51" i="3"/>
  <c r="L51" i="3"/>
  <c r="J51" i="3"/>
  <c r="N51" i="3" s="1"/>
  <c r="E51" i="3"/>
  <c r="P50" i="3"/>
  <c r="L50" i="3"/>
  <c r="J50" i="3"/>
  <c r="N50" i="3" s="1"/>
  <c r="E50" i="3"/>
  <c r="O50" i="3" s="1"/>
  <c r="P49" i="3"/>
  <c r="L49" i="3"/>
  <c r="J49" i="3"/>
  <c r="N49" i="3" s="1"/>
  <c r="E49" i="3"/>
  <c r="P48" i="3"/>
  <c r="L48" i="3"/>
  <c r="J48" i="3"/>
  <c r="E48" i="3"/>
  <c r="O48" i="3" s="1"/>
  <c r="J44" i="3"/>
  <c r="F44" i="3"/>
  <c r="M43" i="3"/>
  <c r="I43" i="3"/>
  <c r="K43" i="3" s="1"/>
  <c r="G43" i="3"/>
  <c r="M42" i="3"/>
  <c r="I42" i="3"/>
  <c r="G42" i="3"/>
  <c r="J38" i="3"/>
  <c r="F38" i="3"/>
  <c r="M37" i="3"/>
  <c r="I37" i="3"/>
  <c r="E37" i="3"/>
  <c r="G37" i="3" s="1"/>
  <c r="M36" i="3"/>
  <c r="I36" i="3"/>
  <c r="E36" i="3"/>
  <c r="J32" i="3"/>
  <c r="F32" i="3"/>
  <c r="M31" i="3"/>
  <c r="I31" i="3"/>
  <c r="E31" i="3"/>
  <c r="G31" i="3" s="1"/>
  <c r="M30" i="3"/>
  <c r="I30" i="3"/>
  <c r="K30" i="3" s="1"/>
  <c r="E30" i="3"/>
  <c r="M29" i="3"/>
  <c r="I29" i="3"/>
  <c r="E29" i="3"/>
  <c r="M28" i="3"/>
  <c r="I28" i="3"/>
  <c r="K28" i="3" s="1"/>
  <c r="E28" i="3"/>
  <c r="G28" i="3" s="1"/>
  <c r="M27" i="3"/>
  <c r="I27" i="3"/>
  <c r="K27" i="3" s="1"/>
  <c r="E27" i="3"/>
  <c r="J23" i="3"/>
  <c r="F23" i="3"/>
  <c r="M22" i="3"/>
  <c r="I22" i="3"/>
  <c r="K22" i="3" s="1"/>
  <c r="E22" i="3"/>
  <c r="G22" i="3" s="1"/>
  <c r="M21" i="3"/>
  <c r="I21" i="3"/>
  <c r="K21" i="3" s="1"/>
  <c r="E21" i="3"/>
  <c r="G21" i="3" s="1"/>
  <c r="J17" i="3"/>
  <c r="F17" i="3"/>
  <c r="M16" i="3"/>
  <c r="I16" i="3"/>
  <c r="E16" i="3"/>
  <c r="G16" i="3" s="1"/>
  <c r="M14" i="3"/>
  <c r="I14" i="3"/>
  <c r="K14" i="3" s="1"/>
  <c r="E14" i="3"/>
  <c r="M13" i="3"/>
  <c r="I13" i="3"/>
  <c r="K13" i="3" s="1"/>
  <c r="E13" i="3"/>
  <c r="G13" i="3" s="1"/>
  <c r="M12" i="3"/>
  <c r="I12" i="3"/>
  <c r="K12" i="3" s="1"/>
  <c r="E12" i="3"/>
  <c r="G12" i="3" s="1"/>
  <c r="M11" i="3"/>
  <c r="I11" i="3"/>
  <c r="K11" i="3" s="1"/>
  <c r="E11" i="3"/>
  <c r="M10" i="3"/>
  <c r="I10" i="3"/>
  <c r="K10" i="3" s="1"/>
  <c r="E10" i="3"/>
  <c r="G10" i="3" s="1"/>
  <c r="M9" i="3"/>
  <c r="I9" i="3"/>
  <c r="E9" i="3"/>
  <c r="G9" i="3" s="1"/>
  <c r="M8" i="3"/>
  <c r="I8" i="3"/>
  <c r="E8" i="3"/>
  <c r="G8" i="3" s="1"/>
  <c r="M7" i="3"/>
  <c r="I7" i="3"/>
  <c r="K7" i="3" s="1"/>
  <c r="E7" i="3"/>
  <c r="L7" i="3" s="1"/>
  <c r="M6" i="3"/>
  <c r="I6" i="3"/>
  <c r="E6" i="3"/>
  <c r="M5" i="3"/>
  <c r="I5" i="3"/>
  <c r="K5" i="3" s="1"/>
  <c r="E5" i="3"/>
  <c r="G5" i="3" s="1"/>
  <c r="M45" i="6" l="1"/>
  <c r="N138" i="6" s="1"/>
  <c r="N15" i="6"/>
  <c r="N122" i="6"/>
  <c r="N130" i="6"/>
  <c r="O105" i="6"/>
  <c r="O108" i="6"/>
  <c r="E24" i="6"/>
  <c r="L30" i="6"/>
  <c r="N30" i="6" s="1"/>
  <c r="L16" i="6"/>
  <c r="N16" i="6" s="1"/>
  <c r="N121" i="6"/>
  <c r="N129" i="6"/>
  <c r="O82" i="6"/>
  <c r="Q82" i="6" s="1"/>
  <c r="O94" i="6"/>
  <c r="Q94" i="6" s="1"/>
  <c r="I33" i="6"/>
  <c r="Q56" i="6"/>
  <c r="Q59" i="6"/>
  <c r="Q68" i="6"/>
  <c r="Q71" i="6"/>
  <c r="Q80" i="6"/>
  <c r="Q83" i="6"/>
  <c r="Q92" i="6"/>
  <c r="Q95" i="6"/>
  <c r="Q105" i="6"/>
  <c r="L5" i="6"/>
  <c r="N5" i="6" s="1"/>
  <c r="L117" i="6"/>
  <c r="N117" i="6" s="1"/>
  <c r="M131" i="6"/>
  <c r="N139" i="6"/>
  <c r="N94" i="6"/>
  <c r="N12" i="6"/>
  <c r="N115" i="6"/>
  <c r="N119" i="6"/>
  <c r="L23" i="6"/>
  <c r="N23" i="6" s="1"/>
  <c r="I39" i="6"/>
  <c r="L123" i="6"/>
  <c r="N123" i="6" s="1"/>
  <c r="G121" i="6"/>
  <c r="L13" i="6"/>
  <c r="N13" i="6" s="1"/>
  <c r="L120" i="6"/>
  <c r="N120" i="6" s="1"/>
  <c r="L128" i="6"/>
  <c r="N128" i="6" s="1"/>
  <c r="O58" i="6"/>
  <c r="Q58" i="6" s="1"/>
  <c r="O70" i="6"/>
  <c r="Q70" i="6" s="1"/>
  <c r="N58" i="6"/>
  <c r="L8" i="6"/>
  <c r="N8" i="6" s="1"/>
  <c r="K22" i="6"/>
  <c r="K24" i="6" s="1"/>
  <c r="I24" i="6"/>
  <c r="G115" i="6"/>
  <c r="N70" i="6"/>
  <c r="K16" i="6"/>
  <c r="H68" i="6"/>
  <c r="O99" i="6"/>
  <c r="Q99" i="6" s="1"/>
  <c r="K5" i="6"/>
  <c r="N82" i="6"/>
  <c r="L14" i="6"/>
  <c r="N14" i="6" s="1"/>
  <c r="L31" i="6"/>
  <c r="N31" i="6" s="1"/>
  <c r="L38" i="6"/>
  <c r="N38" i="6" s="1"/>
  <c r="G38" i="6"/>
  <c r="O63" i="6"/>
  <c r="Q63" i="6" s="1"/>
  <c r="H80" i="6"/>
  <c r="O75" i="6"/>
  <c r="Q75" i="6" s="1"/>
  <c r="H92" i="6"/>
  <c r="K28" i="6"/>
  <c r="K33" i="6" s="1"/>
  <c r="H56" i="6"/>
  <c r="O87" i="6"/>
  <c r="Q87" i="6" s="1"/>
  <c r="L22" i="6"/>
  <c r="N22" i="6" s="1"/>
  <c r="L44" i="6"/>
  <c r="E45" i="6"/>
  <c r="O104" i="6"/>
  <c r="Q104" i="6" s="1"/>
  <c r="N104" i="6"/>
  <c r="O109" i="6"/>
  <c r="Q109" i="6" s="1"/>
  <c r="L11" i="6"/>
  <c r="N11" i="6" s="1"/>
  <c r="O61" i="6"/>
  <c r="Q61" i="6" s="1"/>
  <c r="O85" i="6"/>
  <c r="Q85" i="6" s="1"/>
  <c r="O97" i="6"/>
  <c r="Q97" i="6" s="1"/>
  <c r="O107" i="6"/>
  <c r="Q107" i="6" s="1"/>
  <c r="L126" i="6"/>
  <c r="N126" i="6" s="1"/>
  <c r="E18" i="6"/>
  <c r="N44" i="6"/>
  <c r="N29" i="6"/>
  <c r="O90" i="6"/>
  <c r="Q90" i="6" s="1"/>
  <c r="H95" i="6"/>
  <c r="N97" i="6"/>
  <c r="O102" i="6"/>
  <c r="Q102" i="6" s="1"/>
  <c r="H105" i="6"/>
  <c r="N107" i="6"/>
  <c r="O64" i="6"/>
  <c r="Q64" i="6" s="1"/>
  <c r="L124" i="6"/>
  <c r="N124" i="6" s="1"/>
  <c r="L9" i="6"/>
  <c r="N9" i="6" s="1"/>
  <c r="L17" i="6"/>
  <c r="N17" i="6" s="1"/>
  <c r="G30" i="6"/>
  <c r="Q62" i="6"/>
  <c r="Q74" i="6"/>
  <c r="Q108" i="6"/>
  <c r="L7" i="6"/>
  <c r="O57" i="6"/>
  <c r="Q57" i="6" s="1"/>
  <c r="H62" i="6"/>
  <c r="H74" i="6"/>
  <c r="O93" i="6"/>
  <c r="Q93" i="6" s="1"/>
  <c r="H98" i="6"/>
  <c r="O103" i="6"/>
  <c r="Q103" i="6" s="1"/>
  <c r="E131" i="6"/>
  <c r="F132" i="6"/>
  <c r="C134" i="6" s="1"/>
  <c r="O91" i="6"/>
  <c r="Q91" i="6" s="1"/>
  <c r="G114" i="6"/>
  <c r="L127" i="6"/>
  <c r="N127" i="6" s="1"/>
  <c r="G10" i="6"/>
  <c r="J132" i="6"/>
  <c r="C135" i="6" s="1"/>
  <c r="L110" i="6"/>
  <c r="O65" i="6"/>
  <c r="Q65" i="6" s="1"/>
  <c r="O77" i="6"/>
  <c r="Q77" i="6" s="1"/>
  <c r="O89" i="6"/>
  <c r="Q89" i="6" s="1"/>
  <c r="O101" i="6"/>
  <c r="Q101" i="6" s="1"/>
  <c r="L114" i="6"/>
  <c r="G123" i="6"/>
  <c r="O73" i="6"/>
  <c r="Q73" i="6" s="1"/>
  <c r="L118" i="6"/>
  <c r="N118" i="6" s="1"/>
  <c r="G129" i="6"/>
  <c r="G23" i="6"/>
  <c r="G32" i="6"/>
  <c r="H59" i="6"/>
  <c r="N61" i="6"/>
  <c r="O66" i="6"/>
  <c r="Q66" i="6" s="1"/>
  <c r="H71" i="6"/>
  <c r="N73" i="6"/>
  <c r="O78" i="6"/>
  <c r="Q78" i="6" s="1"/>
  <c r="H83" i="6"/>
  <c r="N85" i="6"/>
  <c r="O76" i="6"/>
  <c r="Q76" i="6" s="1"/>
  <c r="O88" i="6"/>
  <c r="Q88" i="6" s="1"/>
  <c r="O100" i="6"/>
  <c r="Q100" i="6" s="1"/>
  <c r="M39" i="6"/>
  <c r="N137" i="6" s="1"/>
  <c r="Q86" i="6"/>
  <c r="Q98" i="6"/>
  <c r="N64" i="6"/>
  <c r="O69" i="6"/>
  <c r="Q69" i="6" s="1"/>
  <c r="N76" i="6"/>
  <c r="O81" i="6"/>
  <c r="Q81" i="6" s="1"/>
  <c r="H86" i="6"/>
  <c r="N100" i="6"/>
  <c r="H108" i="6"/>
  <c r="L116" i="6"/>
  <c r="N116" i="6" s="1"/>
  <c r="N125" i="6"/>
  <c r="J110" i="6"/>
  <c r="N110" i="6" s="1"/>
  <c r="O67" i="6"/>
  <c r="Q67" i="6" s="1"/>
  <c r="O79" i="6"/>
  <c r="Q79" i="6" s="1"/>
  <c r="G125" i="6"/>
  <c r="L28" i="6"/>
  <c r="N28" i="6" s="1"/>
  <c r="L37" i="6"/>
  <c r="N37" i="6" s="1"/>
  <c r="I45" i="6"/>
  <c r="N49" i="6"/>
  <c r="O60" i="6"/>
  <c r="Q60" i="6" s="1"/>
  <c r="H65" i="6"/>
  <c r="N67" i="6"/>
  <c r="O72" i="6"/>
  <c r="Q72" i="6" s="1"/>
  <c r="H77" i="6"/>
  <c r="N79" i="6"/>
  <c r="O84" i="6"/>
  <c r="Q84" i="6" s="1"/>
  <c r="H89" i="6"/>
  <c r="N91" i="6"/>
  <c r="O96" i="6"/>
  <c r="Q96" i="6" s="1"/>
  <c r="H101" i="6"/>
  <c r="O106" i="6"/>
  <c r="Q106" i="6" s="1"/>
  <c r="N32" i="6"/>
  <c r="N10" i="6"/>
  <c r="K11" i="6"/>
  <c r="G13" i="6"/>
  <c r="I18" i="6"/>
  <c r="K18" i="6" s="1"/>
  <c r="G29" i="6"/>
  <c r="G37" i="6"/>
  <c r="K43" i="6"/>
  <c r="K45" i="6" s="1"/>
  <c r="O49" i="6"/>
  <c r="K118" i="6"/>
  <c r="G120" i="6"/>
  <c r="L43" i="6"/>
  <c r="G15" i="6"/>
  <c r="G31" i="6"/>
  <c r="K37" i="6"/>
  <c r="K39" i="6" s="1"/>
  <c r="G122" i="6"/>
  <c r="E39" i="6"/>
  <c r="M24" i="6"/>
  <c r="N141" i="6" s="1"/>
  <c r="E33" i="6"/>
  <c r="N57" i="6"/>
  <c r="N60" i="6"/>
  <c r="N63" i="6"/>
  <c r="N66" i="6"/>
  <c r="N69" i="6"/>
  <c r="N72" i="6"/>
  <c r="N75" i="6"/>
  <c r="N78" i="6"/>
  <c r="N81" i="6"/>
  <c r="N84" i="6"/>
  <c r="N87" i="6"/>
  <c r="N90" i="6"/>
  <c r="N93" i="6"/>
  <c r="N96" i="6"/>
  <c r="N99" i="6"/>
  <c r="N102" i="6"/>
  <c r="N103" i="6"/>
  <c r="N106" i="6"/>
  <c r="N109" i="6"/>
  <c r="M18" i="6"/>
  <c r="I131" i="6"/>
  <c r="G12" i="6"/>
  <c r="G28" i="6"/>
  <c r="G44" i="6"/>
  <c r="K117" i="6"/>
  <c r="G119" i="6"/>
  <c r="G130" i="6"/>
  <c r="E110" i="6"/>
  <c r="K7" i="6"/>
  <c r="G9" i="6"/>
  <c r="G22" i="6"/>
  <c r="K114" i="6"/>
  <c r="K126" i="6"/>
  <c r="M33" i="6"/>
  <c r="G127" i="5"/>
  <c r="L127" i="5"/>
  <c r="N127" i="5" s="1"/>
  <c r="K109" i="5"/>
  <c r="I136" i="5"/>
  <c r="L135" i="5"/>
  <c r="N135" i="5" s="1"/>
  <c r="G135" i="5"/>
  <c r="G134" i="5"/>
  <c r="L134" i="5"/>
  <c r="N134" i="5" s="1"/>
  <c r="L133" i="5"/>
  <c r="N133" i="5" s="1"/>
  <c r="G133" i="5"/>
  <c r="G132" i="5"/>
  <c r="L132" i="5"/>
  <c r="N132" i="5" s="1"/>
  <c r="L131" i="5"/>
  <c r="N131" i="5" s="1"/>
  <c r="G131" i="5"/>
  <c r="L130" i="5"/>
  <c r="N130" i="5" s="1"/>
  <c r="G130" i="5"/>
  <c r="G129" i="5"/>
  <c r="L129" i="5"/>
  <c r="N129" i="5" s="1"/>
  <c r="L128" i="5"/>
  <c r="N128" i="5" s="1"/>
  <c r="G128" i="5"/>
  <c r="L126" i="5"/>
  <c r="N126" i="5" s="1"/>
  <c r="G126" i="5"/>
  <c r="L125" i="5"/>
  <c r="N125" i="5" s="1"/>
  <c r="G125" i="5"/>
  <c r="L124" i="5"/>
  <c r="N124" i="5" s="1"/>
  <c r="G124" i="5"/>
  <c r="G123" i="5"/>
  <c r="L123" i="5"/>
  <c r="N123" i="5" s="1"/>
  <c r="L122" i="5"/>
  <c r="N122" i="5" s="1"/>
  <c r="G122" i="5"/>
  <c r="G121" i="5"/>
  <c r="L121" i="5"/>
  <c r="N121" i="5" s="1"/>
  <c r="L120" i="5"/>
  <c r="N120" i="5" s="1"/>
  <c r="G120" i="5"/>
  <c r="L119" i="5"/>
  <c r="N119" i="5" s="1"/>
  <c r="G119" i="5"/>
  <c r="L118" i="5"/>
  <c r="N118" i="5" s="1"/>
  <c r="G118" i="5"/>
  <c r="G117" i="5"/>
  <c r="L117" i="5"/>
  <c r="N117" i="5" s="1"/>
  <c r="L116" i="5"/>
  <c r="N116" i="5" s="1"/>
  <c r="G116" i="5"/>
  <c r="L115" i="5"/>
  <c r="N115" i="5" s="1"/>
  <c r="G115" i="5"/>
  <c r="G114" i="5"/>
  <c r="L114" i="5"/>
  <c r="N114" i="5" s="1"/>
  <c r="L113" i="5"/>
  <c r="N113" i="5" s="1"/>
  <c r="G113" i="5"/>
  <c r="L112" i="5"/>
  <c r="N112" i="5" s="1"/>
  <c r="G112" i="5"/>
  <c r="L111" i="5"/>
  <c r="N111" i="5" s="1"/>
  <c r="G111" i="5"/>
  <c r="L110" i="5"/>
  <c r="N110" i="5" s="1"/>
  <c r="G110" i="5"/>
  <c r="L109" i="5"/>
  <c r="G109" i="5"/>
  <c r="J105" i="5"/>
  <c r="N105" i="5" s="1"/>
  <c r="N104" i="5"/>
  <c r="O104" i="5"/>
  <c r="Q104" i="5" s="1"/>
  <c r="N103" i="5"/>
  <c r="O103" i="5"/>
  <c r="Q103" i="5" s="1"/>
  <c r="N102" i="5"/>
  <c r="O102" i="5"/>
  <c r="Q102" i="5" s="1"/>
  <c r="N101" i="5"/>
  <c r="O101" i="5"/>
  <c r="Q101" i="5" s="1"/>
  <c r="N100" i="5"/>
  <c r="O100" i="5"/>
  <c r="Q100" i="5" s="1"/>
  <c r="N99" i="5"/>
  <c r="O99" i="5"/>
  <c r="Q99" i="5" s="1"/>
  <c r="N98" i="5"/>
  <c r="O98" i="5"/>
  <c r="Q98" i="5" s="1"/>
  <c r="N97" i="5"/>
  <c r="O97" i="5"/>
  <c r="Q97" i="5" s="1"/>
  <c r="N96" i="5"/>
  <c r="O96" i="5"/>
  <c r="Q96" i="5" s="1"/>
  <c r="N95" i="5"/>
  <c r="O95" i="5"/>
  <c r="Q95" i="5" s="1"/>
  <c r="O94" i="5"/>
  <c r="Q94" i="5" s="1"/>
  <c r="N94" i="5"/>
  <c r="N93" i="5"/>
  <c r="O93" i="5"/>
  <c r="Q93" i="5" s="1"/>
  <c r="O92" i="5"/>
  <c r="Q92" i="5" s="1"/>
  <c r="N92" i="5"/>
  <c r="N91" i="5"/>
  <c r="O91" i="5"/>
  <c r="Q91" i="5" s="1"/>
  <c r="O90" i="5"/>
  <c r="Q90" i="5" s="1"/>
  <c r="N90" i="5"/>
  <c r="O89" i="5"/>
  <c r="Q89" i="5" s="1"/>
  <c r="N89" i="5"/>
  <c r="O88" i="5"/>
  <c r="Q88" i="5" s="1"/>
  <c r="N88" i="5"/>
  <c r="O87" i="5"/>
  <c r="Q87" i="5" s="1"/>
  <c r="N87" i="5"/>
  <c r="O86" i="5"/>
  <c r="Q86" i="5" s="1"/>
  <c r="N86" i="5"/>
  <c r="O85" i="5"/>
  <c r="Q85" i="5" s="1"/>
  <c r="N85" i="5"/>
  <c r="O84" i="5"/>
  <c r="Q84" i="5" s="1"/>
  <c r="N84" i="5"/>
  <c r="O83" i="5"/>
  <c r="Q83" i="5" s="1"/>
  <c r="N83" i="5"/>
  <c r="O82" i="5"/>
  <c r="Q82" i="5" s="1"/>
  <c r="N82" i="5"/>
  <c r="O81" i="5"/>
  <c r="Q81" i="5" s="1"/>
  <c r="N81" i="5"/>
  <c r="O80" i="5"/>
  <c r="Q80" i="5" s="1"/>
  <c r="N80" i="5"/>
  <c r="O79" i="5"/>
  <c r="Q79" i="5" s="1"/>
  <c r="N79" i="5"/>
  <c r="O78" i="5"/>
  <c r="Q78" i="5" s="1"/>
  <c r="N78" i="5"/>
  <c r="N77" i="5"/>
  <c r="O77" i="5"/>
  <c r="Q77" i="5" s="1"/>
  <c r="N76" i="5"/>
  <c r="O76" i="5"/>
  <c r="Q76" i="5" s="1"/>
  <c r="O75" i="5"/>
  <c r="Q75" i="5" s="1"/>
  <c r="N75" i="5"/>
  <c r="O74" i="5"/>
  <c r="Q74" i="5" s="1"/>
  <c r="N74" i="5"/>
  <c r="O73" i="5"/>
  <c r="Q73" i="5" s="1"/>
  <c r="N73" i="5"/>
  <c r="O72" i="5"/>
  <c r="Q72" i="5" s="1"/>
  <c r="N72" i="5"/>
  <c r="N71" i="5"/>
  <c r="O71" i="5"/>
  <c r="Q71" i="5" s="1"/>
  <c r="O70" i="5"/>
  <c r="Q70" i="5" s="1"/>
  <c r="N70" i="5"/>
  <c r="O69" i="5"/>
  <c r="Q69" i="5" s="1"/>
  <c r="N69" i="5"/>
  <c r="O68" i="5"/>
  <c r="Q68" i="5" s="1"/>
  <c r="N68" i="5"/>
  <c r="O67" i="5"/>
  <c r="Q67" i="5" s="1"/>
  <c r="N67" i="5"/>
  <c r="O66" i="5"/>
  <c r="Q66" i="5" s="1"/>
  <c r="N66" i="5"/>
  <c r="O65" i="5"/>
  <c r="Q65" i="5" s="1"/>
  <c r="N65" i="5"/>
  <c r="O64" i="5"/>
  <c r="Q64" i="5" s="1"/>
  <c r="N64" i="5"/>
  <c r="O63" i="5"/>
  <c r="Q63" i="5" s="1"/>
  <c r="N63" i="5"/>
  <c r="O62" i="5"/>
  <c r="Q62" i="5" s="1"/>
  <c r="N62" i="5"/>
  <c r="O61" i="5"/>
  <c r="Q61" i="5" s="1"/>
  <c r="N61" i="5"/>
  <c r="O60" i="5"/>
  <c r="Q60" i="5" s="1"/>
  <c r="N60" i="5"/>
  <c r="O59" i="5"/>
  <c r="Q59" i="5" s="1"/>
  <c r="N59" i="5"/>
  <c r="O58" i="5"/>
  <c r="Q58" i="5" s="1"/>
  <c r="N58" i="5"/>
  <c r="O57" i="5"/>
  <c r="Q57" i="5" s="1"/>
  <c r="N57" i="5"/>
  <c r="O56" i="5"/>
  <c r="Q56" i="5" s="1"/>
  <c r="N56" i="5"/>
  <c r="O55" i="5"/>
  <c r="Q55" i="5" s="1"/>
  <c r="N55" i="5"/>
  <c r="O54" i="5"/>
  <c r="Q54" i="5" s="1"/>
  <c r="N54" i="5"/>
  <c r="O53" i="5"/>
  <c r="Q53" i="5" s="1"/>
  <c r="N53" i="5"/>
  <c r="O52" i="5"/>
  <c r="Q52" i="5" s="1"/>
  <c r="N52" i="5"/>
  <c r="O51" i="5"/>
  <c r="Q51" i="5" s="1"/>
  <c r="N51" i="5"/>
  <c r="O50" i="5"/>
  <c r="Q50" i="5" s="1"/>
  <c r="N50" i="5"/>
  <c r="O49" i="5"/>
  <c r="Q49" i="5" s="1"/>
  <c r="N49" i="5"/>
  <c r="O48" i="5"/>
  <c r="N48" i="5"/>
  <c r="M44" i="5"/>
  <c r="L43" i="5"/>
  <c r="N43" i="5" s="1"/>
  <c r="I44" i="5"/>
  <c r="K43" i="5"/>
  <c r="K44" i="5" s="1"/>
  <c r="L42" i="5"/>
  <c r="G42" i="5"/>
  <c r="L37" i="5"/>
  <c r="N37" i="5" s="1"/>
  <c r="G37" i="5"/>
  <c r="M38" i="5"/>
  <c r="K36" i="5"/>
  <c r="K38" i="5" s="1"/>
  <c r="I38" i="5"/>
  <c r="E38" i="5"/>
  <c r="L36" i="5"/>
  <c r="G36" i="5"/>
  <c r="G31" i="5"/>
  <c r="L31" i="5"/>
  <c r="N31" i="5" s="1"/>
  <c r="L30" i="5"/>
  <c r="N30" i="5" s="1"/>
  <c r="G30" i="5"/>
  <c r="L29" i="5"/>
  <c r="N29" i="5" s="1"/>
  <c r="G29" i="5"/>
  <c r="L28" i="5"/>
  <c r="N28" i="5" s="1"/>
  <c r="G28" i="5"/>
  <c r="M32" i="5"/>
  <c r="I32" i="5"/>
  <c r="K27" i="5"/>
  <c r="K32" i="5" s="1"/>
  <c r="L27" i="5"/>
  <c r="G27" i="5"/>
  <c r="E32" i="5"/>
  <c r="G22" i="5"/>
  <c r="L22" i="5"/>
  <c r="N22" i="5" s="1"/>
  <c r="M23" i="5"/>
  <c r="N146" i="5" s="1"/>
  <c r="I23" i="5"/>
  <c r="K21" i="5"/>
  <c r="K23" i="5" s="1"/>
  <c r="E23" i="5"/>
  <c r="L21" i="5"/>
  <c r="G21" i="5"/>
  <c r="J137" i="5"/>
  <c r="C140" i="5" s="1"/>
  <c r="C141" i="5" s="1"/>
  <c r="L16" i="5"/>
  <c r="N16" i="5" s="1"/>
  <c r="G16" i="5"/>
  <c r="L15" i="5"/>
  <c r="N15" i="5" s="1"/>
  <c r="G15" i="5"/>
  <c r="G14" i="5"/>
  <c r="L14" i="5"/>
  <c r="N14" i="5" s="1"/>
  <c r="G13" i="5"/>
  <c r="L13" i="5"/>
  <c r="N13" i="5" s="1"/>
  <c r="L12" i="5"/>
  <c r="N12" i="5" s="1"/>
  <c r="G12" i="5"/>
  <c r="G11" i="5"/>
  <c r="L11" i="5"/>
  <c r="N11" i="5" s="1"/>
  <c r="L10" i="5"/>
  <c r="N10" i="5" s="1"/>
  <c r="G10" i="5"/>
  <c r="G9" i="5"/>
  <c r="L9" i="5"/>
  <c r="N9" i="5" s="1"/>
  <c r="G8" i="5"/>
  <c r="L8" i="5"/>
  <c r="N8" i="5" s="1"/>
  <c r="G7" i="5"/>
  <c r="L7" i="5"/>
  <c r="N7" i="5" s="1"/>
  <c r="I17" i="5"/>
  <c r="K17" i="5" s="1"/>
  <c r="K6" i="5"/>
  <c r="E17" i="5"/>
  <c r="L6" i="5"/>
  <c r="G6" i="5"/>
  <c r="M17" i="5"/>
  <c r="G5" i="5"/>
  <c r="L5" i="5"/>
  <c r="N5" i="5" s="1"/>
  <c r="O138" i="5"/>
  <c r="N145" i="5" s="1"/>
  <c r="K44" i="4"/>
  <c r="I136" i="4"/>
  <c r="I32" i="4"/>
  <c r="J137" i="4"/>
  <c r="C140" i="4" s="1"/>
  <c r="C141" i="4" s="1"/>
  <c r="L105" i="4"/>
  <c r="N16" i="4"/>
  <c r="L6" i="4"/>
  <c r="G14" i="4"/>
  <c r="L21" i="4"/>
  <c r="L23" i="4" s="1"/>
  <c r="G21" i="4"/>
  <c r="E23" i="4"/>
  <c r="N6" i="4"/>
  <c r="O62" i="4"/>
  <c r="Q62" i="4" s="1"/>
  <c r="N62" i="4"/>
  <c r="O78" i="4"/>
  <c r="Q78" i="4" s="1"/>
  <c r="N78" i="4"/>
  <c r="O94" i="4"/>
  <c r="Q94" i="4" s="1"/>
  <c r="N94" i="4"/>
  <c r="N30" i="4"/>
  <c r="O55" i="4"/>
  <c r="Q55" i="4" s="1"/>
  <c r="N55" i="4"/>
  <c r="O71" i="4"/>
  <c r="Q71" i="4" s="1"/>
  <c r="N71" i="4"/>
  <c r="O87" i="4"/>
  <c r="Q87" i="4" s="1"/>
  <c r="N87" i="4"/>
  <c r="L9" i="4"/>
  <c r="N9" i="4" s="1"/>
  <c r="E17" i="4"/>
  <c r="L36" i="4"/>
  <c r="L38" i="4" s="1"/>
  <c r="G36" i="4"/>
  <c r="E38" i="4"/>
  <c r="M17" i="4"/>
  <c r="G9" i="4"/>
  <c r="K32" i="4"/>
  <c r="G10" i="4"/>
  <c r="N15" i="4"/>
  <c r="M44" i="4"/>
  <c r="L43" i="4"/>
  <c r="N43" i="4" s="1"/>
  <c r="G43" i="4"/>
  <c r="O103" i="4"/>
  <c r="Q103" i="4" s="1"/>
  <c r="N103" i="4"/>
  <c r="K5" i="4"/>
  <c r="N14" i="4"/>
  <c r="G29" i="4"/>
  <c r="L29" i="4"/>
  <c r="E32" i="4"/>
  <c r="M32" i="4"/>
  <c r="O54" i="4"/>
  <c r="Q54" i="4" s="1"/>
  <c r="N54" i="4"/>
  <c r="O70" i="4"/>
  <c r="Q70" i="4" s="1"/>
  <c r="N70" i="4"/>
  <c r="O86" i="4"/>
  <c r="Q86" i="4" s="1"/>
  <c r="N86" i="4"/>
  <c r="O102" i="4"/>
  <c r="Q102" i="4" s="1"/>
  <c r="N102" i="4"/>
  <c r="N11" i="4"/>
  <c r="K17" i="4"/>
  <c r="O63" i="4"/>
  <c r="Q63" i="4" s="1"/>
  <c r="N63" i="4"/>
  <c r="O79" i="4"/>
  <c r="Q79" i="4" s="1"/>
  <c r="N79" i="4"/>
  <c r="O95" i="4"/>
  <c r="Q95" i="4" s="1"/>
  <c r="N95" i="4"/>
  <c r="N114" i="4"/>
  <c r="L112" i="4"/>
  <c r="N112" i="4" s="1"/>
  <c r="G112" i="4"/>
  <c r="L115" i="4"/>
  <c r="N115" i="4" s="1"/>
  <c r="G115" i="4"/>
  <c r="L128" i="4"/>
  <c r="N128" i="4" s="1"/>
  <c r="G128" i="4"/>
  <c r="M136" i="4"/>
  <c r="K21" i="4"/>
  <c r="K23" i="4" s="1"/>
  <c r="N144" i="4"/>
  <c r="G118" i="4"/>
  <c r="G134" i="4"/>
  <c r="L135" i="4"/>
  <c r="N135" i="4" s="1"/>
  <c r="G8" i="4"/>
  <c r="K28" i="4"/>
  <c r="E44" i="4"/>
  <c r="N53" i="4"/>
  <c r="N69" i="4"/>
  <c r="N93" i="4"/>
  <c r="N101" i="4"/>
  <c r="L109" i="4"/>
  <c r="N5" i="4"/>
  <c r="N10" i="4"/>
  <c r="L16" i="4"/>
  <c r="G16" i="4"/>
  <c r="N21" i="4"/>
  <c r="L28" i="4"/>
  <c r="N28" i="4" s="1"/>
  <c r="G42" i="4"/>
  <c r="N52" i="4"/>
  <c r="N60" i="4"/>
  <c r="N68" i="4"/>
  <c r="N76" i="4"/>
  <c r="N84" i="4"/>
  <c r="N92" i="4"/>
  <c r="N100" i="4"/>
  <c r="J105" i="4"/>
  <c r="N105" i="4" s="1"/>
  <c r="L11" i="4"/>
  <c r="L13" i="4"/>
  <c r="N51" i="4"/>
  <c r="N59" i="4"/>
  <c r="N67" i="4"/>
  <c r="N75" i="4"/>
  <c r="N83" i="4"/>
  <c r="N91" i="4"/>
  <c r="N99" i="4"/>
  <c r="L120" i="4"/>
  <c r="N120" i="4" s="1"/>
  <c r="G120" i="4"/>
  <c r="L121" i="4"/>
  <c r="N121" i="4" s="1"/>
  <c r="L123" i="4"/>
  <c r="N123" i="4" s="1"/>
  <c r="G123" i="4"/>
  <c r="E136" i="4"/>
  <c r="L131" i="4"/>
  <c r="N131" i="4" s="1"/>
  <c r="G131" i="4"/>
  <c r="K36" i="4"/>
  <c r="K38" i="4" s="1"/>
  <c r="N38" i="4" s="1"/>
  <c r="L119" i="4"/>
  <c r="N119" i="4" s="1"/>
  <c r="G27" i="4"/>
  <c r="N29" i="4"/>
  <c r="N61" i="4"/>
  <c r="N77" i="4"/>
  <c r="N85" i="4"/>
  <c r="L122" i="4"/>
  <c r="N122" i="4" s="1"/>
  <c r="L125" i="4"/>
  <c r="N125" i="4" s="1"/>
  <c r="G11" i="4"/>
  <c r="N13" i="4"/>
  <c r="L31" i="4"/>
  <c r="N31" i="4" s="1"/>
  <c r="L42" i="4"/>
  <c r="N50" i="4"/>
  <c r="N58" i="4"/>
  <c r="N66" i="4"/>
  <c r="N74" i="4"/>
  <c r="N82" i="4"/>
  <c r="N90" i="4"/>
  <c r="N98" i="4"/>
  <c r="G110" i="4"/>
  <c r="L111" i="4"/>
  <c r="N111" i="4" s="1"/>
  <c r="G126" i="4"/>
  <c r="L127" i="4"/>
  <c r="N127" i="4" s="1"/>
  <c r="L114" i="3"/>
  <c r="N114" i="3" s="1"/>
  <c r="L122" i="3"/>
  <c r="N122" i="3" s="1"/>
  <c r="L129" i="3"/>
  <c r="N129" i="3" s="1"/>
  <c r="O65" i="3"/>
  <c r="Q65" i="3" s="1"/>
  <c r="O67" i="3"/>
  <c r="Q67" i="3" s="1"/>
  <c r="O73" i="3"/>
  <c r="Q73" i="3" s="1"/>
  <c r="O75" i="3"/>
  <c r="Q75" i="3" s="1"/>
  <c r="O89" i="3"/>
  <c r="Q89" i="3" s="1"/>
  <c r="O49" i="3"/>
  <c r="Q49" i="3" s="1"/>
  <c r="O51" i="3"/>
  <c r="Q51" i="3" s="1"/>
  <c r="O57" i="3"/>
  <c r="Q57" i="3" s="1"/>
  <c r="O59" i="3"/>
  <c r="Q59" i="3" s="1"/>
  <c r="O71" i="3"/>
  <c r="Q71" i="3" s="1"/>
  <c r="O95" i="3"/>
  <c r="Q95" i="3" s="1"/>
  <c r="L9" i="3"/>
  <c r="N9" i="3" s="1"/>
  <c r="L29" i="3"/>
  <c r="N29" i="3" s="1"/>
  <c r="L115" i="3"/>
  <c r="N115" i="3" s="1"/>
  <c r="P105" i="3"/>
  <c r="N139" i="3" s="1"/>
  <c r="Q62" i="3"/>
  <c r="Q86" i="3"/>
  <c r="Q52" i="3"/>
  <c r="O102" i="3"/>
  <c r="Q102" i="3" s="1"/>
  <c r="O101" i="3"/>
  <c r="Q101" i="3" s="1"/>
  <c r="O79" i="3"/>
  <c r="Q79" i="3" s="1"/>
  <c r="O83" i="3"/>
  <c r="Q83" i="3" s="1"/>
  <c r="O87" i="3"/>
  <c r="Q87" i="3" s="1"/>
  <c r="M38" i="3"/>
  <c r="N142" i="3" s="1"/>
  <c r="K9" i="3"/>
  <c r="K115" i="3"/>
  <c r="N101" i="3"/>
  <c r="Q56" i="3"/>
  <c r="O103" i="3"/>
  <c r="Q103" i="3" s="1"/>
  <c r="Q58" i="3"/>
  <c r="Q84" i="3"/>
  <c r="Q88" i="3"/>
  <c r="Q94" i="3"/>
  <c r="L134" i="3"/>
  <c r="N134" i="3" s="1"/>
  <c r="L16" i="3"/>
  <c r="N16" i="3" s="1"/>
  <c r="Q90" i="3"/>
  <c r="Q96" i="3"/>
  <c r="N143" i="3"/>
  <c r="O54" i="3"/>
  <c r="Q54" i="3" s="1"/>
  <c r="O63" i="3"/>
  <c r="Q63" i="3" s="1"/>
  <c r="Q64" i="3"/>
  <c r="O80" i="3"/>
  <c r="Q80" i="3" s="1"/>
  <c r="O91" i="3"/>
  <c r="Q91" i="3" s="1"/>
  <c r="O97" i="3"/>
  <c r="Q97" i="3" s="1"/>
  <c r="L15" i="3"/>
  <c r="N15" i="3" s="1"/>
  <c r="K23" i="3"/>
  <c r="H54" i="3"/>
  <c r="H80" i="3"/>
  <c r="L117" i="3"/>
  <c r="N117" i="3" s="1"/>
  <c r="J105" i="3"/>
  <c r="N105" i="3" s="1"/>
  <c r="L124" i="3"/>
  <c r="N124" i="3" s="1"/>
  <c r="L126" i="3"/>
  <c r="N126" i="3" s="1"/>
  <c r="L133" i="3"/>
  <c r="N133" i="3" s="1"/>
  <c r="Q70" i="3"/>
  <c r="L12" i="3"/>
  <c r="N12" i="3" s="1"/>
  <c r="E44" i="3"/>
  <c r="Q60" i="3"/>
  <c r="Q78" i="3"/>
  <c r="N103" i="3"/>
  <c r="L116" i="3"/>
  <c r="N116" i="3" s="1"/>
  <c r="G7" i="3"/>
  <c r="I44" i="3"/>
  <c r="F137" i="3"/>
  <c r="C139" i="3" s="1"/>
  <c r="O55" i="3"/>
  <c r="Q55" i="3" s="1"/>
  <c r="H64" i="3"/>
  <c r="Q68" i="3"/>
  <c r="O72" i="3"/>
  <c r="Q72" i="3" s="1"/>
  <c r="O81" i="3"/>
  <c r="Q81" i="3" s="1"/>
  <c r="K116" i="3"/>
  <c r="L118" i="3"/>
  <c r="N118" i="3" s="1"/>
  <c r="H48" i="3"/>
  <c r="H86" i="3"/>
  <c r="L8" i="3"/>
  <c r="N8" i="3" s="1"/>
  <c r="L105" i="3"/>
  <c r="H79" i="3"/>
  <c r="K124" i="3"/>
  <c r="N48" i="3"/>
  <c r="H56" i="3"/>
  <c r="Q66" i="3"/>
  <c r="H88" i="3"/>
  <c r="Q48" i="3"/>
  <c r="Q74" i="3"/>
  <c r="Q92" i="3"/>
  <c r="L42" i="3"/>
  <c r="N42" i="3" s="1"/>
  <c r="Q50" i="3"/>
  <c r="H72" i="3"/>
  <c r="Q76" i="3"/>
  <c r="Q82" i="3"/>
  <c r="L110" i="3"/>
  <c r="N110" i="3" s="1"/>
  <c r="L127" i="3"/>
  <c r="N127" i="3" s="1"/>
  <c r="L130" i="3"/>
  <c r="N130" i="3" s="1"/>
  <c r="L22" i="3"/>
  <c r="N22" i="3" s="1"/>
  <c r="I23" i="3"/>
  <c r="L31" i="3"/>
  <c r="N31" i="3" s="1"/>
  <c r="K31" i="3"/>
  <c r="H55" i="3"/>
  <c r="H62" i="3"/>
  <c r="H87" i="3"/>
  <c r="H94" i="3"/>
  <c r="E136" i="3"/>
  <c r="L132" i="3"/>
  <c r="N132" i="3" s="1"/>
  <c r="K132" i="3"/>
  <c r="H100" i="3"/>
  <c r="O100" i="3"/>
  <c r="Q100" i="3" s="1"/>
  <c r="L131" i="3"/>
  <c r="N131" i="3" s="1"/>
  <c r="G131" i="3"/>
  <c r="M17" i="3"/>
  <c r="G11" i="3"/>
  <c r="L11" i="3"/>
  <c r="N11" i="3" s="1"/>
  <c r="L30" i="3"/>
  <c r="N30" i="3" s="1"/>
  <c r="G30" i="3"/>
  <c r="L37" i="3"/>
  <c r="K37" i="3"/>
  <c r="O53" i="3"/>
  <c r="Q53" i="3" s="1"/>
  <c r="H53" i="3"/>
  <c r="E105" i="3"/>
  <c r="O85" i="3"/>
  <c r="Q85" i="3" s="1"/>
  <c r="H85" i="3"/>
  <c r="G123" i="3"/>
  <c r="G135" i="3"/>
  <c r="L135" i="3"/>
  <c r="N135" i="3" s="1"/>
  <c r="H71" i="3"/>
  <c r="H78" i="3"/>
  <c r="G129" i="3"/>
  <c r="L28" i="3"/>
  <c r="N28" i="3" s="1"/>
  <c r="O77" i="3"/>
  <c r="Q77" i="3" s="1"/>
  <c r="H77" i="3"/>
  <c r="O99" i="3"/>
  <c r="Q99" i="3" s="1"/>
  <c r="H99" i="3"/>
  <c r="H63" i="3"/>
  <c r="H70" i="3"/>
  <c r="K8" i="3"/>
  <c r="K16" i="3"/>
  <c r="G27" i="3"/>
  <c r="E32" i="3"/>
  <c r="L27" i="3"/>
  <c r="N27" i="3" s="1"/>
  <c r="I38" i="3"/>
  <c r="O69" i="3"/>
  <c r="Q69" i="3" s="1"/>
  <c r="H69" i="3"/>
  <c r="O98" i="3"/>
  <c r="Q98" i="3" s="1"/>
  <c r="H98" i="3"/>
  <c r="L14" i="3"/>
  <c r="N14" i="3" s="1"/>
  <c r="G14" i="3"/>
  <c r="E23" i="3"/>
  <c r="L21" i="3"/>
  <c r="O61" i="3"/>
  <c r="Q61" i="3" s="1"/>
  <c r="H61" i="3"/>
  <c r="O93" i="3"/>
  <c r="Q93" i="3" s="1"/>
  <c r="H93" i="3"/>
  <c r="L112" i="3"/>
  <c r="N112" i="3" s="1"/>
  <c r="G112" i="3"/>
  <c r="E38" i="3"/>
  <c r="L36" i="3"/>
  <c r="I136" i="3"/>
  <c r="K109" i="3"/>
  <c r="G114" i="3"/>
  <c r="G120" i="3"/>
  <c r="E17" i="3"/>
  <c r="L6" i="3"/>
  <c r="J137" i="3"/>
  <c r="C140" i="3" s="1"/>
  <c r="G36" i="3"/>
  <c r="H52" i="3"/>
  <c r="H60" i="3"/>
  <c r="H68" i="3"/>
  <c r="H76" i="3"/>
  <c r="H84" i="3"/>
  <c r="H92" i="3"/>
  <c r="H97" i="3"/>
  <c r="L109" i="3"/>
  <c r="N144" i="3"/>
  <c r="K117" i="3"/>
  <c r="L128" i="3"/>
  <c r="N128" i="3" s="1"/>
  <c r="G128" i="3"/>
  <c r="G6" i="3"/>
  <c r="N37" i="3"/>
  <c r="H51" i="3"/>
  <c r="H59" i="3"/>
  <c r="H67" i="3"/>
  <c r="H75" i="3"/>
  <c r="H83" i="3"/>
  <c r="H91" i="3"/>
  <c r="H96" i="3"/>
  <c r="G122" i="3"/>
  <c r="G130" i="3"/>
  <c r="I17" i="3"/>
  <c r="K17" i="3" s="1"/>
  <c r="K6" i="3"/>
  <c r="L10" i="3"/>
  <c r="N10" i="3" s="1"/>
  <c r="M23" i="3"/>
  <c r="N146" i="3" s="1"/>
  <c r="M32" i="3"/>
  <c r="G29" i="3"/>
  <c r="K36" i="3"/>
  <c r="L43" i="3"/>
  <c r="N43" i="3" s="1"/>
  <c r="H50" i="3"/>
  <c r="H58" i="3"/>
  <c r="H66" i="3"/>
  <c r="H74" i="3"/>
  <c r="H82" i="3"/>
  <c r="H90" i="3"/>
  <c r="H95" i="3"/>
  <c r="L113" i="3"/>
  <c r="N113" i="3" s="1"/>
  <c r="G119" i="3"/>
  <c r="L119" i="3"/>
  <c r="N119" i="3" s="1"/>
  <c r="L125" i="3"/>
  <c r="N125" i="3" s="1"/>
  <c r="K133" i="3"/>
  <c r="K29" i="3"/>
  <c r="I32" i="3"/>
  <c r="K42" i="3"/>
  <c r="K44" i="3" s="1"/>
  <c r="H49" i="3"/>
  <c r="H57" i="3"/>
  <c r="H65" i="3"/>
  <c r="H73" i="3"/>
  <c r="H81" i="3"/>
  <c r="H89" i="3"/>
  <c r="O104" i="3"/>
  <c r="Q104" i="3" s="1"/>
  <c r="L111" i="3"/>
  <c r="N111" i="3" s="1"/>
  <c r="G113" i="3"/>
  <c r="L5" i="3"/>
  <c r="N5" i="3" s="1"/>
  <c r="N7" i="3"/>
  <c r="L13" i="3"/>
  <c r="N13" i="3" s="1"/>
  <c r="L121" i="3"/>
  <c r="N121" i="3" s="1"/>
  <c r="C136" i="6" l="1"/>
  <c r="O133" i="6"/>
  <c r="N140" i="6" s="1"/>
  <c r="L18" i="6"/>
  <c r="N18" i="6" s="1"/>
  <c r="N7" i="6"/>
  <c r="L131" i="6"/>
  <c r="L33" i="6"/>
  <c r="L24" i="6"/>
  <c r="N114" i="6"/>
  <c r="L39" i="6"/>
  <c r="N39" i="6"/>
  <c r="L45" i="6"/>
  <c r="N45" i="6" s="1"/>
  <c r="N43" i="6"/>
  <c r="N33" i="6"/>
  <c r="N136" i="6"/>
  <c r="O110" i="6"/>
  <c r="Q110" i="6" s="1"/>
  <c r="Q49" i="6"/>
  <c r="N135" i="6"/>
  <c r="N109" i="5"/>
  <c r="L136" i="5"/>
  <c r="Q48" i="5"/>
  <c r="O105" i="5"/>
  <c r="Q105" i="5" s="1"/>
  <c r="N143" i="5"/>
  <c r="N42" i="5"/>
  <c r="L44" i="5"/>
  <c r="N44" i="5" s="1"/>
  <c r="N38" i="5"/>
  <c r="N142" i="5"/>
  <c r="N141" i="5"/>
  <c r="N32" i="5"/>
  <c r="N6" i="5"/>
  <c r="L17" i="5"/>
  <c r="N17" i="5" s="1"/>
  <c r="N140" i="5"/>
  <c r="N147" i="5" s="1"/>
  <c r="L38" i="5"/>
  <c r="N36" i="5"/>
  <c r="L32" i="5"/>
  <c r="N27" i="5"/>
  <c r="L23" i="5"/>
  <c r="N21" i="5"/>
  <c r="L44" i="4"/>
  <c r="L32" i="4"/>
  <c r="N141" i="4"/>
  <c r="N32" i="4"/>
  <c r="L136" i="4"/>
  <c r="N109" i="4"/>
  <c r="N143" i="4"/>
  <c r="N44" i="4"/>
  <c r="O105" i="4"/>
  <c r="Q105" i="4" s="1"/>
  <c r="O138" i="4"/>
  <c r="N145" i="4" s="1"/>
  <c r="N140" i="4"/>
  <c r="N36" i="4"/>
  <c r="N42" i="4"/>
  <c r="L17" i="4"/>
  <c r="N17" i="4" s="1"/>
  <c r="L38" i="3"/>
  <c r="K32" i="3"/>
  <c r="N32" i="3" s="1"/>
  <c r="L23" i="3"/>
  <c r="O138" i="3"/>
  <c r="N145" i="3" s="1"/>
  <c r="L44" i="3"/>
  <c r="C141" i="3"/>
  <c r="L136" i="3"/>
  <c r="N109" i="3"/>
  <c r="N141" i="3"/>
  <c r="N21" i="3"/>
  <c r="L32" i="3"/>
  <c r="O105" i="3"/>
  <c r="Q105" i="3" s="1"/>
  <c r="L17" i="3"/>
  <c r="N17" i="3" s="1"/>
  <c r="N6" i="3"/>
  <c r="N140" i="3"/>
  <c r="N36" i="3"/>
  <c r="K38" i="3"/>
  <c r="N38" i="3" s="1"/>
  <c r="N142" i="6" l="1"/>
  <c r="N147" i="4"/>
</calcChain>
</file>

<file path=xl/sharedStrings.xml><?xml version="1.0" encoding="utf-8"?>
<sst xmlns="http://schemas.openxmlformats.org/spreadsheetml/2006/main" count="8874" uniqueCount="224">
  <si>
    <t>CALIBER MINING AND LOGISTICS LIMITED - DHOPTALA OB</t>
  </si>
  <si>
    <t>DAILY DIESEL AVG REPORT ( MACHINES )</t>
  </si>
  <si>
    <t>DATE</t>
  </si>
  <si>
    <t>Sr.No</t>
  </si>
  <si>
    <t xml:space="preserve"> Door No</t>
  </si>
  <si>
    <t>Morning Filling</t>
  </si>
  <si>
    <t>Evening Filling</t>
  </si>
  <si>
    <t>Total
Diesel</t>
  </si>
  <si>
    <t>Avg</t>
  </si>
  <si>
    <t>Trips</t>
  </si>
  <si>
    <t>Remark</t>
  </si>
  <si>
    <t>Opening HMR</t>
  </si>
  <si>
    <t>Closing HMR</t>
  </si>
  <si>
    <t>Running HMR</t>
  </si>
  <si>
    <t>Hsd</t>
  </si>
  <si>
    <t>Total HMR</t>
  </si>
  <si>
    <t>VPC-02 (580)</t>
  </si>
  <si>
    <t>VPC-6 ( 480 )</t>
  </si>
  <si>
    <t>VPC-12 ( 480 )</t>
  </si>
  <si>
    <t>VPC-14(480)</t>
  </si>
  <si>
    <t>TPC-15(650)</t>
  </si>
  <si>
    <t>VPC-17 ( 480 )</t>
  </si>
  <si>
    <t>VPC-19(480)</t>
  </si>
  <si>
    <t>SPC-26 ( 580 )</t>
  </si>
  <si>
    <t>SPC-27 ( 580 )</t>
  </si>
  <si>
    <t>SPC-42 ( 580 )</t>
  </si>
  <si>
    <t>KCP -17</t>
  </si>
  <si>
    <t>LPC-08 ( 210 )</t>
  </si>
  <si>
    <t>TOTAL</t>
  </si>
  <si>
    <t>DAILY DIESEL AVG REPORT ( LODER )</t>
  </si>
  <si>
    <t>PL-42</t>
  </si>
  <si>
    <t>PL-47</t>
  </si>
  <si>
    <t>DAILY DIESEL AVG REPORT ( DOZER )</t>
  </si>
  <si>
    <t xml:space="preserve">D-15 </t>
  </si>
  <si>
    <t>D-19</t>
  </si>
  <si>
    <t xml:space="preserve">D-24 </t>
  </si>
  <si>
    <t xml:space="preserve">D-58 </t>
  </si>
  <si>
    <t>D-69</t>
  </si>
  <si>
    <t>DAILY DIESEL AVG REPORT ( GRADER )</t>
  </si>
  <si>
    <t>G-10</t>
  </si>
  <si>
    <t>G-29</t>
  </si>
  <si>
    <t>DAILY DIESEL AVG REPORT ( DRILL )</t>
  </si>
  <si>
    <t>LDM-15 PC</t>
  </si>
  <si>
    <t>LDM-26</t>
  </si>
  <si>
    <t>DAILY DIESEL AVG REPORT ( TIPPERS )</t>
  </si>
  <si>
    <t>Total KMR</t>
  </si>
  <si>
    <t>TOTAL HSD</t>
  </si>
  <si>
    <t>AVG</t>
  </si>
  <si>
    <t>TRIPS</t>
  </si>
  <si>
    <t>Opening KMR</t>
  </si>
  <si>
    <t>Closing KMR</t>
  </si>
  <si>
    <t>Running KMR</t>
  </si>
  <si>
    <t>V-M2-WB37D7654</t>
  </si>
  <si>
    <t>V-16-MH34BG8704</t>
  </si>
  <si>
    <t>V-17- MH34BG8703</t>
  </si>
  <si>
    <t>V-18-MH34BG8701</t>
  </si>
  <si>
    <t>V-19-MH34BG8697</t>
  </si>
  <si>
    <t>V-20-MH34BG8702</t>
  </si>
  <si>
    <t>V-21- MH34BG8798</t>
  </si>
  <si>
    <t>V-22- MH34BG8932</t>
  </si>
  <si>
    <t xml:space="preserve">                                                                                                 </t>
  </si>
  <si>
    <t>V-24- MH34BG8931</t>
  </si>
  <si>
    <t>V-30- MH34BG8938</t>
  </si>
  <si>
    <t>S-34</t>
  </si>
  <si>
    <t>S-35</t>
  </si>
  <si>
    <t>S-54</t>
  </si>
  <si>
    <t>S-56</t>
  </si>
  <si>
    <t>S-72</t>
  </si>
  <si>
    <t>V-84-MH34BZ0761</t>
  </si>
  <si>
    <t>V-103-MH34BZ1863</t>
  </si>
  <si>
    <t>V105 - MH34BZ1864</t>
  </si>
  <si>
    <t>V106 - MH34BZ1862</t>
  </si>
  <si>
    <t>V107 - MH34BZ1861</t>
  </si>
  <si>
    <t xml:space="preserve">V-108- MH34BZ2092 </t>
  </si>
  <si>
    <t>V-109- MH34BZ2096</t>
  </si>
  <si>
    <t>V-110- MH34BZ2093</t>
  </si>
  <si>
    <t>V-111- MH34BZ2094</t>
  </si>
  <si>
    <t>V-112- MH34BZ2091</t>
  </si>
  <si>
    <t>V-129- MH34BZ2817</t>
  </si>
  <si>
    <t>V-130- MH34BZ2771</t>
  </si>
  <si>
    <t>V-163</t>
  </si>
  <si>
    <t>V-167</t>
  </si>
  <si>
    <t>V-168</t>
  </si>
  <si>
    <t>V-174- MH34BZ3522</t>
  </si>
  <si>
    <t>V-175- MH34BZ3520</t>
  </si>
  <si>
    <t>V-176- MH34BZ3519</t>
  </si>
  <si>
    <t>V-177-MH34BZ3521</t>
  </si>
  <si>
    <t>V-178-MH34BZ3787</t>
  </si>
  <si>
    <t>V-179-MH34BZ3785</t>
  </si>
  <si>
    <t>V-180-MH34BZ3784</t>
  </si>
  <si>
    <t>V181- MH34BZ4093</t>
  </si>
  <si>
    <t>V182-MH34BZ4094</t>
  </si>
  <si>
    <t>V-183-MH34BZ4246</t>
  </si>
  <si>
    <t>V-184-MH34BZ4244</t>
  </si>
  <si>
    <t xml:space="preserve"> </t>
  </si>
  <si>
    <t>V-185-MH34BZ4240</t>
  </si>
  <si>
    <t>V-186-MH34BZ4241</t>
  </si>
  <si>
    <t>V-187-MH34BZ4299</t>
  </si>
  <si>
    <t>S-233</t>
  </si>
  <si>
    <t>S-261</t>
  </si>
  <si>
    <t>S-262</t>
  </si>
  <si>
    <t>S-273</t>
  </si>
  <si>
    <t>S-274-MH34BZ5484</t>
  </si>
  <si>
    <t>S-275-MH34BZ5482</t>
  </si>
  <si>
    <t>V-584</t>
  </si>
  <si>
    <t>V-585</t>
  </si>
  <si>
    <t>V-586</t>
  </si>
  <si>
    <t>V-587</t>
  </si>
  <si>
    <t>V-588</t>
  </si>
  <si>
    <t>V-589</t>
  </si>
  <si>
    <t>V-663</t>
  </si>
  <si>
    <t>DAILY DIESEL AVG REPORT ( LMV )</t>
  </si>
  <si>
    <t>BC MH34BZ4707</t>
  </si>
  <si>
    <t>DG -08 ( CAMP )</t>
  </si>
  <si>
    <t>DG-05 SHIFT VAN</t>
  </si>
  <si>
    <t>YODHA (MH34BZ2843)</t>
  </si>
  <si>
    <t>WATER T-MH34BZ7294</t>
  </si>
  <si>
    <t>WATER T-MH34BZ0716</t>
  </si>
  <si>
    <t>WATER T-MH34BZ0967</t>
  </si>
  <si>
    <t>D-TANKER MHBZ2638-T-11</t>
  </si>
  <si>
    <t>D-TANKER MHBZ0124-T-05</t>
  </si>
  <si>
    <t>WHITE CAMPER (5080)</t>
  </si>
  <si>
    <t>MH34BZ4352 (MAINTENANCE VAN )</t>
  </si>
  <si>
    <t>MH34CQ1847 ( SERVICE VAN )</t>
  </si>
  <si>
    <t>MH34BG7525 (YODHA )</t>
  </si>
  <si>
    <t>NEW -YODHA</t>
  </si>
  <si>
    <t>MH31GA4322</t>
  </si>
  <si>
    <t>MH34AB8383 (BUS)</t>
  </si>
  <si>
    <t>MH34CQ0070 (HO  DIESEL TANKAR)</t>
  </si>
  <si>
    <t>MH34BZ9148 (HO  DIESEL TANKAR)</t>
  </si>
  <si>
    <t>MH34BZ2841 (HO  DIESEL TANKAR)</t>
  </si>
  <si>
    <t>MH34CQ0129 (HO  DIESEL TANKAR)</t>
  </si>
  <si>
    <t>MH34CQ0919 (HO  DIESEL TANKAR)</t>
  </si>
  <si>
    <t>MH34CQ0917 (HO  DIESEL TANKAR)</t>
  </si>
  <si>
    <t>MH34CQ0916 (HO  DIESEL TANKAR)</t>
  </si>
  <si>
    <t>MH34CQ0472 (HO  DIESEL TANKAR)</t>
  </si>
  <si>
    <t>MH34AB7908</t>
  </si>
  <si>
    <t>MH34BZ8930 ( HO DIESEL TANKAR)</t>
  </si>
  <si>
    <t>MH34BZ8819( HO DIESEL TANKAR)</t>
  </si>
  <si>
    <t>Day Shift</t>
  </si>
  <si>
    <t>Night Shift</t>
  </si>
  <si>
    <t>Abstract</t>
  </si>
  <si>
    <t>DATE :</t>
  </si>
  <si>
    <t>Day Consumption</t>
  </si>
  <si>
    <t>Tippers Consumption</t>
  </si>
  <si>
    <t>Night Consumption</t>
  </si>
  <si>
    <t>Excavators Consumption</t>
  </si>
  <si>
    <t>Dozers Consumption</t>
  </si>
  <si>
    <t>Graders Consumption</t>
  </si>
  <si>
    <t>NOTE :</t>
  </si>
  <si>
    <t>Drill Machines Consumption</t>
  </si>
  <si>
    <t>Water Tankars Consumption</t>
  </si>
  <si>
    <t>Lmv Consumption</t>
  </si>
  <si>
    <t>Loaders Consumption</t>
  </si>
  <si>
    <t>Total Consumpton Today</t>
  </si>
  <si>
    <t>S-4-MH34BR8762</t>
  </si>
  <si>
    <t>S-6-MH34BR8766</t>
  </si>
  <si>
    <t>S-7-MH34BR8763</t>
  </si>
  <si>
    <t>S-34-MH34BZ0052</t>
  </si>
  <si>
    <t>S-35-MH34BZ0051</t>
  </si>
  <si>
    <t>S-54-MH34BZ0562</t>
  </si>
  <si>
    <t>S-56-MH34BZ0561</t>
  </si>
  <si>
    <t>S-72-MH34BZ0622</t>
  </si>
  <si>
    <t>V-163 - MH34BZ3285</t>
  </si>
  <si>
    <t>V-167 - MH34BZ3284</t>
  </si>
  <si>
    <t>V-168 - MH34BZ3514</t>
  </si>
  <si>
    <t>S-233-MH34BZ5161</t>
  </si>
  <si>
    <t>S-261 - MH34BZ5474</t>
  </si>
  <si>
    <t>S-262 - MH34BZ5476</t>
  </si>
  <si>
    <t>S-273 - MH34BZ5485</t>
  </si>
  <si>
    <t>VPC-4 ( 480 )</t>
  </si>
  <si>
    <t>S5-MH34BR8758</t>
  </si>
  <si>
    <t>S8-MH34BR8759</t>
  </si>
  <si>
    <t>S14-MH34BR8809</t>
  </si>
  <si>
    <t>MH34CQ3070 -YODHA</t>
  </si>
  <si>
    <t>VPC-02 (480)</t>
  </si>
  <si>
    <t>V-591</t>
  </si>
  <si>
    <t>V-592</t>
  </si>
  <si>
    <t>V-593</t>
  </si>
  <si>
    <t>V-594</t>
  </si>
  <si>
    <t>V-595</t>
  </si>
  <si>
    <t>SPC-44 ( 380 )</t>
  </si>
  <si>
    <t>TANK CLEANING</t>
  </si>
  <si>
    <t>MH34BG9653 (HO TANKER)</t>
  </si>
  <si>
    <t>MH34CQ0052 (HO TANKER)</t>
  </si>
  <si>
    <t>MH34BZ8819 (HO TANKER)</t>
  </si>
  <si>
    <t>LDM-04</t>
  </si>
  <si>
    <t>MH34CQ0472</t>
  </si>
  <si>
    <t>MH34AV2261 ( MAINTAINANCE VAN )</t>
  </si>
  <si>
    <t>MH34CQ0915 (HO TANKER)</t>
  </si>
  <si>
    <t>Machine Type</t>
  </si>
  <si>
    <t>Make</t>
  </si>
  <si>
    <t>Model</t>
  </si>
  <si>
    <t>Excavator</t>
  </si>
  <si>
    <t>Volvo</t>
  </si>
  <si>
    <t>Tata Hitachi</t>
  </si>
  <si>
    <t>Sany</t>
  </si>
  <si>
    <t>Liugong</t>
  </si>
  <si>
    <t>KOBELCO</t>
  </si>
  <si>
    <t>SK220DX</t>
  </si>
  <si>
    <t>Loader</t>
  </si>
  <si>
    <t>CLG856H</t>
  </si>
  <si>
    <t>Dozer</t>
  </si>
  <si>
    <t>Komatsu</t>
  </si>
  <si>
    <t>Grader</t>
  </si>
  <si>
    <t>Case</t>
  </si>
  <si>
    <t>CASE865C</t>
  </si>
  <si>
    <t>CLG4230D</t>
  </si>
  <si>
    <t>Drill</t>
  </si>
  <si>
    <t>CLG922E</t>
  </si>
  <si>
    <t>Tippers</t>
  </si>
  <si>
    <t>FMX 460</t>
  </si>
  <si>
    <t>FMX 500</t>
  </si>
  <si>
    <t>MH34BZ8931 (HO TANKER)</t>
  </si>
  <si>
    <t>EC480DL</t>
  </si>
  <si>
    <t>ZX 650H</t>
  </si>
  <si>
    <t>SY580C</t>
  </si>
  <si>
    <t>SY380LC</t>
  </si>
  <si>
    <t>CLG921D</t>
  </si>
  <si>
    <t>D85ESS-2</t>
  </si>
  <si>
    <t>LGCB160C</t>
  </si>
  <si>
    <t>D155A-6R</t>
  </si>
  <si>
    <t>G500XT</t>
  </si>
  <si>
    <t>G440XT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</si>
</sst>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Bodoni MT"/>
      <family val="1"/>
    </font>
    <font>
      <b/>
      <sz val="10"/>
      <color theme="1"/>
      <name val="Calibri Light"/>
      <family val="2"/>
      <scheme val="major"/>
    </font>
    <font>
      <b/>
      <sz val="14"/>
      <color theme="1"/>
      <name val="Cambria"/>
      <family val="1"/>
    </font>
    <font>
      <b/>
      <sz val="14"/>
      <color rgb="FFFF0000"/>
      <name val="Cambria"/>
      <family val="1"/>
    </font>
    <font>
      <b/>
      <sz val="10"/>
      <name val="Cambria"/>
      <family val="1"/>
    </font>
    <font>
      <b/>
      <sz val="14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sz val="12"/>
      <color theme="1"/>
      <name val="Calibri Light"/>
      <family val="2"/>
      <scheme val="major"/>
    </font>
    <font>
      <b/>
      <sz val="11"/>
      <name val="Calibri"/>
      <family val="2"/>
      <scheme val="minor"/>
    </font>
    <font>
      <b/>
      <sz val="12"/>
      <color theme="1"/>
      <name val="Calibri Light"/>
      <family val="2"/>
      <scheme val="maj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8"/>
      <color theme="1"/>
      <name val="Cambira"/>
    </font>
    <font>
      <b/>
      <sz val="10"/>
      <color theme="1"/>
      <name val="Cambira"/>
    </font>
    <font>
      <b/>
      <sz val="12"/>
      <color theme="1"/>
      <name val="Cambira"/>
    </font>
    <font>
      <sz val="11"/>
      <color theme="1"/>
      <name val="Cambira"/>
      <charset val="134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mbira"/>
    </font>
    <font>
      <b/>
      <sz val="12"/>
      <color theme="1"/>
      <name val="Cambria"/>
      <family val="1"/>
    </font>
    <font>
      <b/>
      <sz val="9"/>
      <color theme="1"/>
      <name val="Cambira"/>
    </font>
    <font>
      <b/>
      <sz val="12"/>
      <color theme="1"/>
      <name val="Arial"/>
      <family val="2"/>
    </font>
    <font>
      <b/>
      <sz val="11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z val="7"/>
      <color rgb="FF000000"/>
      <name val="Segoe UI"/>
      <family val="2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000000"/>
      <name val="Segoe UI"/>
      <family val="2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mbira"/>
      <charset val="134"/>
    </font>
    <font>
      <b/>
      <sz val="10"/>
      <color theme="1"/>
      <name val="Castellar"/>
      <family val="1"/>
    </font>
    <font>
      <b/>
      <sz val="14"/>
      <color theme="1"/>
      <name val="Castellar"/>
      <family val="1"/>
    </font>
    <font>
      <b/>
      <sz val="20"/>
      <color rgb="FFFF0000"/>
      <name val="Calibri"/>
      <family val="2"/>
      <scheme val="minor"/>
    </font>
    <font>
      <b/>
      <sz val="13"/>
      <color rgb="FFFF0000"/>
      <name val="Calibri"/>
      <family val="2"/>
      <scheme val="minor"/>
    </font>
    <font>
      <b/>
      <sz val="12"/>
      <color theme="1"/>
      <name val="Castellar"/>
      <family val="1"/>
    </font>
    <font>
      <sz val="8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3" tint="0.79998168889431442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256">
    <xf numFmtId="0" fontId="0" fillId="0" borderId="0" xfId="0"/>
    <xf numFmtId="0" fontId="0" fillId="0" borderId="2" xfId="0" applyBorder="1"/>
    <xf numFmtId="0" fontId="4" fillId="0" borderId="2" xfId="0" applyFont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/>
    </xf>
    <xf numFmtId="14" fontId="7" fillId="5" borderId="4" xfId="0" applyNumberFormat="1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8" fillId="9" borderId="17" xfId="0" applyFont="1" applyFill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/>
    </xf>
    <xf numFmtId="2" fontId="11" fillId="10" borderId="19" xfId="0" applyNumberFormat="1" applyFont="1" applyFill="1" applyBorder="1" applyAlignment="1">
      <alignment horizontal="center" vertical="center"/>
    </xf>
    <xf numFmtId="164" fontId="9" fillId="9" borderId="2" xfId="0" applyNumberFormat="1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164" fontId="9" fillId="8" borderId="2" xfId="0" applyNumberFormat="1" applyFont="1" applyFill="1" applyBorder="1" applyAlignment="1">
      <alignment horizontal="center" vertical="center" wrapText="1"/>
    </xf>
    <xf numFmtId="164" fontId="12" fillId="0" borderId="2" xfId="0" applyNumberFormat="1" applyFont="1" applyBorder="1" applyAlignment="1">
      <alignment horizontal="center" vertical="center" wrapText="1"/>
    </xf>
    <xf numFmtId="0" fontId="13" fillId="0" borderId="19" xfId="0" applyFont="1" applyBorder="1" applyAlignment="1">
      <alignment horizontal="center" vertical="center"/>
    </xf>
    <xf numFmtId="0" fontId="14" fillId="0" borderId="19" xfId="0" applyFont="1" applyBorder="1" applyAlignment="1">
      <alignment horizontal="center"/>
    </xf>
    <xf numFmtId="0" fontId="15" fillId="0" borderId="19" xfId="0" applyFont="1" applyBorder="1" applyAlignment="1">
      <alignment horizontal="center" vertical="center"/>
    </xf>
    <xf numFmtId="164" fontId="2" fillId="0" borderId="19" xfId="0" applyNumberFormat="1" applyFont="1" applyBorder="1" applyAlignment="1">
      <alignment horizontal="center" vertical="center"/>
    </xf>
    <xf numFmtId="2" fontId="15" fillId="0" borderId="19" xfId="0" applyNumberFormat="1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2" fontId="11" fillId="9" borderId="19" xfId="0" applyNumberFormat="1" applyFont="1" applyFill="1" applyBorder="1" applyAlignment="1">
      <alignment horizontal="center" vertical="center"/>
    </xf>
    <xf numFmtId="164" fontId="2" fillId="8" borderId="19" xfId="0" applyNumberFormat="1" applyFont="1" applyFill="1" applyBorder="1" applyAlignment="1">
      <alignment horizontal="center" vertical="center"/>
    </xf>
    <xf numFmtId="2" fontId="2" fillId="0" borderId="11" xfId="0" applyNumberFormat="1" applyFont="1" applyBorder="1" applyAlignment="1">
      <alignment horizontal="center" vertical="center"/>
    </xf>
    <xf numFmtId="0" fontId="16" fillId="0" borderId="19" xfId="0" applyFont="1" applyBorder="1" applyAlignment="1">
      <alignment horizontal="center"/>
    </xf>
    <xf numFmtId="0" fontId="16" fillId="0" borderId="19" xfId="0" applyFont="1" applyBorder="1"/>
    <xf numFmtId="0" fontId="15" fillId="0" borderId="0" xfId="0" applyFont="1" applyAlignment="1">
      <alignment horizontal="center" vertical="center"/>
    </xf>
    <xf numFmtId="0" fontId="8" fillId="0" borderId="20" xfId="0" applyFont="1" applyBorder="1" applyAlignment="1">
      <alignment horizontal="center" vertical="center" wrapText="1"/>
    </xf>
    <xf numFmtId="2" fontId="11" fillId="9" borderId="2" xfId="0" applyNumberFormat="1" applyFont="1" applyFill="1" applyBorder="1" applyAlignment="1">
      <alignment horizontal="center" vertical="center"/>
    </xf>
    <xf numFmtId="0" fontId="16" fillId="0" borderId="2" xfId="0" applyFont="1" applyBorder="1" applyAlignment="1">
      <alignment horizontal="center"/>
    </xf>
    <xf numFmtId="0" fontId="17" fillId="0" borderId="2" xfId="0" applyFont="1" applyBorder="1"/>
    <xf numFmtId="0" fontId="14" fillId="0" borderId="2" xfId="0" applyFont="1" applyBorder="1" applyAlignment="1">
      <alignment horizontal="center"/>
    </xf>
    <xf numFmtId="2" fontId="2" fillId="0" borderId="19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8" fillId="0" borderId="2" xfId="0" applyFont="1" applyBorder="1"/>
    <xf numFmtId="0" fontId="19" fillId="0" borderId="2" xfId="0" applyFont="1" applyBorder="1"/>
    <xf numFmtId="2" fontId="0" fillId="0" borderId="0" xfId="0" applyNumberFormat="1"/>
    <xf numFmtId="0" fontId="21" fillId="7" borderId="2" xfId="0" applyFont="1" applyFill="1" applyBorder="1" applyAlignment="1">
      <alignment vertical="center"/>
    </xf>
    <xf numFmtId="1" fontId="21" fillId="7" borderId="2" xfId="0" applyNumberFormat="1" applyFont="1" applyFill="1" applyBorder="1" applyAlignment="1">
      <alignment vertical="center"/>
    </xf>
    <xf numFmtId="164" fontId="21" fillId="7" borderId="2" xfId="0" applyNumberFormat="1" applyFont="1" applyFill="1" applyBorder="1" applyAlignment="1">
      <alignment vertical="center"/>
    </xf>
    <xf numFmtId="1" fontId="2" fillId="11" borderId="2" xfId="0" applyNumberFormat="1" applyFont="1" applyFill="1" applyBorder="1" applyAlignment="1">
      <alignment horizontal="center" vertical="center"/>
    </xf>
    <xf numFmtId="164" fontId="2" fillId="6" borderId="2" xfId="0" applyNumberFormat="1" applyFont="1" applyFill="1" applyBorder="1" applyAlignment="1">
      <alignment horizontal="center" vertical="center"/>
    </xf>
    <xf numFmtId="0" fontId="22" fillId="0" borderId="2" xfId="0" applyFont="1" applyBorder="1" applyAlignment="1">
      <alignment horizontal="center"/>
    </xf>
    <xf numFmtId="164" fontId="0" fillId="0" borderId="0" xfId="0" applyNumberFormat="1"/>
    <xf numFmtId="164" fontId="2" fillId="6" borderId="17" xfId="0" applyNumberFormat="1" applyFont="1" applyFill="1" applyBorder="1" applyAlignment="1">
      <alignment horizontal="center" vertical="center"/>
    </xf>
    <xf numFmtId="2" fontId="2" fillId="0" borderId="18" xfId="0" applyNumberFormat="1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4" fillId="0" borderId="15" xfId="0" applyFont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 wrapText="1"/>
    </xf>
    <xf numFmtId="2" fontId="11" fillId="10" borderId="15" xfId="0" applyNumberFormat="1" applyFont="1" applyFill="1" applyBorder="1" applyAlignment="1">
      <alignment horizontal="center" vertical="center"/>
    </xf>
    <xf numFmtId="2" fontId="15" fillId="0" borderId="2" xfId="0" applyNumberFormat="1" applyFont="1" applyBorder="1" applyAlignment="1">
      <alignment horizontal="center" vertical="center"/>
    </xf>
    <xf numFmtId="2" fontId="11" fillId="9" borderId="15" xfId="0" applyNumberFormat="1" applyFont="1" applyFill="1" applyBorder="1" applyAlignment="1">
      <alignment horizontal="center" vertical="center"/>
    </xf>
    <xf numFmtId="164" fontId="2" fillId="0" borderId="15" xfId="0" applyNumberFormat="1" applyFont="1" applyBorder="1" applyAlignment="1">
      <alignment horizontal="center" vertical="center"/>
    </xf>
    <xf numFmtId="164" fontId="2" fillId="8" borderId="15" xfId="0" applyNumberFormat="1" applyFont="1" applyFill="1" applyBorder="1" applyAlignment="1">
      <alignment horizontal="center" vertical="center"/>
    </xf>
    <xf numFmtId="2" fontId="2" fillId="0" borderId="15" xfId="0" applyNumberFormat="1" applyFont="1" applyBorder="1" applyAlignment="1">
      <alignment horizontal="center" vertical="center"/>
    </xf>
    <xf numFmtId="0" fontId="19" fillId="0" borderId="15" xfId="0" applyFont="1" applyBorder="1"/>
    <xf numFmtId="0" fontId="13" fillId="0" borderId="15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2" fontId="15" fillId="0" borderId="17" xfId="0" applyNumberFormat="1" applyFont="1" applyBorder="1" applyAlignment="1">
      <alignment horizontal="center" vertical="center"/>
    </xf>
    <xf numFmtId="0" fontId="22" fillId="0" borderId="15" xfId="0" applyFont="1" applyBorder="1" applyAlignment="1">
      <alignment vertical="center"/>
    </xf>
    <xf numFmtId="0" fontId="20" fillId="7" borderId="9" xfId="0" applyFont="1" applyFill="1" applyBorder="1" applyAlignment="1">
      <alignment vertical="center"/>
    </xf>
    <xf numFmtId="1" fontId="21" fillId="7" borderId="9" xfId="0" applyNumberFormat="1" applyFont="1" applyFill="1" applyBorder="1" applyAlignment="1">
      <alignment vertical="center"/>
    </xf>
    <xf numFmtId="0" fontId="21" fillId="7" borderId="9" xfId="0" applyFont="1" applyFill="1" applyBorder="1" applyAlignment="1">
      <alignment vertical="center"/>
    </xf>
    <xf numFmtId="2" fontId="13" fillId="6" borderId="10" xfId="0" applyNumberFormat="1" applyFont="1" applyFill="1" applyBorder="1" applyAlignment="1">
      <alignment horizontal="center" vertical="center"/>
    </xf>
    <xf numFmtId="164" fontId="2" fillId="11" borderId="2" xfId="0" applyNumberFormat="1" applyFont="1" applyFill="1" applyBorder="1" applyAlignment="1">
      <alignment horizontal="center" vertical="center"/>
    </xf>
    <xf numFmtId="2" fontId="2" fillId="0" borderId="8" xfId="0" applyNumberFormat="1" applyFont="1" applyBorder="1" applyAlignment="1">
      <alignment horizontal="center" vertical="center"/>
    </xf>
    <xf numFmtId="1" fontId="0" fillId="0" borderId="0" xfId="0" applyNumberFormat="1"/>
    <xf numFmtId="0" fontId="9" fillId="0" borderId="15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0" fillId="0" borderId="0" xfId="0" applyNumberFormat="1"/>
    <xf numFmtId="0" fontId="13" fillId="0" borderId="2" xfId="0" applyFont="1" applyBorder="1" applyAlignment="1">
      <alignment horizontal="center" vertical="center"/>
    </xf>
    <xf numFmtId="0" fontId="24" fillId="0" borderId="2" xfId="0" applyFont="1" applyBorder="1"/>
    <xf numFmtId="2" fontId="11" fillId="10" borderId="2" xfId="0" applyNumberFormat="1" applyFont="1" applyFill="1" applyBorder="1" applyAlignment="1">
      <alignment horizontal="center" vertical="center"/>
    </xf>
    <xf numFmtId="164" fontId="2" fillId="8" borderId="2" xfId="0" applyNumberFormat="1" applyFont="1" applyFill="1" applyBorder="1" applyAlignment="1">
      <alignment horizontal="center" vertical="center"/>
    </xf>
    <xf numFmtId="0" fontId="24" fillId="0" borderId="2" xfId="0" applyFont="1" applyBorder="1" applyAlignment="1">
      <alignment wrapText="1"/>
    </xf>
    <xf numFmtId="0" fontId="8" fillId="0" borderId="19" xfId="0" applyFont="1" applyBorder="1" applyAlignment="1">
      <alignment horizontal="center" vertical="center" wrapText="1"/>
    </xf>
    <xf numFmtId="0" fontId="8" fillId="9" borderId="2" xfId="0" applyFont="1" applyFill="1" applyBorder="1" applyAlignment="1">
      <alignment horizontal="center" vertical="center" wrapText="1"/>
    </xf>
    <xf numFmtId="0" fontId="15" fillId="12" borderId="2" xfId="0" applyFont="1" applyFill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0" fontId="21" fillId="0" borderId="2" xfId="0" applyFont="1" applyBorder="1" applyAlignment="1">
      <alignment horizontal="center"/>
    </xf>
    <xf numFmtId="2" fontId="11" fillId="0" borderId="19" xfId="0" applyNumberFormat="1" applyFont="1" applyBorder="1" applyAlignment="1">
      <alignment horizontal="center" vertical="center"/>
    </xf>
    <xf numFmtId="0" fontId="25" fillId="0" borderId="2" xfId="0" applyFont="1" applyBorder="1" applyAlignment="1">
      <alignment wrapText="1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20" fillId="7" borderId="12" xfId="0" applyFont="1" applyFill="1" applyBorder="1" applyAlignment="1">
      <alignment vertical="center"/>
    </xf>
    <xf numFmtId="1" fontId="21" fillId="7" borderId="12" xfId="0" applyNumberFormat="1" applyFont="1" applyFill="1" applyBorder="1" applyAlignment="1">
      <alignment vertical="center"/>
    </xf>
    <xf numFmtId="0" fontId="21" fillId="7" borderId="12" xfId="0" applyFont="1" applyFill="1" applyBorder="1" applyAlignment="1">
      <alignment vertical="center"/>
    </xf>
    <xf numFmtId="2" fontId="13" fillId="6" borderId="13" xfId="0" applyNumberFormat="1" applyFont="1" applyFill="1" applyBorder="1" applyAlignment="1">
      <alignment horizontal="center" vertical="center"/>
    </xf>
    <xf numFmtId="164" fontId="20" fillId="3" borderId="1" xfId="0" applyNumberFormat="1" applyFont="1" applyFill="1" applyBorder="1" applyAlignment="1">
      <alignment vertical="center"/>
    </xf>
    <xf numFmtId="164" fontId="26" fillId="6" borderId="19" xfId="0" applyNumberFormat="1" applyFont="1" applyFill="1" applyBorder="1" applyAlignment="1">
      <alignment horizontal="center" vertical="center"/>
    </xf>
    <xf numFmtId="2" fontId="26" fillId="4" borderId="11" xfId="0" applyNumberFormat="1" applyFont="1" applyFill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4" fontId="27" fillId="4" borderId="5" xfId="0" applyNumberFormat="1" applyFont="1" applyFill="1" applyBorder="1" applyAlignment="1">
      <alignment horizontal="right" vertical="center"/>
    </xf>
    <xf numFmtId="14" fontId="28" fillId="5" borderId="5" xfId="0" applyNumberFormat="1" applyFont="1" applyFill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1" fillId="0" borderId="0" xfId="0" applyFont="1"/>
    <xf numFmtId="0" fontId="4" fillId="13" borderId="2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wrapText="1"/>
    </xf>
    <xf numFmtId="0" fontId="14" fillId="0" borderId="19" xfId="0" applyFont="1" applyBorder="1" applyAlignment="1">
      <alignment horizontal="center" vertical="center" wrapText="1"/>
    </xf>
    <xf numFmtId="0" fontId="4" fillId="13" borderId="19" xfId="0" applyFont="1" applyFill="1" applyBorder="1" applyAlignment="1">
      <alignment horizontal="center" vertical="center" wrapText="1"/>
    </xf>
    <xf numFmtId="0" fontId="21" fillId="0" borderId="19" xfId="0" applyFont="1" applyBorder="1" applyAlignment="1">
      <alignment horizontal="center" vertical="center" wrapText="1"/>
    </xf>
    <xf numFmtId="2" fontId="15" fillId="13" borderId="2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right" vertical="center"/>
    </xf>
    <xf numFmtId="0" fontId="13" fillId="0" borderId="19" xfId="0" applyFont="1" applyBorder="1" applyAlignment="1">
      <alignment horizontal="center" vertical="center" wrapText="1"/>
    </xf>
    <xf numFmtId="2" fontId="15" fillId="13" borderId="19" xfId="0" applyNumberFormat="1" applyFont="1" applyFill="1" applyBorder="1" applyAlignment="1">
      <alignment horizontal="center" vertical="center"/>
    </xf>
    <xf numFmtId="2" fontId="21" fillId="0" borderId="19" xfId="0" applyNumberFormat="1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 wrapText="1"/>
    </xf>
    <xf numFmtId="0" fontId="29" fillId="0" borderId="0" xfId="0" applyFont="1"/>
    <xf numFmtId="0" fontId="30" fillId="0" borderId="2" xfId="0" applyFont="1" applyBorder="1" applyAlignment="1">
      <alignment horizontal="center"/>
    </xf>
    <xf numFmtId="0" fontId="31" fillId="0" borderId="2" xfId="0" applyFont="1" applyBorder="1" applyAlignment="1">
      <alignment horizontal="center"/>
    </xf>
    <xf numFmtId="1" fontId="21" fillId="0" borderId="19" xfId="0" applyNumberFormat="1" applyFont="1" applyBorder="1" applyAlignment="1">
      <alignment horizontal="center" vertical="center" wrapText="1"/>
    </xf>
    <xf numFmtId="0" fontId="30" fillId="0" borderId="15" xfId="0" applyFont="1" applyBorder="1" applyAlignment="1">
      <alignment horizontal="center"/>
    </xf>
    <xf numFmtId="0" fontId="14" fillId="0" borderId="15" xfId="0" applyFont="1" applyBorder="1" applyAlignment="1">
      <alignment horizontal="center" vertical="center" wrapText="1"/>
    </xf>
    <xf numFmtId="0" fontId="21" fillId="0" borderId="15" xfId="0" applyFont="1" applyBorder="1" applyAlignment="1">
      <alignment horizontal="center" vertical="center" wrapText="1"/>
    </xf>
    <xf numFmtId="2" fontId="15" fillId="13" borderId="15" xfId="0" applyNumberFormat="1" applyFont="1" applyFill="1" applyBorder="1" applyAlignment="1">
      <alignment horizontal="center" vertical="center"/>
    </xf>
    <xf numFmtId="0" fontId="14" fillId="0" borderId="15" xfId="0" applyFont="1" applyBorder="1" applyAlignment="1">
      <alignment horizontal="center"/>
    </xf>
    <xf numFmtId="0" fontId="14" fillId="0" borderId="2" xfId="0" applyFont="1" applyBorder="1" applyAlignment="1">
      <alignment horizontal="center" vertical="center" wrapText="1"/>
    </xf>
    <xf numFmtId="0" fontId="20" fillId="7" borderId="2" xfId="0" applyFont="1" applyFill="1" applyBorder="1" applyAlignment="1">
      <alignment vertical="center"/>
    </xf>
    <xf numFmtId="1" fontId="2" fillId="7" borderId="2" xfId="0" applyNumberFormat="1" applyFont="1" applyFill="1" applyBorder="1" applyAlignment="1">
      <alignment vertical="center"/>
    </xf>
    <xf numFmtId="1" fontId="21" fillId="7" borderId="2" xfId="0" applyNumberFormat="1" applyFont="1" applyFill="1" applyBorder="1" applyAlignment="1">
      <alignment horizontal="center" vertical="center"/>
    </xf>
    <xf numFmtId="2" fontId="21" fillId="7" borderId="2" xfId="0" applyNumberFormat="1" applyFont="1" applyFill="1" applyBorder="1" applyAlignment="1">
      <alignment vertical="center"/>
    </xf>
    <xf numFmtId="1" fontId="26" fillId="6" borderId="2" xfId="0" applyNumberFormat="1" applyFont="1" applyFill="1" applyBorder="1" applyAlignment="1">
      <alignment horizontal="center" vertical="center"/>
    </xf>
    <xf numFmtId="164" fontId="26" fillId="11" borderId="2" xfId="0" applyNumberFormat="1" applyFont="1" applyFill="1" applyBorder="1" applyAlignment="1">
      <alignment horizontal="center" vertical="center"/>
    </xf>
    <xf numFmtId="164" fontId="22" fillId="0" borderId="2" xfId="0" applyNumberFormat="1" applyFont="1" applyBorder="1" applyAlignment="1">
      <alignment horizontal="center"/>
    </xf>
    <xf numFmtId="2" fontId="0" fillId="0" borderId="2" xfId="0" applyNumberFormat="1" applyBorder="1"/>
    <xf numFmtId="164" fontId="26" fillId="11" borderId="17" xfId="0" applyNumberFormat="1" applyFont="1" applyFill="1" applyBorder="1" applyAlignment="1">
      <alignment horizontal="center" vertical="center"/>
    </xf>
    <xf numFmtId="2" fontId="2" fillId="11" borderId="18" xfId="0" applyNumberFormat="1" applyFont="1" applyFill="1" applyBorder="1" applyAlignment="1">
      <alignment horizontal="center" vertical="center"/>
    </xf>
    <xf numFmtId="0" fontId="19" fillId="0" borderId="19" xfId="0" applyFont="1" applyBorder="1"/>
    <xf numFmtId="0" fontId="32" fillId="0" borderId="2" xfId="0" applyFont="1" applyBorder="1" applyAlignment="1">
      <alignment horizontal="center" wrapText="1"/>
    </xf>
    <xf numFmtId="0" fontId="33" fillId="0" borderId="2" xfId="0" applyFont="1" applyBorder="1" applyAlignment="1">
      <alignment horizontal="center" vertical="center"/>
    </xf>
    <xf numFmtId="0" fontId="15" fillId="0" borderId="17" xfId="0" applyFont="1" applyBorder="1" applyAlignment="1">
      <alignment horizontal="center" vertical="center"/>
    </xf>
    <xf numFmtId="0" fontId="22" fillId="0" borderId="2" xfId="0" applyFont="1" applyBorder="1"/>
    <xf numFmtId="0" fontId="34" fillId="0" borderId="2" xfId="0" applyFont="1" applyBorder="1" applyAlignment="1">
      <alignment horizontal="center"/>
    </xf>
    <xf numFmtId="0" fontId="35" fillId="0" borderId="2" xfId="0" applyFont="1" applyBorder="1" applyAlignment="1">
      <alignment horizontal="center"/>
    </xf>
    <xf numFmtId="0" fontId="35" fillId="0" borderId="9" xfId="0" applyFont="1" applyBorder="1" applyAlignment="1">
      <alignment horizontal="center"/>
    </xf>
    <xf numFmtId="0" fontId="36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34" fillId="0" borderId="10" xfId="0" applyFont="1" applyBorder="1" applyAlignment="1">
      <alignment horizontal="center"/>
    </xf>
    <xf numFmtId="0" fontId="13" fillId="0" borderId="8" xfId="0" applyFont="1" applyBorder="1" applyAlignment="1">
      <alignment horizontal="center" vertical="center"/>
    </xf>
    <xf numFmtId="0" fontId="11" fillId="9" borderId="2" xfId="0" applyFont="1" applyFill="1" applyBorder="1" applyAlignment="1">
      <alignment horizontal="center" vertical="center"/>
    </xf>
    <xf numFmtId="164" fontId="11" fillId="14" borderId="2" xfId="0" applyNumberFormat="1" applyFont="1" applyFill="1" applyBorder="1" applyAlignment="1">
      <alignment horizontal="center" vertical="center"/>
    </xf>
    <xf numFmtId="164" fontId="26" fillId="9" borderId="2" xfId="0" applyNumberFormat="1" applyFont="1" applyFill="1" applyBorder="1" applyAlignment="1">
      <alignment horizontal="center" vertical="center"/>
    </xf>
    <xf numFmtId="0" fontId="20" fillId="8" borderId="32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2" fontId="2" fillId="8" borderId="1" xfId="0" applyNumberFormat="1" applyFont="1" applyFill="1" applyBorder="1" applyAlignment="1">
      <alignment horizontal="center" vertical="center"/>
    </xf>
    <xf numFmtId="0" fontId="37" fillId="8" borderId="1" xfId="0" applyFont="1" applyFill="1" applyBorder="1" applyAlignment="1">
      <alignment horizontal="center" vertical="center"/>
    </xf>
    <xf numFmtId="0" fontId="19" fillId="0" borderId="0" xfId="0" applyFont="1"/>
    <xf numFmtId="0" fontId="22" fillId="0" borderId="0" xfId="0" applyFont="1"/>
    <xf numFmtId="0" fontId="19" fillId="12" borderId="0" xfId="0" applyFont="1" applyFill="1"/>
    <xf numFmtId="0" fontId="22" fillId="12" borderId="2" xfId="0" applyFont="1" applyFill="1" applyBorder="1" applyAlignment="1">
      <alignment horizontal="center" vertical="center"/>
    </xf>
    <xf numFmtId="14" fontId="39" fillId="15" borderId="2" xfId="0" applyNumberFormat="1" applyFont="1" applyFill="1" applyBorder="1" applyAlignment="1">
      <alignment horizontal="center" vertical="center"/>
    </xf>
    <xf numFmtId="164" fontId="19" fillId="0" borderId="0" xfId="0" applyNumberFormat="1" applyFont="1"/>
    <xf numFmtId="0" fontId="2" fillId="0" borderId="0" xfId="0" applyFont="1"/>
    <xf numFmtId="2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2" fontId="41" fillId="0" borderId="2" xfId="0" applyNumberFormat="1" applyFont="1" applyBorder="1" applyAlignment="1">
      <alignment horizontal="center"/>
    </xf>
    <xf numFmtId="0" fontId="42" fillId="0" borderId="2" xfId="0" applyFont="1" applyBorder="1"/>
    <xf numFmtId="164" fontId="1" fillId="0" borderId="0" xfId="0" applyNumberFormat="1" applyFont="1"/>
    <xf numFmtId="2" fontId="41" fillId="0" borderId="15" xfId="0" applyNumberFormat="1" applyFont="1" applyBorder="1" applyAlignment="1">
      <alignment horizontal="center"/>
    </xf>
    <xf numFmtId="2" fontId="44" fillId="6" borderId="33" xfId="0" applyNumberFormat="1" applyFont="1" applyFill="1" applyBorder="1" applyAlignment="1">
      <alignment horizontal="center" wrapText="1"/>
    </xf>
    <xf numFmtId="0" fontId="13" fillId="0" borderId="20" xfId="0" applyFont="1" applyBorder="1" applyAlignment="1">
      <alignment horizontal="center" vertical="center"/>
    </xf>
    <xf numFmtId="2" fontId="4" fillId="0" borderId="2" xfId="0" applyNumberFormat="1" applyFont="1" applyBorder="1" applyAlignment="1">
      <alignment horizontal="center" vertical="center" wrapText="1"/>
    </xf>
    <xf numFmtId="1" fontId="2" fillId="0" borderId="11" xfId="0" applyNumberFormat="1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 wrapText="1"/>
    </xf>
    <xf numFmtId="164" fontId="12" fillId="0" borderId="11" xfId="0" applyNumberFormat="1" applyFont="1" applyBorder="1" applyAlignment="1">
      <alignment horizontal="center" vertical="center" wrapText="1"/>
    </xf>
    <xf numFmtId="0" fontId="34" fillId="0" borderId="9" xfId="0" applyFont="1" applyBorder="1" applyAlignment="1">
      <alignment horizontal="center"/>
    </xf>
    <xf numFmtId="0" fontId="17" fillId="0" borderId="2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20" fillId="7" borderId="10" xfId="0" applyFont="1" applyFill="1" applyBorder="1" applyAlignment="1">
      <alignment horizontal="center" vertical="center"/>
    </xf>
    <xf numFmtId="0" fontId="20" fillId="7" borderId="9" xfId="0" applyFont="1" applyFill="1" applyBorder="1" applyAlignment="1">
      <alignment horizontal="center" vertical="center"/>
    </xf>
    <xf numFmtId="0" fontId="20" fillId="7" borderId="1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20" fillId="7" borderId="34" xfId="0" applyFont="1" applyFill="1" applyBorder="1" applyAlignment="1">
      <alignment horizontal="center" vertical="center"/>
    </xf>
    <xf numFmtId="0" fontId="8" fillId="0" borderId="35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17" borderId="17" xfId="0" applyFont="1" applyFill="1" applyBorder="1" applyAlignment="1">
      <alignment horizontal="center" vertical="center" wrapText="1"/>
    </xf>
    <xf numFmtId="0" fontId="10" fillId="0" borderId="19" xfId="0" applyFont="1" applyBorder="1" applyAlignment="1">
      <alignment horizontal="center"/>
    </xf>
    <xf numFmtId="0" fontId="26" fillId="0" borderId="2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/>
    </xf>
    <xf numFmtId="0" fontId="34" fillId="0" borderId="8" xfId="0" applyFont="1" applyBorder="1" applyAlignment="1">
      <alignment horizontal="center"/>
    </xf>
    <xf numFmtId="0" fontId="40" fillId="16" borderId="8" xfId="0" applyFont="1" applyFill="1" applyBorder="1" applyAlignment="1">
      <alignment horizontal="left"/>
    </xf>
    <xf numFmtId="0" fontId="40" fillId="16" borderId="9" xfId="0" applyFont="1" applyFill="1" applyBorder="1" applyAlignment="1">
      <alignment horizontal="left"/>
    </xf>
    <xf numFmtId="0" fontId="40" fillId="16" borderId="10" xfId="0" applyFont="1" applyFill="1" applyBorder="1" applyAlignment="1">
      <alignment horizontal="left"/>
    </xf>
    <xf numFmtId="0" fontId="40" fillId="2" borderId="8" xfId="0" applyFont="1" applyFill="1" applyBorder="1" applyAlignment="1">
      <alignment horizontal="center"/>
    </xf>
    <xf numFmtId="0" fontId="40" fillId="2" borderId="9" xfId="0" applyFont="1" applyFill="1" applyBorder="1" applyAlignment="1">
      <alignment horizontal="center"/>
    </xf>
    <xf numFmtId="164" fontId="43" fillId="0" borderId="2" xfId="0" applyNumberFormat="1" applyFont="1" applyBorder="1" applyAlignment="1">
      <alignment horizontal="center"/>
    </xf>
    <xf numFmtId="0" fontId="8" fillId="0" borderId="14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20" fillId="7" borderId="8" xfId="0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0" fontId="38" fillId="12" borderId="2" xfId="0" applyFont="1" applyFill="1" applyBorder="1" applyAlignment="1">
      <alignment horizontal="center" vertical="center"/>
    </xf>
    <xf numFmtId="14" fontId="22" fillId="12" borderId="2" xfId="0" applyNumberFormat="1" applyFont="1" applyFill="1" applyBorder="1" applyAlignment="1">
      <alignment horizontal="center" vertical="center"/>
    </xf>
    <xf numFmtId="0" fontId="22" fillId="12" borderId="2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9" fillId="8" borderId="15" xfId="0" applyFont="1" applyFill="1" applyBorder="1" applyAlignment="1">
      <alignment horizontal="center" vertical="center" wrapText="1"/>
    </xf>
    <xf numFmtId="0" fontId="9" fillId="8" borderId="19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23" fillId="3" borderId="21" xfId="0" applyFont="1" applyFill="1" applyBorder="1" applyAlignment="1">
      <alignment horizontal="center" vertical="center"/>
    </xf>
    <xf numFmtId="0" fontId="23" fillId="3" borderId="0" xfId="0" applyFont="1" applyFill="1" applyAlignment="1">
      <alignment horizontal="center" vertical="center"/>
    </xf>
    <xf numFmtId="0" fontId="23" fillId="3" borderId="20" xfId="0" applyFont="1" applyFill="1" applyBorder="1" applyAlignment="1">
      <alignment horizontal="center" vertical="center"/>
    </xf>
    <xf numFmtId="0" fontId="8" fillId="0" borderId="6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 wrapText="1"/>
    </xf>
    <xf numFmtId="0" fontId="8" fillId="6" borderId="8" xfId="0" applyFont="1" applyFill="1" applyBorder="1" applyAlignment="1">
      <alignment horizontal="center" vertical="center" wrapText="1"/>
    </xf>
    <xf numFmtId="0" fontId="8" fillId="6" borderId="9" xfId="0" applyFont="1" applyFill="1" applyBorder="1" applyAlignment="1">
      <alignment horizontal="center" vertical="center" wrapText="1"/>
    </xf>
    <xf numFmtId="0" fontId="8" fillId="6" borderId="10" xfId="0" applyFont="1" applyFill="1" applyBorder="1" applyAlignment="1">
      <alignment horizontal="center" vertical="center" wrapText="1"/>
    </xf>
    <xf numFmtId="0" fontId="8" fillId="7" borderId="8" xfId="0" applyFont="1" applyFill="1" applyBorder="1" applyAlignment="1">
      <alignment horizontal="center" vertical="center" wrapText="1"/>
    </xf>
    <xf numFmtId="0" fontId="8" fillId="7" borderId="9" xfId="0" applyFont="1" applyFill="1" applyBorder="1" applyAlignment="1">
      <alignment horizontal="center" vertical="center" wrapText="1"/>
    </xf>
    <xf numFmtId="0" fontId="8" fillId="7" borderId="10" xfId="0" applyFont="1" applyFill="1" applyBorder="1" applyAlignment="1">
      <alignment horizontal="center" vertical="center" wrapText="1"/>
    </xf>
    <xf numFmtId="0" fontId="8" fillId="8" borderId="7" xfId="0" applyFont="1" applyFill="1" applyBorder="1" applyAlignment="1">
      <alignment horizontal="center" vertical="center" wrapText="1"/>
    </xf>
    <xf numFmtId="0" fontId="8" fillId="8" borderId="24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20" fillId="7" borderId="11" xfId="0" applyFont="1" applyFill="1" applyBorder="1" applyAlignment="1">
      <alignment horizontal="center" vertical="center"/>
    </xf>
    <xf numFmtId="0" fontId="20" fillId="7" borderId="12" xfId="0" applyFont="1" applyFill="1" applyBorder="1" applyAlignment="1">
      <alignment horizontal="center" vertical="center"/>
    </xf>
    <xf numFmtId="0" fontId="23" fillId="3" borderId="31" xfId="0" applyFont="1" applyFill="1" applyBorder="1" applyAlignment="1">
      <alignment horizontal="center" vertical="center"/>
    </xf>
    <xf numFmtId="0" fontId="23" fillId="3" borderId="5" xfId="0" applyFont="1" applyFill="1" applyBorder="1" applyAlignment="1">
      <alignment horizontal="center" vertical="center"/>
    </xf>
    <xf numFmtId="0" fontId="8" fillId="6" borderId="8" xfId="0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center" vertical="center"/>
    </xf>
    <xf numFmtId="0" fontId="8" fillId="6" borderId="10" xfId="0" applyFont="1" applyFill="1" applyBorder="1" applyAlignment="1">
      <alignment horizontal="center" vertical="center"/>
    </xf>
    <xf numFmtId="0" fontId="8" fillId="7" borderId="8" xfId="0" applyFont="1" applyFill="1" applyBorder="1" applyAlignment="1">
      <alignment horizontal="center" vertical="center"/>
    </xf>
    <xf numFmtId="0" fontId="8" fillId="7" borderId="9" xfId="0" applyFont="1" applyFill="1" applyBorder="1" applyAlignment="1">
      <alignment horizontal="center" vertical="center"/>
    </xf>
    <xf numFmtId="0" fontId="8" fillId="7" borderId="10" xfId="0" applyFont="1" applyFill="1" applyBorder="1" applyAlignment="1">
      <alignment horizontal="center" vertical="center"/>
    </xf>
    <xf numFmtId="0" fontId="20" fillId="7" borderId="9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 wrapText="1"/>
    </xf>
    <xf numFmtId="0" fontId="8" fillId="7" borderId="2" xfId="0" applyFont="1" applyFill="1" applyBorder="1" applyAlignment="1">
      <alignment horizontal="center" vertical="center" wrapText="1"/>
    </xf>
    <xf numFmtId="0" fontId="8" fillId="8" borderId="17" xfId="0" applyFont="1" applyFill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20" fillId="7" borderId="27" xfId="0" applyFont="1" applyFill="1" applyBorder="1" applyAlignment="1">
      <alignment horizontal="center" vertical="center"/>
    </xf>
    <xf numFmtId="0" fontId="20" fillId="7" borderId="28" xfId="0" applyFont="1" applyFill="1" applyBorder="1" applyAlignment="1">
      <alignment horizontal="center" vertical="center"/>
    </xf>
    <xf numFmtId="0" fontId="23" fillId="3" borderId="29" xfId="0" applyFont="1" applyFill="1" applyBorder="1" applyAlignment="1">
      <alignment horizontal="center" vertical="center"/>
    </xf>
    <xf numFmtId="0" fontId="23" fillId="3" borderId="30" xfId="0" applyFont="1" applyFill="1" applyBorder="1" applyAlignment="1">
      <alignment horizontal="center" vertical="center"/>
    </xf>
    <xf numFmtId="0" fontId="23" fillId="3" borderId="22" xfId="0" applyFont="1" applyFill="1" applyBorder="1" applyAlignment="1">
      <alignment horizontal="center" vertical="center"/>
    </xf>
    <xf numFmtId="0" fontId="8" fillId="0" borderId="15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23" fillId="3" borderId="3" xfId="0" applyFont="1" applyFill="1" applyBorder="1" applyAlignment="1">
      <alignment horizontal="center" vertical="center"/>
    </xf>
    <xf numFmtId="0" fontId="23" fillId="3" borderId="4" xfId="0" applyFont="1" applyFill="1" applyBorder="1" applyAlignment="1">
      <alignment horizontal="center" vertical="center"/>
    </xf>
    <xf numFmtId="0" fontId="8" fillId="0" borderId="16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8" fillId="7" borderId="11" xfId="0" applyFont="1" applyFill="1" applyBorder="1" applyAlignment="1">
      <alignment horizontal="center" vertical="center" wrapText="1"/>
    </xf>
    <xf numFmtId="0" fontId="8" fillId="7" borderId="12" xfId="0" applyFont="1" applyFill="1" applyBorder="1" applyAlignment="1">
      <alignment horizontal="center" vertical="center" wrapText="1"/>
    </xf>
    <xf numFmtId="0" fontId="8" fillId="7" borderId="13" xfId="0" applyFont="1" applyFill="1" applyBorder="1" applyAlignment="1">
      <alignment horizontal="center" vertical="center" wrapText="1"/>
    </xf>
  </cellXfs>
  <cellStyles count="1">
    <cellStyle name="Normal" xfId="0" builtinId="0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C0832-7DB1-41F2-9C71-EDF2E671C188}">
  <dimension ref="A1:AA154"/>
  <sheetViews>
    <sheetView topLeftCell="A37" zoomScale="71" zoomScaleNormal="71" workbookViewId="0">
      <selection activeCell="D153" sqref="D153"/>
    </sheetView>
  </sheetViews>
  <sheetFormatPr defaultColWidth="9" defaultRowHeight="14.4"/>
  <cols>
    <col min="1" max="1" width="8.5546875" customWidth="1"/>
    <col min="2" max="2" width="29.44140625" bestFit="1" customWidth="1"/>
    <col min="3" max="3" width="11.6640625" customWidth="1"/>
    <col min="4" max="4" width="8.77734375" customWidth="1"/>
    <col min="5" max="5" width="9.77734375" customWidth="1"/>
    <col min="6" max="6" width="13.6640625" customWidth="1"/>
    <col min="7" max="7" width="10" customWidth="1"/>
    <col min="8" max="8" width="9.77734375" customWidth="1"/>
    <col min="9" max="9" width="12.77734375" bestFit="1" customWidth="1"/>
    <col min="10" max="10" width="10.6640625" bestFit="1" customWidth="1"/>
    <col min="11" max="11" width="15.77734375" customWidth="1"/>
    <col min="12" max="12" width="10.77734375" customWidth="1"/>
    <col min="13" max="13" width="12.5546875" customWidth="1"/>
    <col min="14" max="14" width="17.88671875" customWidth="1"/>
    <col min="15" max="15" width="12" customWidth="1"/>
    <col min="16" max="16" width="10.44140625" customWidth="1"/>
    <col min="17" max="17" width="11.109375" bestFit="1" customWidth="1"/>
    <col min="19" max="19" width="9.21875" bestFit="1" customWidth="1"/>
    <col min="20" max="20" width="8.21875" bestFit="1" customWidth="1"/>
    <col min="21" max="22" width="11.21875" customWidth="1"/>
  </cols>
  <sheetData>
    <row r="1" spans="1:22" ht="18.600000000000001" thickBot="1">
      <c r="A1" s="249" t="s">
        <v>0</v>
      </c>
      <c r="B1" s="249"/>
      <c r="C1" s="249"/>
      <c r="D1" s="249"/>
      <c r="E1" s="249"/>
      <c r="F1" s="249"/>
      <c r="G1" s="249"/>
      <c r="H1" s="249"/>
      <c r="I1" s="249"/>
      <c r="J1" s="249"/>
      <c r="K1" s="249"/>
      <c r="L1" s="249"/>
      <c r="M1" s="249"/>
      <c r="N1" s="249"/>
      <c r="O1" s="1"/>
      <c r="V1" s="2"/>
    </row>
    <row r="2" spans="1:22" ht="19.8" customHeight="1" thickBot="1">
      <c r="A2" s="250" t="s">
        <v>1</v>
      </c>
      <c r="B2" s="251"/>
      <c r="C2" s="252"/>
      <c r="D2" s="252"/>
      <c r="E2" s="252"/>
      <c r="F2" s="252"/>
      <c r="G2" s="252"/>
      <c r="H2" s="252"/>
      <c r="I2" s="252"/>
      <c r="J2" s="252"/>
      <c r="K2" s="252"/>
      <c r="L2" s="251"/>
      <c r="M2" s="3" t="s">
        <v>2</v>
      </c>
      <c r="N2" s="4">
        <v>46204</v>
      </c>
      <c r="O2" s="1"/>
    </row>
    <row r="3" spans="1:22" ht="18" customHeight="1">
      <c r="A3" s="209" t="s">
        <v>3</v>
      </c>
      <c r="B3" s="211" t="s">
        <v>4</v>
      </c>
      <c r="C3" s="213" t="s">
        <v>5</v>
      </c>
      <c r="D3" s="214"/>
      <c r="E3" s="214"/>
      <c r="F3" s="214"/>
      <c r="G3" s="215"/>
      <c r="H3" s="253" t="s">
        <v>6</v>
      </c>
      <c r="I3" s="254"/>
      <c r="J3" s="254"/>
      <c r="K3" s="254"/>
      <c r="L3" s="255"/>
      <c r="M3" s="219" t="s">
        <v>7</v>
      </c>
      <c r="N3" s="194" t="s">
        <v>8</v>
      </c>
      <c r="O3" s="243" t="s">
        <v>9</v>
      </c>
      <c r="P3" s="222" t="s">
        <v>10</v>
      </c>
    </row>
    <row r="4" spans="1:22" ht="22.8" customHeight="1">
      <c r="A4" s="247"/>
      <c r="B4" s="248"/>
      <c r="C4" s="6" t="s">
        <v>11</v>
      </c>
      <c r="D4" s="6" t="s">
        <v>12</v>
      </c>
      <c r="E4" s="6" t="s">
        <v>13</v>
      </c>
      <c r="F4" s="6" t="s">
        <v>14</v>
      </c>
      <c r="G4" s="6" t="s">
        <v>8</v>
      </c>
      <c r="H4" s="6" t="s">
        <v>12</v>
      </c>
      <c r="I4" s="6" t="s">
        <v>13</v>
      </c>
      <c r="J4" s="6" t="s">
        <v>14</v>
      </c>
      <c r="K4" s="7" t="s">
        <v>8</v>
      </c>
      <c r="L4" s="8" t="s">
        <v>15</v>
      </c>
      <c r="M4" s="236"/>
      <c r="N4" s="237"/>
      <c r="O4" s="248"/>
      <c r="P4" s="243"/>
    </row>
    <row r="5" spans="1:22" ht="22.8" customHeight="1">
      <c r="A5" s="5">
        <v>1</v>
      </c>
      <c r="B5" s="9" t="s">
        <v>16</v>
      </c>
      <c r="C5" s="2">
        <v>31926.9</v>
      </c>
      <c r="D5" s="2">
        <v>31926.9</v>
      </c>
      <c r="E5" s="2">
        <f>D5-C5</f>
        <v>0</v>
      </c>
      <c r="F5" s="2">
        <v>0</v>
      </c>
      <c r="G5" s="10">
        <f>IFERROR(F5/E5,0)</f>
        <v>0</v>
      </c>
      <c r="H5" s="2">
        <v>31926.9</v>
      </c>
      <c r="I5" s="2">
        <f>H5-D5</f>
        <v>0</v>
      </c>
      <c r="J5" s="2">
        <v>0</v>
      </c>
      <c r="K5" s="11">
        <f>IFERROR(J5/I5,0)</f>
        <v>0</v>
      </c>
      <c r="L5" s="12">
        <f>E5+I5</f>
        <v>0</v>
      </c>
      <c r="M5" s="13">
        <f>F5+J5</f>
        <v>0</v>
      </c>
      <c r="N5" s="14">
        <f>IFERROR(M5/L5,0)</f>
        <v>0</v>
      </c>
      <c r="O5" s="2">
        <v>0</v>
      </c>
      <c r="P5" s="5"/>
    </row>
    <row r="6" spans="1:22" ht="24" customHeight="1">
      <c r="A6" s="15">
        <v>2</v>
      </c>
      <c r="B6" s="16" t="s">
        <v>17</v>
      </c>
      <c r="C6" s="17">
        <v>32493.3</v>
      </c>
      <c r="D6" s="17">
        <v>32493.3</v>
      </c>
      <c r="E6" s="17">
        <f t="shared" ref="E6:E16" si="0">D6-C6</f>
        <v>0</v>
      </c>
      <c r="F6" s="18">
        <v>0</v>
      </c>
      <c r="G6" s="10">
        <f>IFERROR(F6/E6,0)</f>
        <v>0</v>
      </c>
      <c r="H6" s="17">
        <v>32493.3</v>
      </c>
      <c r="I6" s="19">
        <f t="shared" ref="I6:I13" si="1">H6-D6</f>
        <v>0</v>
      </c>
      <c r="J6" s="20">
        <v>0</v>
      </c>
      <c r="K6" s="21">
        <f>IFERROR(J6/I6,0)</f>
        <v>0</v>
      </c>
      <c r="L6" s="18">
        <f>E6+I6</f>
        <v>0</v>
      </c>
      <c r="M6" s="22">
        <f>F6+J6</f>
        <v>0</v>
      </c>
      <c r="N6" s="23">
        <f>IFERROR(M6/L6,0)</f>
        <v>0</v>
      </c>
      <c r="O6" s="24">
        <v>0</v>
      </c>
      <c r="P6" s="25"/>
      <c r="Q6" s="26"/>
    </row>
    <row r="7" spans="1:22" ht="25.8" customHeight="1">
      <c r="A7" s="27">
        <v>3</v>
      </c>
      <c r="B7" s="16" t="s">
        <v>18</v>
      </c>
      <c r="C7" s="17">
        <v>24509</v>
      </c>
      <c r="D7" s="17">
        <v>24509</v>
      </c>
      <c r="E7" s="17">
        <f t="shared" si="0"/>
        <v>0</v>
      </c>
      <c r="F7" s="18">
        <v>0</v>
      </c>
      <c r="G7" s="10">
        <f t="shared" ref="G7:G12" si="2">IFERROR(F7/E7,0)</f>
        <v>0</v>
      </c>
      <c r="H7" s="17">
        <v>24509</v>
      </c>
      <c r="I7" s="19">
        <f t="shared" si="1"/>
        <v>0</v>
      </c>
      <c r="J7" s="20">
        <v>0</v>
      </c>
      <c r="K7" s="28">
        <f t="shared" ref="K7:K13" si="3">IFERROR(J7/I7,0)</f>
        <v>0</v>
      </c>
      <c r="L7" s="18">
        <f t="shared" ref="L7:M14" si="4">E7+I7</f>
        <v>0</v>
      </c>
      <c r="M7" s="22">
        <f t="shared" si="4"/>
        <v>0</v>
      </c>
      <c r="N7" s="23">
        <f t="shared" ref="N7:N16" si="5">IFERROR(M7/L7,0)</f>
        <v>0</v>
      </c>
      <c r="O7" s="29">
        <v>0</v>
      </c>
      <c r="P7" s="30"/>
      <c r="Q7" s="26"/>
      <c r="S7" s="26"/>
    </row>
    <row r="8" spans="1:22" ht="25.8" customHeight="1">
      <c r="A8" s="15">
        <v>4</v>
      </c>
      <c r="B8" s="31" t="s">
        <v>19</v>
      </c>
      <c r="C8" s="17">
        <v>32463.4</v>
      </c>
      <c r="D8" s="17">
        <v>32463.4</v>
      </c>
      <c r="E8" s="17">
        <f t="shared" si="0"/>
        <v>0</v>
      </c>
      <c r="F8" s="32">
        <v>0</v>
      </c>
      <c r="G8" s="10">
        <f t="shared" si="2"/>
        <v>0</v>
      </c>
      <c r="H8" s="17">
        <v>32463.4</v>
      </c>
      <c r="I8" s="19">
        <f t="shared" si="1"/>
        <v>0</v>
      </c>
      <c r="J8" s="33">
        <v>0</v>
      </c>
      <c r="K8" s="28">
        <f t="shared" si="3"/>
        <v>0</v>
      </c>
      <c r="L8" s="18">
        <f t="shared" si="4"/>
        <v>0</v>
      </c>
      <c r="M8" s="22">
        <f t="shared" si="4"/>
        <v>0</v>
      </c>
      <c r="N8" s="23">
        <f t="shared" si="5"/>
        <v>0</v>
      </c>
      <c r="O8" s="29">
        <v>0</v>
      </c>
      <c r="P8" s="30"/>
      <c r="Q8" s="26"/>
      <c r="S8" s="26"/>
    </row>
    <row r="9" spans="1:22" ht="25.8" customHeight="1">
      <c r="A9" s="27">
        <v>5</v>
      </c>
      <c r="B9" s="16" t="s">
        <v>20</v>
      </c>
      <c r="C9" s="17">
        <v>33398.199999999997</v>
      </c>
      <c r="D9" s="17">
        <v>33398.199999999997</v>
      </c>
      <c r="E9" s="17">
        <f t="shared" si="0"/>
        <v>0</v>
      </c>
      <c r="F9" s="34">
        <v>0</v>
      </c>
      <c r="G9" s="10">
        <f t="shared" si="2"/>
        <v>0</v>
      </c>
      <c r="H9" s="17">
        <v>33398.199999999997</v>
      </c>
      <c r="I9" s="19">
        <f t="shared" si="1"/>
        <v>0</v>
      </c>
      <c r="J9" s="33">
        <v>0</v>
      </c>
      <c r="K9" s="28">
        <f t="shared" si="3"/>
        <v>0</v>
      </c>
      <c r="L9" s="18">
        <f t="shared" si="4"/>
        <v>0</v>
      </c>
      <c r="M9" s="22">
        <f t="shared" si="4"/>
        <v>0</v>
      </c>
      <c r="N9" s="23">
        <f t="shared" si="5"/>
        <v>0</v>
      </c>
      <c r="O9" s="29">
        <v>0</v>
      </c>
      <c r="P9" s="30"/>
      <c r="Q9" s="26"/>
      <c r="S9" s="26"/>
    </row>
    <row r="10" spans="1:22" ht="22.8" customHeight="1">
      <c r="A10" s="15">
        <v>6</v>
      </c>
      <c r="B10" s="16" t="s">
        <v>21</v>
      </c>
      <c r="C10" s="17">
        <v>27893.1</v>
      </c>
      <c r="D10" s="17">
        <v>27893.1</v>
      </c>
      <c r="E10" s="17">
        <f t="shared" si="0"/>
        <v>0</v>
      </c>
      <c r="F10" s="32">
        <v>0</v>
      </c>
      <c r="G10" s="10">
        <f t="shared" si="2"/>
        <v>0</v>
      </c>
      <c r="H10" s="17">
        <v>27893.1</v>
      </c>
      <c r="I10" s="19">
        <f t="shared" si="1"/>
        <v>0</v>
      </c>
      <c r="J10" s="20">
        <v>0</v>
      </c>
      <c r="K10" s="28">
        <f t="shared" si="3"/>
        <v>0</v>
      </c>
      <c r="L10" s="18">
        <f t="shared" si="4"/>
        <v>0</v>
      </c>
      <c r="M10" s="22">
        <f t="shared" si="4"/>
        <v>0</v>
      </c>
      <c r="N10" s="23">
        <f t="shared" si="5"/>
        <v>0</v>
      </c>
      <c r="O10" s="29">
        <v>0</v>
      </c>
      <c r="P10" s="30"/>
      <c r="Q10" s="26"/>
      <c r="S10" s="26"/>
    </row>
    <row r="11" spans="1:22" ht="22.8" customHeight="1">
      <c r="A11" s="27">
        <v>7</v>
      </c>
      <c r="B11" s="31" t="s">
        <v>22</v>
      </c>
      <c r="C11" s="35">
        <v>27281.200000000001</v>
      </c>
      <c r="D11" s="35">
        <v>27281.200000000001</v>
      </c>
      <c r="E11" s="17">
        <f t="shared" si="0"/>
        <v>0</v>
      </c>
      <c r="F11" s="32">
        <v>0</v>
      </c>
      <c r="G11" s="10">
        <f t="shared" si="2"/>
        <v>0</v>
      </c>
      <c r="H11" s="35">
        <v>27281.200000000001</v>
      </c>
      <c r="I11" s="19">
        <f t="shared" si="1"/>
        <v>0</v>
      </c>
      <c r="J11" s="33">
        <v>0</v>
      </c>
      <c r="K11" s="28">
        <f t="shared" si="3"/>
        <v>0</v>
      </c>
      <c r="L11" s="18">
        <f t="shared" si="4"/>
        <v>0</v>
      </c>
      <c r="M11" s="22">
        <f t="shared" si="4"/>
        <v>0</v>
      </c>
      <c r="N11" s="23">
        <f t="shared" si="5"/>
        <v>0</v>
      </c>
      <c r="O11" s="29">
        <v>0</v>
      </c>
      <c r="P11" s="30"/>
      <c r="Q11" s="26"/>
      <c r="S11" s="26"/>
    </row>
    <row r="12" spans="1:22" ht="24" customHeight="1">
      <c r="A12" s="15">
        <v>8</v>
      </c>
      <c r="B12" s="31" t="s">
        <v>23</v>
      </c>
      <c r="C12" s="17">
        <v>22437.59</v>
      </c>
      <c r="D12" s="17">
        <v>22437.59</v>
      </c>
      <c r="E12" s="17">
        <f t="shared" si="0"/>
        <v>0</v>
      </c>
      <c r="F12" s="34">
        <v>0</v>
      </c>
      <c r="G12" s="10">
        <f t="shared" si="2"/>
        <v>0</v>
      </c>
      <c r="H12" s="17">
        <v>22437.59</v>
      </c>
      <c r="I12" s="19">
        <f t="shared" si="1"/>
        <v>0</v>
      </c>
      <c r="J12" s="20">
        <v>0</v>
      </c>
      <c r="K12" s="28">
        <f t="shared" si="3"/>
        <v>0</v>
      </c>
      <c r="L12" s="18">
        <f t="shared" si="4"/>
        <v>0</v>
      </c>
      <c r="M12" s="22">
        <f t="shared" si="4"/>
        <v>0</v>
      </c>
      <c r="N12" s="23">
        <f t="shared" si="5"/>
        <v>0</v>
      </c>
      <c r="O12" s="29">
        <v>0</v>
      </c>
      <c r="P12" s="36"/>
      <c r="Q12" s="26"/>
      <c r="S12" s="26"/>
    </row>
    <row r="13" spans="1:22" ht="24" customHeight="1">
      <c r="A13" s="27">
        <v>9</v>
      </c>
      <c r="B13" s="31" t="s">
        <v>24</v>
      </c>
      <c r="C13" s="17">
        <v>22446.959999999999</v>
      </c>
      <c r="D13" s="17">
        <v>22446.959999999999</v>
      </c>
      <c r="E13" s="17">
        <f t="shared" si="0"/>
        <v>0</v>
      </c>
      <c r="F13" s="32">
        <v>0</v>
      </c>
      <c r="G13" s="10">
        <f>IFERROR(F13/E13,0)</f>
        <v>0</v>
      </c>
      <c r="H13" s="17">
        <v>22446.959999999999</v>
      </c>
      <c r="I13" s="19">
        <f t="shared" si="1"/>
        <v>0</v>
      </c>
      <c r="J13" s="20">
        <v>0</v>
      </c>
      <c r="K13" s="28">
        <f t="shared" si="3"/>
        <v>0</v>
      </c>
      <c r="L13" s="18">
        <f t="shared" si="4"/>
        <v>0</v>
      </c>
      <c r="M13" s="22">
        <f t="shared" si="4"/>
        <v>0</v>
      </c>
      <c r="N13" s="23">
        <f t="shared" si="5"/>
        <v>0</v>
      </c>
      <c r="O13" s="29">
        <v>0</v>
      </c>
      <c r="P13" s="37"/>
      <c r="Q13" s="26"/>
      <c r="S13" s="26"/>
    </row>
    <row r="14" spans="1:22" ht="24" customHeight="1">
      <c r="A14" s="15">
        <v>10</v>
      </c>
      <c r="B14" s="31" t="s">
        <v>25</v>
      </c>
      <c r="C14" s="17">
        <v>19893.240000000002</v>
      </c>
      <c r="D14" s="17">
        <v>19893.240000000002</v>
      </c>
      <c r="E14" s="17">
        <f t="shared" si="0"/>
        <v>0</v>
      </c>
      <c r="F14" s="32">
        <v>0</v>
      </c>
      <c r="G14" s="10">
        <f>IFERROR(F14/E14,0)</f>
        <v>0</v>
      </c>
      <c r="H14" s="17">
        <v>19893.240000000002</v>
      </c>
      <c r="I14" s="19">
        <f>H14-D14</f>
        <v>0</v>
      </c>
      <c r="J14" s="20">
        <v>0</v>
      </c>
      <c r="K14" s="28">
        <f>IFERROR(J14/I14,0)</f>
        <v>0</v>
      </c>
      <c r="L14" s="18">
        <f>E14+I14</f>
        <v>0</v>
      </c>
      <c r="M14" s="22">
        <f t="shared" si="4"/>
        <v>0</v>
      </c>
      <c r="N14" s="23">
        <f t="shared" si="5"/>
        <v>0</v>
      </c>
      <c r="O14" s="29">
        <v>0</v>
      </c>
      <c r="P14" s="37"/>
      <c r="Q14" s="26"/>
      <c r="S14" s="26"/>
      <c r="T14" s="38"/>
    </row>
    <row r="15" spans="1:22" ht="24" customHeight="1">
      <c r="A15" s="166">
        <v>11</v>
      </c>
      <c r="B15" s="31" t="s">
        <v>27</v>
      </c>
      <c r="C15" s="17">
        <v>18190.3</v>
      </c>
      <c r="D15" s="17">
        <v>18190.3</v>
      </c>
      <c r="E15" s="17">
        <f t="shared" ref="E15" si="6">D15-C15</f>
        <v>0</v>
      </c>
      <c r="F15" s="18">
        <v>0</v>
      </c>
      <c r="G15" s="10">
        <f>IFERROR(F15/E15,0)</f>
        <v>0</v>
      </c>
      <c r="H15" s="17">
        <v>18190.3</v>
      </c>
      <c r="I15" s="19">
        <f t="shared" ref="I15" si="7">H15-D15</f>
        <v>0</v>
      </c>
      <c r="J15" s="20">
        <v>0</v>
      </c>
      <c r="K15" s="28">
        <f t="shared" ref="K15" si="8">IFERROR(J15/I15,0)</f>
        <v>0</v>
      </c>
      <c r="L15" s="18">
        <f t="shared" ref="L15" si="9">E15+I15</f>
        <v>0</v>
      </c>
      <c r="M15" s="22">
        <f t="shared" ref="M15" si="10">F15+J15</f>
        <v>0</v>
      </c>
      <c r="N15" s="23">
        <f t="shared" ref="N15" si="11">IFERROR(M15/L15,0)</f>
        <v>0</v>
      </c>
      <c r="O15" s="168">
        <v>0</v>
      </c>
      <c r="P15" s="37"/>
      <c r="Q15" s="26"/>
      <c r="S15" s="26"/>
      <c r="T15" s="38"/>
    </row>
    <row r="16" spans="1:22" ht="24" customHeight="1">
      <c r="A16" s="27">
        <v>12</v>
      </c>
      <c r="B16" s="31" t="s">
        <v>26</v>
      </c>
      <c r="C16" s="17">
        <v>15231.7</v>
      </c>
      <c r="D16" s="17">
        <v>15231.7</v>
      </c>
      <c r="E16" s="17">
        <f t="shared" si="0"/>
        <v>0</v>
      </c>
      <c r="F16" s="32">
        <v>0</v>
      </c>
      <c r="G16" s="10">
        <f>IFERROR(F16/E16,0)</f>
        <v>0</v>
      </c>
      <c r="H16" s="17">
        <v>15231.7</v>
      </c>
      <c r="I16" s="19">
        <f>H16-D16</f>
        <v>0</v>
      </c>
      <c r="J16" s="20">
        <v>0</v>
      </c>
      <c r="K16" s="28">
        <f>IFERROR(J16/I16,0)</f>
        <v>0</v>
      </c>
      <c r="L16" s="18">
        <f>E16+I16</f>
        <v>0</v>
      </c>
      <c r="M16" s="22">
        <f>F16+J16</f>
        <v>0</v>
      </c>
      <c r="N16" s="23">
        <f t="shared" si="5"/>
        <v>0</v>
      </c>
      <c r="O16" s="29">
        <v>0</v>
      </c>
      <c r="P16" s="37"/>
      <c r="Q16" s="26"/>
      <c r="S16" s="26"/>
      <c r="T16" s="38"/>
    </row>
    <row r="17" spans="1:20" ht="24" customHeight="1">
      <c r="A17" s="196" t="s">
        <v>28</v>
      </c>
      <c r="B17" s="197"/>
      <c r="C17" s="39"/>
      <c r="D17" s="39"/>
      <c r="E17" s="40">
        <f>SUM(E6:E16)</f>
        <v>0</v>
      </c>
      <c r="F17" s="41">
        <f>SUM(F5:F16)</f>
        <v>0</v>
      </c>
      <c r="G17" s="39"/>
      <c r="H17" s="39"/>
      <c r="I17" s="40">
        <f>SUM(I6:I16)</f>
        <v>0</v>
      </c>
      <c r="J17" s="41">
        <f>SUM(J5:J16)</f>
        <v>0</v>
      </c>
      <c r="K17" s="28">
        <f>IFERROR(J17/I17,0)</f>
        <v>0</v>
      </c>
      <c r="L17" s="42">
        <f>SUM(L6:L16)</f>
        <v>0</v>
      </c>
      <c r="M17" s="43">
        <f>SUM(M5:M16)</f>
        <v>0</v>
      </c>
      <c r="N17" s="23">
        <f>IFERROR(M17/L17,0)</f>
        <v>0</v>
      </c>
      <c r="O17" s="44">
        <f>SUM(O6:O16)</f>
        <v>0</v>
      </c>
      <c r="P17" s="45"/>
      <c r="S17" s="26"/>
    </row>
    <row r="18" spans="1:20" ht="18" customHeight="1" thickBot="1">
      <c r="A18" s="206" t="s">
        <v>29</v>
      </c>
      <c r="B18" s="207"/>
      <c r="C18" s="207"/>
      <c r="D18" s="207"/>
      <c r="E18" s="207"/>
      <c r="F18" s="207"/>
      <c r="G18" s="207"/>
      <c r="H18" s="207"/>
      <c r="I18" s="207"/>
      <c r="J18" s="207"/>
      <c r="K18" s="207"/>
      <c r="L18" s="208"/>
      <c r="M18" s="46"/>
      <c r="N18" s="47"/>
      <c r="O18" s="37"/>
    </row>
    <row r="19" spans="1:20" ht="22.8" customHeight="1">
      <c r="A19" s="209" t="s">
        <v>3</v>
      </c>
      <c r="B19" s="211" t="s">
        <v>4</v>
      </c>
      <c r="C19" s="234" t="s">
        <v>5</v>
      </c>
      <c r="D19" s="234"/>
      <c r="E19" s="234"/>
      <c r="F19" s="234"/>
      <c r="G19" s="234"/>
      <c r="H19" s="235" t="s">
        <v>6</v>
      </c>
      <c r="I19" s="235"/>
      <c r="J19" s="235"/>
      <c r="K19" s="235"/>
      <c r="L19" s="48"/>
      <c r="M19" s="219" t="s">
        <v>7</v>
      </c>
      <c r="N19" s="194" t="s">
        <v>8</v>
      </c>
      <c r="O19" s="37"/>
    </row>
    <row r="20" spans="1:20" s="51" customFormat="1" ht="24" customHeight="1" thickBot="1">
      <c r="A20" s="210"/>
      <c r="B20" s="212"/>
      <c r="C20" s="49" t="s">
        <v>11</v>
      </c>
      <c r="D20" s="49" t="s">
        <v>12</v>
      </c>
      <c r="E20" s="49" t="s">
        <v>13</v>
      </c>
      <c r="F20" s="2" t="s">
        <v>14</v>
      </c>
      <c r="G20" s="2" t="s">
        <v>8</v>
      </c>
      <c r="H20" s="49" t="s">
        <v>12</v>
      </c>
      <c r="I20" s="49" t="s">
        <v>13</v>
      </c>
      <c r="J20" s="49" t="s">
        <v>14</v>
      </c>
      <c r="K20" s="7" t="s">
        <v>8</v>
      </c>
      <c r="L20" s="50" t="s">
        <v>15</v>
      </c>
      <c r="M20" s="220"/>
      <c r="N20" s="195"/>
      <c r="O20" s="37"/>
      <c r="Q20"/>
      <c r="R20"/>
      <c r="S20"/>
      <c r="T20"/>
    </row>
    <row r="21" spans="1:20" s="51" customFormat="1" ht="24" customHeight="1">
      <c r="A21" s="27">
        <v>1</v>
      </c>
      <c r="B21" s="52" t="s">
        <v>30</v>
      </c>
      <c r="C21" s="6">
        <v>18710</v>
      </c>
      <c r="D21" s="6">
        <v>18710</v>
      </c>
      <c r="E21" s="53">
        <f>D21-C21</f>
        <v>0</v>
      </c>
      <c r="F21" s="54">
        <v>0</v>
      </c>
      <c r="G21" s="55">
        <f>IFERROR(F21/E21,0)</f>
        <v>0</v>
      </c>
      <c r="H21" s="6">
        <v>18710</v>
      </c>
      <c r="I21" s="56">
        <f>H21-D21</f>
        <v>0</v>
      </c>
      <c r="J21" s="54">
        <v>0</v>
      </c>
      <c r="K21" s="57">
        <f>IFERROR(J21/I21,0)</f>
        <v>0</v>
      </c>
      <c r="L21" s="58">
        <f>E21+I21</f>
        <v>0</v>
      </c>
      <c r="M21" s="59">
        <f t="shared" ref="M21:M22" si="12">F21+J21</f>
        <v>0</v>
      </c>
      <c r="N21" s="60">
        <f>IFERROR(M21/L21,0)</f>
        <v>0</v>
      </c>
      <c r="O21" s="61"/>
      <c r="Q21"/>
      <c r="R21"/>
      <c r="S21"/>
      <c r="T21"/>
    </row>
    <row r="22" spans="1:20" ht="24" customHeight="1">
      <c r="A22" s="62">
        <v>2</v>
      </c>
      <c r="B22" s="52" t="s">
        <v>31</v>
      </c>
      <c r="C22" s="63">
        <v>11113.1</v>
      </c>
      <c r="D22" s="63">
        <v>11113.1</v>
      </c>
      <c r="E22" s="53">
        <f>D22-C22</f>
        <v>0</v>
      </c>
      <c r="F22" s="54">
        <v>0</v>
      </c>
      <c r="G22" s="55">
        <f>IFERROR(F22/E22,0)</f>
        <v>0</v>
      </c>
      <c r="H22" s="63">
        <v>11113.1</v>
      </c>
      <c r="I22" s="64">
        <f>H22-D22</f>
        <v>0</v>
      </c>
      <c r="J22" s="54">
        <v>0</v>
      </c>
      <c r="K22" s="57">
        <f>IFERROR(J22/I22,0)</f>
        <v>0</v>
      </c>
      <c r="L22" s="58">
        <f>E22+I22</f>
        <v>0</v>
      </c>
      <c r="M22" s="59">
        <f t="shared" si="12"/>
        <v>0</v>
      </c>
      <c r="N22" s="60">
        <f>IFERROR(M22/L22,0)</f>
        <v>0</v>
      </c>
      <c r="O22" s="65"/>
    </row>
    <row r="23" spans="1:20" ht="24" customHeight="1" thickBot="1">
      <c r="A23" s="238" t="s">
        <v>28</v>
      </c>
      <c r="B23" s="239"/>
      <c r="C23" s="66"/>
      <c r="D23" s="66"/>
      <c r="E23" s="67">
        <f>SUM(E21:E22)</f>
        <v>0</v>
      </c>
      <c r="F23" s="67">
        <f>SUM(F21:F22)</f>
        <v>0</v>
      </c>
      <c r="G23" s="68"/>
      <c r="H23" s="68"/>
      <c r="I23" s="67">
        <f>SUM(I21:I22)</f>
        <v>0</v>
      </c>
      <c r="J23" s="67">
        <f>SUM(J21:J22)</f>
        <v>0</v>
      </c>
      <c r="K23" s="69">
        <f>SUM(K21:K22)</f>
        <v>0</v>
      </c>
      <c r="L23" s="70">
        <f>SUM(L21:L22)</f>
        <v>0</v>
      </c>
      <c r="M23" s="43">
        <f>SUM(M21:M22)</f>
        <v>0</v>
      </c>
      <c r="N23" s="71"/>
      <c r="O23" s="37"/>
      <c r="P23" s="72"/>
    </row>
    <row r="24" spans="1:20" ht="18" customHeight="1" thickBot="1">
      <c r="A24" s="245" t="s">
        <v>32</v>
      </c>
      <c r="B24" s="246"/>
      <c r="C24" s="226"/>
      <c r="D24" s="226"/>
      <c r="E24" s="226"/>
      <c r="F24" s="226"/>
      <c r="G24" s="226"/>
      <c r="H24" s="226"/>
      <c r="I24" s="226"/>
      <c r="J24" s="226"/>
      <c r="K24" s="226"/>
      <c r="L24" s="246"/>
      <c r="M24" s="46"/>
      <c r="N24" s="47"/>
      <c r="O24" s="37"/>
    </row>
    <row r="25" spans="1:20" ht="22.8" customHeight="1">
      <c r="A25" s="209" t="s">
        <v>3</v>
      </c>
      <c r="B25" s="211" t="s">
        <v>4</v>
      </c>
      <c r="C25" s="234" t="s">
        <v>5</v>
      </c>
      <c r="D25" s="234"/>
      <c r="E25" s="234"/>
      <c r="F25" s="234"/>
      <c r="G25" s="234"/>
      <c r="H25" s="235" t="s">
        <v>6</v>
      </c>
      <c r="I25" s="235"/>
      <c r="J25" s="235"/>
      <c r="K25" s="235"/>
      <c r="L25" s="48"/>
      <c r="M25" s="219" t="s">
        <v>7</v>
      </c>
      <c r="N25" s="194" t="s">
        <v>8</v>
      </c>
      <c r="O25" s="37"/>
      <c r="S25" s="51"/>
    </row>
    <row r="26" spans="1:20" ht="24" customHeight="1">
      <c r="A26" s="247"/>
      <c r="B26" s="248"/>
      <c r="C26" s="6" t="s">
        <v>11</v>
      </c>
      <c r="D26" s="6" t="s">
        <v>12</v>
      </c>
      <c r="E26" s="6" t="s">
        <v>13</v>
      </c>
      <c r="F26" s="6" t="s">
        <v>14</v>
      </c>
      <c r="G26" s="6" t="s">
        <v>8</v>
      </c>
      <c r="H26" s="6" t="s">
        <v>12</v>
      </c>
      <c r="I26" s="6" t="s">
        <v>13</v>
      </c>
      <c r="J26" s="6" t="s">
        <v>14</v>
      </c>
      <c r="K26" s="7" t="s">
        <v>8</v>
      </c>
      <c r="L26" s="73" t="s">
        <v>15</v>
      </c>
      <c r="M26" s="236"/>
      <c r="N26" s="237"/>
      <c r="O26" s="37"/>
      <c r="P26" s="74"/>
      <c r="S26" s="51"/>
      <c r="T26" s="75"/>
    </row>
    <row r="27" spans="1:20" ht="24" customHeight="1">
      <c r="A27" s="76">
        <v>1</v>
      </c>
      <c r="B27" s="31" t="s">
        <v>33</v>
      </c>
      <c r="C27" s="35">
        <v>21539.8</v>
      </c>
      <c r="D27" s="35">
        <v>21539.8</v>
      </c>
      <c r="E27" s="35">
        <f>D27-C27</f>
        <v>0</v>
      </c>
      <c r="F27" s="33">
        <v>0</v>
      </c>
      <c r="G27" s="10">
        <f t="shared" ref="G27:G31" si="13">IFERROR(F27/E27,0)</f>
        <v>0</v>
      </c>
      <c r="H27" s="35">
        <v>21539.8</v>
      </c>
      <c r="I27" s="56">
        <f>H27-D27</f>
        <v>0</v>
      </c>
      <c r="J27" s="33">
        <v>0</v>
      </c>
      <c r="K27" s="28">
        <f t="shared" ref="K27:K31" si="14">IFERROR(J27/I27,0)</f>
        <v>0</v>
      </c>
      <c r="L27" s="18">
        <f t="shared" ref="L27:M31" si="15">E27+I27</f>
        <v>0</v>
      </c>
      <c r="M27" s="22">
        <f t="shared" si="15"/>
        <v>0</v>
      </c>
      <c r="N27" s="23">
        <f>IFERROR(M27/L27,0)</f>
        <v>0</v>
      </c>
      <c r="O27" s="37"/>
    </row>
    <row r="28" spans="1:20" ht="24" customHeight="1">
      <c r="A28" s="76">
        <v>2</v>
      </c>
      <c r="B28" s="31" t="s">
        <v>34</v>
      </c>
      <c r="C28" s="35">
        <v>20935.900000000001</v>
      </c>
      <c r="D28" s="35">
        <v>20935.900000000001</v>
      </c>
      <c r="E28" s="35">
        <f>D28-C28</f>
        <v>0</v>
      </c>
      <c r="F28" s="33">
        <v>0</v>
      </c>
      <c r="G28" s="10">
        <f t="shared" si="13"/>
        <v>0</v>
      </c>
      <c r="H28" s="35">
        <v>20945.099999999999</v>
      </c>
      <c r="I28" s="56">
        <f>H28-D28</f>
        <v>9.1999999999970896</v>
      </c>
      <c r="J28" s="33">
        <v>182.41</v>
      </c>
      <c r="K28" s="28">
        <f>IFERROR(J28/I28,0)</f>
        <v>19.827173913049752</v>
      </c>
      <c r="L28" s="18">
        <f t="shared" si="15"/>
        <v>9.1999999999970896</v>
      </c>
      <c r="M28" s="22">
        <f t="shared" si="15"/>
        <v>182.41</v>
      </c>
      <c r="N28" s="23">
        <f>IFERROR(M28/L28,0)</f>
        <v>19.827173913049752</v>
      </c>
      <c r="O28" s="37"/>
    </row>
    <row r="29" spans="1:20" ht="24" customHeight="1">
      <c r="A29" s="76">
        <v>3</v>
      </c>
      <c r="B29" s="31" t="s">
        <v>35</v>
      </c>
      <c r="C29" s="35">
        <v>8871</v>
      </c>
      <c r="D29" s="35">
        <v>8871</v>
      </c>
      <c r="E29" s="17">
        <f t="shared" ref="E29:E31" si="16">D29-C29</f>
        <v>0</v>
      </c>
      <c r="F29" s="33">
        <v>0</v>
      </c>
      <c r="G29" s="10">
        <f t="shared" si="13"/>
        <v>0</v>
      </c>
      <c r="H29" s="35">
        <v>8871</v>
      </c>
      <c r="I29" s="19">
        <f>H29-D29</f>
        <v>0</v>
      </c>
      <c r="J29" s="33">
        <v>0</v>
      </c>
      <c r="K29" s="28">
        <f t="shared" si="14"/>
        <v>0</v>
      </c>
      <c r="L29" s="18">
        <f t="shared" si="15"/>
        <v>0</v>
      </c>
      <c r="M29" s="22">
        <f t="shared" si="15"/>
        <v>0</v>
      </c>
      <c r="N29" s="23">
        <f>IFERROR(M29/L29,0)</f>
        <v>0</v>
      </c>
      <c r="O29" s="77"/>
    </row>
    <row r="30" spans="1:20" ht="24.6" customHeight="1">
      <c r="A30" s="76">
        <v>4</v>
      </c>
      <c r="B30" s="31" t="s">
        <v>36</v>
      </c>
      <c r="C30" s="35">
        <v>3253.2</v>
      </c>
      <c r="D30" s="35">
        <v>3253.2</v>
      </c>
      <c r="E30" s="17">
        <f t="shared" si="16"/>
        <v>0</v>
      </c>
      <c r="F30" s="33">
        <v>0</v>
      </c>
      <c r="G30" s="78">
        <f t="shared" si="13"/>
        <v>0</v>
      </c>
      <c r="H30" s="35">
        <v>3253.2</v>
      </c>
      <c r="I30" s="19">
        <f t="shared" ref="I30:I31" si="17">H30-D30</f>
        <v>0</v>
      </c>
      <c r="J30" s="33">
        <v>0</v>
      </c>
      <c r="K30" s="28">
        <f t="shared" si="14"/>
        <v>0</v>
      </c>
      <c r="L30" s="18">
        <f t="shared" si="15"/>
        <v>0</v>
      </c>
      <c r="M30" s="79">
        <f t="shared" si="15"/>
        <v>0</v>
      </c>
      <c r="N30" s="23">
        <f>IFERROR(M30/L30,0)</f>
        <v>0</v>
      </c>
      <c r="O30" s="80"/>
    </row>
    <row r="31" spans="1:20" ht="24.6" customHeight="1">
      <c r="A31" s="76">
        <v>5</v>
      </c>
      <c r="B31" s="31" t="s">
        <v>37</v>
      </c>
      <c r="C31" s="35">
        <v>572.9</v>
      </c>
      <c r="D31" s="35">
        <v>572.9</v>
      </c>
      <c r="E31" s="17">
        <f t="shared" si="16"/>
        <v>0</v>
      </c>
      <c r="F31" s="33">
        <v>0</v>
      </c>
      <c r="G31" s="78">
        <f t="shared" si="13"/>
        <v>0</v>
      </c>
      <c r="H31" s="35">
        <v>581.29999999999995</v>
      </c>
      <c r="I31" s="19">
        <f t="shared" si="17"/>
        <v>8.3999999999999773</v>
      </c>
      <c r="J31" s="33">
        <v>222.59</v>
      </c>
      <c r="K31" s="28">
        <f t="shared" si="14"/>
        <v>26.498809523809594</v>
      </c>
      <c r="L31" s="18">
        <f t="shared" si="15"/>
        <v>8.3999999999999773</v>
      </c>
      <c r="M31" s="79">
        <f t="shared" si="15"/>
        <v>222.59</v>
      </c>
      <c r="N31" s="23">
        <f>IFERROR(M31/L31,0)</f>
        <v>26.498809523809594</v>
      </c>
      <c r="O31" s="80"/>
    </row>
    <row r="32" spans="1:20" ht="22.8" customHeight="1" thickBot="1">
      <c r="A32" s="238" t="s">
        <v>28</v>
      </c>
      <c r="B32" s="239"/>
      <c r="C32" s="66"/>
      <c r="D32" s="66"/>
      <c r="E32" s="67">
        <f>SUM(E27:E31)</f>
        <v>0</v>
      </c>
      <c r="F32" s="67">
        <f>SUM(F27:F31)</f>
        <v>0</v>
      </c>
      <c r="G32" s="68"/>
      <c r="H32" s="68"/>
      <c r="I32" s="67">
        <f>SUM(I27:I31)</f>
        <v>17.599999999997067</v>
      </c>
      <c r="J32" s="67">
        <f>SUM(J27:J31)</f>
        <v>405</v>
      </c>
      <c r="K32" s="69">
        <f>SUM(K27:K31)</f>
        <v>46.325983436859346</v>
      </c>
      <c r="L32" s="70">
        <f>SUM(L27:L31)</f>
        <v>17.599999999997067</v>
      </c>
      <c r="M32" s="43">
        <f>SUM(M27:M31)</f>
        <v>405</v>
      </c>
      <c r="N32" s="71">
        <f>IFERROR(M32/K32,0)</f>
        <v>8.742394007717083</v>
      </c>
      <c r="O32" s="37"/>
      <c r="P32" s="72"/>
      <c r="S32" s="51"/>
    </row>
    <row r="33" spans="1:26" ht="24" customHeight="1">
      <c r="A33" s="240" t="s">
        <v>38</v>
      </c>
      <c r="B33" s="241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46"/>
      <c r="N33" s="47"/>
      <c r="O33" s="61"/>
      <c r="S33" s="51"/>
    </row>
    <row r="34" spans="1:26" ht="24" customHeight="1">
      <c r="A34" s="243" t="s">
        <v>3</v>
      </c>
      <c r="B34" s="243" t="s">
        <v>4</v>
      </c>
      <c r="C34" s="213" t="s">
        <v>5</v>
      </c>
      <c r="D34" s="214"/>
      <c r="E34" s="214"/>
      <c r="F34" s="214"/>
      <c r="G34" s="215"/>
      <c r="H34" s="216" t="s">
        <v>6</v>
      </c>
      <c r="I34" s="217"/>
      <c r="J34" s="217"/>
      <c r="K34" s="218"/>
      <c r="L34" s="5"/>
      <c r="M34" s="221" t="s">
        <v>7</v>
      </c>
      <c r="N34" s="222" t="s">
        <v>8</v>
      </c>
      <c r="O34" s="37"/>
    </row>
    <row r="35" spans="1:26" ht="24" customHeight="1">
      <c r="A35" s="244"/>
      <c r="B35" s="244"/>
      <c r="C35" s="2" t="s">
        <v>11</v>
      </c>
      <c r="D35" s="2" t="s">
        <v>12</v>
      </c>
      <c r="E35" s="2" t="s">
        <v>13</v>
      </c>
      <c r="F35" s="2" t="s">
        <v>14</v>
      </c>
      <c r="G35" s="2" t="s">
        <v>8</v>
      </c>
      <c r="H35" s="2" t="s">
        <v>12</v>
      </c>
      <c r="I35" s="2" t="s">
        <v>13</v>
      </c>
      <c r="J35" s="2" t="s">
        <v>14</v>
      </c>
      <c r="K35" s="82" t="s">
        <v>8</v>
      </c>
      <c r="L35" s="12" t="s">
        <v>15</v>
      </c>
      <c r="M35" s="221"/>
      <c r="N35" s="222"/>
      <c r="O35" s="37"/>
    </row>
    <row r="36" spans="1:26" ht="24" customHeight="1">
      <c r="A36" s="76">
        <v>1</v>
      </c>
      <c r="B36" s="31" t="s">
        <v>39</v>
      </c>
      <c r="C36" s="83">
        <v>16479</v>
      </c>
      <c r="D36" s="83">
        <v>16479</v>
      </c>
      <c r="E36" s="35">
        <f>D36-C36</f>
        <v>0</v>
      </c>
      <c r="F36" s="33">
        <v>0</v>
      </c>
      <c r="G36" s="78">
        <f t="shared" ref="G36:G37" si="18">IFERROR(F36/E36,0)</f>
        <v>0</v>
      </c>
      <c r="H36" s="83">
        <v>16479</v>
      </c>
      <c r="I36" s="56">
        <f>H36-D36</f>
        <v>0</v>
      </c>
      <c r="J36" s="33">
        <v>0</v>
      </c>
      <c r="K36" s="28">
        <f>IFERROR(J36/I36,0)</f>
        <v>0</v>
      </c>
      <c r="L36" s="84">
        <f t="shared" ref="L36:L37" si="19">E36+I36</f>
        <v>0</v>
      </c>
      <c r="M36" s="79">
        <f>F36+J36</f>
        <v>0</v>
      </c>
      <c r="N36" s="34">
        <f>IFERROR(M36/L36,0)</f>
        <v>0</v>
      </c>
      <c r="O36" s="37"/>
    </row>
    <row r="37" spans="1:26" ht="27" customHeight="1">
      <c r="A37" s="76">
        <v>2</v>
      </c>
      <c r="B37" s="31" t="s">
        <v>40</v>
      </c>
      <c r="C37" s="35">
        <v>4276</v>
      </c>
      <c r="D37" s="35">
        <v>4276</v>
      </c>
      <c r="E37" s="17">
        <f>D37-C37</f>
        <v>0</v>
      </c>
      <c r="F37" s="33">
        <v>0</v>
      </c>
      <c r="G37" s="10">
        <f t="shared" si="18"/>
        <v>0</v>
      </c>
      <c r="H37" s="35">
        <v>4276</v>
      </c>
      <c r="I37" s="19">
        <f>H37-D37</f>
        <v>0</v>
      </c>
      <c r="J37" s="33">
        <v>0</v>
      </c>
      <c r="K37" s="28">
        <f>IFERROR(J37/I37,0)</f>
        <v>0</v>
      </c>
      <c r="L37" s="18">
        <f t="shared" si="19"/>
        <v>0</v>
      </c>
      <c r="M37" s="22">
        <f>F37+J37</f>
        <v>0</v>
      </c>
      <c r="N37" s="23">
        <f>IFERROR(M37/L37,0)</f>
        <v>0</v>
      </c>
      <c r="O37" s="37"/>
      <c r="S37" s="51"/>
    </row>
    <row r="38" spans="1:26" ht="22.8" customHeight="1" thickBot="1">
      <c r="A38" s="196" t="s">
        <v>28</v>
      </c>
      <c r="B38" s="233"/>
      <c r="C38" s="68"/>
      <c r="D38" s="66"/>
      <c r="E38" s="67">
        <f>SUM(E36:E37)</f>
        <v>0</v>
      </c>
      <c r="F38" s="67">
        <f>SUM(F36:F37:F37)</f>
        <v>0</v>
      </c>
      <c r="G38" s="68"/>
      <c r="H38" s="68"/>
      <c r="I38" s="67">
        <f>SUM(I36:I37)</f>
        <v>0</v>
      </c>
      <c r="J38" s="67">
        <f>SUM(J36:J37)</f>
        <v>0</v>
      </c>
      <c r="K38" s="69">
        <f>SUM(K36:K37)</f>
        <v>0</v>
      </c>
      <c r="L38" s="70">
        <f>SUM(L36:L37)</f>
        <v>0</v>
      </c>
      <c r="M38" s="43">
        <f>SUM(M36:M37)</f>
        <v>0</v>
      </c>
      <c r="N38" s="71">
        <f>IFERROR(M38/K38,0)</f>
        <v>0</v>
      </c>
      <c r="O38" s="37"/>
      <c r="P38" s="72"/>
      <c r="S38" s="51"/>
    </row>
    <row r="39" spans="1:26" ht="24" customHeight="1">
      <c r="A39" s="225" t="s">
        <v>41</v>
      </c>
      <c r="B39" s="226"/>
      <c r="C39" s="226"/>
      <c r="D39" s="226"/>
      <c r="E39" s="226"/>
      <c r="F39" s="226"/>
      <c r="G39" s="226"/>
      <c r="H39" s="226"/>
      <c r="I39" s="226"/>
      <c r="J39" s="226"/>
      <c r="K39" s="226"/>
      <c r="L39" s="226"/>
      <c r="M39" s="46"/>
      <c r="N39" s="47"/>
      <c r="O39" s="61"/>
    </row>
    <row r="40" spans="1:26" ht="24" customHeight="1">
      <c r="A40" s="222" t="s">
        <v>3</v>
      </c>
      <c r="B40" s="222" t="s">
        <v>4</v>
      </c>
      <c r="C40" s="234" t="s">
        <v>5</v>
      </c>
      <c r="D40" s="234"/>
      <c r="E40" s="234"/>
      <c r="F40" s="234"/>
      <c r="G40" s="234"/>
      <c r="H40" s="235" t="s">
        <v>6</v>
      </c>
      <c r="I40" s="235"/>
      <c r="J40" s="235"/>
      <c r="K40" s="235"/>
      <c r="L40" s="5"/>
      <c r="M40" s="221" t="s">
        <v>7</v>
      </c>
      <c r="N40" s="222" t="s">
        <v>8</v>
      </c>
      <c r="O40" s="37"/>
    </row>
    <row r="41" spans="1:26" ht="25.8" customHeight="1">
      <c r="A41" s="222"/>
      <c r="B41" s="222"/>
      <c r="C41" s="2" t="s">
        <v>11</v>
      </c>
      <c r="D41" s="2" t="s">
        <v>12</v>
      </c>
      <c r="E41" s="2" t="s">
        <v>13</v>
      </c>
      <c r="F41" s="2" t="s">
        <v>14</v>
      </c>
      <c r="G41" s="2" t="s">
        <v>8</v>
      </c>
      <c r="H41" s="2" t="s">
        <v>12</v>
      </c>
      <c r="I41" s="2" t="s">
        <v>13</v>
      </c>
      <c r="J41" s="2" t="s">
        <v>14</v>
      </c>
      <c r="K41" s="82" t="s">
        <v>8</v>
      </c>
      <c r="L41" s="12" t="s">
        <v>15</v>
      </c>
      <c r="M41" s="221"/>
      <c r="N41" s="222"/>
      <c r="O41" s="37"/>
    </row>
    <row r="42" spans="1:26" ht="24.6" customHeight="1">
      <c r="A42" s="76">
        <v>1</v>
      </c>
      <c r="B42" s="85" t="s">
        <v>42</v>
      </c>
      <c r="C42" s="33">
        <v>8580.4</v>
      </c>
      <c r="D42" s="33">
        <v>8580.4</v>
      </c>
      <c r="E42" s="20">
        <f>D42-C42</f>
        <v>0</v>
      </c>
      <c r="F42" s="33">
        <v>0</v>
      </c>
      <c r="G42" s="10">
        <f t="shared" ref="G42:G43" si="20">IFERROR(F42/E42,0)</f>
        <v>0</v>
      </c>
      <c r="H42" s="33">
        <v>8580.4</v>
      </c>
      <c r="I42" s="86">
        <f>H42-D42</f>
        <v>0</v>
      </c>
      <c r="J42" s="33">
        <v>0</v>
      </c>
      <c r="K42" s="28">
        <f>IFERROR(J42/I42,0)</f>
        <v>0</v>
      </c>
      <c r="L42" s="18">
        <f>E42+I42</f>
        <v>0</v>
      </c>
      <c r="M42" s="22">
        <f>F42+J42</f>
        <v>0</v>
      </c>
      <c r="N42" s="23">
        <f>IFERROR(M42/L42,0)</f>
        <v>0</v>
      </c>
      <c r="O42" s="87"/>
      <c r="S42" s="51"/>
    </row>
    <row r="43" spans="1:26" ht="22.8" customHeight="1">
      <c r="A43" s="76">
        <v>2</v>
      </c>
      <c r="B43" s="85" t="s">
        <v>43</v>
      </c>
      <c r="C43" s="33">
        <v>1572.8</v>
      </c>
      <c r="D43" s="33">
        <v>1572.8</v>
      </c>
      <c r="E43" s="20">
        <f>D43-C43</f>
        <v>0</v>
      </c>
      <c r="F43" s="33">
        <v>0</v>
      </c>
      <c r="G43" s="10">
        <f t="shared" si="20"/>
        <v>0</v>
      </c>
      <c r="H43" s="33">
        <v>1572.8</v>
      </c>
      <c r="I43" s="86">
        <f>H43-D43</f>
        <v>0</v>
      </c>
      <c r="J43" s="33">
        <v>0</v>
      </c>
      <c r="K43" s="28">
        <f>IFERROR(J43/I43,0)</f>
        <v>0</v>
      </c>
      <c r="L43" s="18">
        <f>E43+I43</f>
        <v>0</v>
      </c>
      <c r="M43" s="22">
        <f t="shared" ref="M43" si="21">F43+J43</f>
        <v>0</v>
      </c>
      <c r="N43" s="23">
        <f>IFERROR(M43/L43,0)</f>
        <v>0</v>
      </c>
      <c r="O43" s="87"/>
      <c r="P43" s="88"/>
      <c r="Q43" s="89"/>
    </row>
    <row r="44" spans="1:26" ht="24" customHeight="1" thickBot="1">
      <c r="A44" s="223" t="s">
        <v>28</v>
      </c>
      <c r="B44" s="224"/>
      <c r="C44" s="90"/>
      <c r="D44" s="90"/>
      <c r="E44" s="91">
        <f>SUM(E42:E43)</f>
        <v>0</v>
      </c>
      <c r="F44" s="91">
        <f>SUM(F42:F43)</f>
        <v>0</v>
      </c>
      <c r="G44" s="92"/>
      <c r="H44" s="92"/>
      <c r="I44" s="91">
        <f>SUM(I42:I43)</f>
        <v>0</v>
      </c>
      <c r="J44" s="91">
        <f>SUM(J42:J43)</f>
        <v>0</v>
      </c>
      <c r="K44" s="93">
        <f>SUM(K42:K43)</f>
        <v>0</v>
      </c>
      <c r="L44" s="94">
        <f>SUM(L42:L43)</f>
        <v>0</v>
      </c>
      <c r="M44" s="95">
        <f>SUM(M42:M43)</f>
        <v>0</v>
      </c>
      <c r="N44" s="96" t="e">
        <f>M44/L44</f>
        <v>#DIV/0!</v>
      </c>
      <c r="O44" s="37"/>
      <c r="P44" s="97"/>
      <c r="Q44" s="89"/>
    </row>
    <row r="45" spans="1:26" ht="24" customHeight="1">
      <c r="A45" s="225" t="s">
        <v>44</v>
      </c>
      <c r="B45" s="226"/>
      <c r="C45" s="226"/>
      <c r="D45" s="226"/>
      <c r="E45" s="226"/>
      <c r="F45" s="226"/>
      <c r="G45" s="226"/>
      <c r="H45" s="226"/>
      <c r="I45" s="226"/>
      <c r="J45" s="226"/>
      <c r="K45" s="226"/>
      <c r="L45" s="226"/>
      <c r="M45" s="98"/>
      <c r="N45" s="99"/>
      <c r="O45" s="37"/>
      <c r="P45" s="100"/>
      <c r="Q45" s="100"/>
    </row>
    <row r="46" spans="1:26" ht="24" customHeight="1">
      <c r="A46" s="222" t="s">
        <v>3</v>
      </c>
      <c r="B46" s="222" t="s">
        <v>4</v>
      </c>
      <c r="C46" s="227" t="s">
        <v>5</v>
      </c>
      <c r="D46" s="228"/>
      <c r="E46" s="228"/>
      <c r="F46" s="228"/>
      <c r="G46" s="228"/>
      <c r="H46" s="229"/>
      <c r="I46" s="230" t="s">
        <v>6</v>
      </c>
      <c r="J46" s="231"/>
      <c r="K46" s="231"/>
      <c r="L46" s="231"/>
      <c r="M46" s="231"/>
      <c r="N46" s="232"/>
      <c r="O46" s="201" t="s">
        <v>45</v>
      </c>
      <c r="P46" s="203" t="s">
        <v>46</v>
      </c>
      <c r="Q46" s="203" t="s">
        <v>47</v>
      </c>
      <c r="R46" s="205" t="s">
        <v>48</v>
      </c>
      <c r="Z46" s="101"/>
    </row>
    <row r="47" spans="1:26" ht="33" customHeight="1">
      <c r="A47" s="222"/>
      <c r="B47" s="222"/>
      <c r="C47" s="2" t="s">
        <v>49</v>
      </c>
      <c r="D47" s="2" t="s">
        <v>50</v>
      </c>
      <c r="E47" s="2" t="s">
        <v>51</v>
      </c>
      <c r="F47" s="102" t="s">
        <v>11</v>
      </c>
      <c r="G47" s="2" t="s">
        <v>14</v>
      </c>
      <c r="H47" s="2" t="s">
        <v>8</v>
      </c>
      <c r="I47" s="2" t="s">
        <v>50</v>
      </c>
      <c r="J47" s="2" t="s">
        <v>45</v>
      </c>
      <c r="K47" s="102" t="s">
        <v>12</v>
      </c>
      <c r="L47" s="102" t="s">
        <v>15</v>
      </c>
      <c r="M47" s="2" t="s">
        <v>14</v>
      </c>
      <c r="N47" s="82" t="s">
        <v>8</v>
      </c>
      <c r="O47" s="202"/>
      <c r="P47" s="204"/>
      <c r="Q47" s="204"/>
      <c r="R47" s="205"/>
    </row>
    <row r="48" spans="1:26" ht="21" customHeight="1">
      <c r="A48" s="81">
        <v>1</v>
      </c>
      <c r="B48" s="103" t="s">
        <v>52</v>
      </c>
      <c r="C48" s="2">
        <v>278630.7</v>
      </c>
      <c r="D48" s="2">
        <v>278630.7</v>
      </c>
      <c r="E48" s="104">
        <f>D48-C48</f>
        <v>0</v>
      </c>
      <c r="F48" s="105">
        <v>22041</v>
      </c>
      <c r="G48" s="49">
        <v>0</v>
      </c>
      <c r="H48" s="10">
        <f>IFERROR(E48/G48,0)</f>
        <v>0</v>
      </c>
      <c r="I48" s="2">
        <v>278630.7</v>
      </c>
      <c r="J48" s="106">
        <f t="shared" ref="J48:J104" si="22">I48-D48</f>
        <v>0</v>
      </c>
      <c r="K48" s="105">
        <v>22041</v>
      </c>
      <c r="L48" s="107">
        <f t="shared" ref="L48:L104" si="23">K48-F48</f>
        <v>0</v>
      </c>
      <c r="M48" s="2">
        <v>0</v>
      </c>
      <c r="N48" s="28">
        <f t="shared" ref="N48:N104" si="24">IFERROR(J48/M48,0)</f>
        <v>0</v>
      </c>
      <c r="O48" s="84">
        <f>J48+E48</f>
        <v>0</v>
      </c>
      <c r="P48" s="79">
        <f>G48+M48</f>
        <v>0</v>
      </c>
      <c r="Q48" s="34">
        <f>IFERROR(O48/P48,0)</f>
        <v>0</v>
      </c>
      <c r="R48" s="108">
        <v>0</v>
      </c>
    </row>
    <row r="49" spans="1:27" ht="24" customHeight="1">
      <c r="A49" s="109">
        <v>2</v>
      </c>
      <c r="B49" s="31" t="s">
        <v>53</v>
      </c>
      <c r="C49" s="35">
        <v>334306.5</v>
      </c>
      <c r="D49" s="35">
        <v>334306.5</v>
      </c>
      <c r="E49" s="104">
        <f>D49-C49</f>
        <v>0</v>
      </c>
      <c r="F49" s="110">
        <v>29835</v>
      </c>
      <c r="G49" s="111">
        <v>0</v>
      </c>
      <c r="H49" s="10">
        <f>IFERROR(E49/G49,0)</f>
        <v>0</v>
      </c>
      <c r="I49" s="35">
        <v>334306.5</v>
      </c>
      <c r="J49" s="106">
        <f t="shared" si="22"/>
        <v>0</v>
      </c>
      <c r="K49" s="110">
        <v>29835</v>
      </c>
      <c r="L49" s="107">
        <f t="shared" si="23"/>
        <v>0</v>
      </c>
      <c r="M49" s="112">
        <v>0</v>
      </c>
      <c r="N49" s="28">
        <f t="shared" si="24"/>
        <v>0</v>
      </c>
      <c r="O49" s="84">
        <f t="shared" ref="O49:O104" si="25">J49+E49</f>
        <v>0</v>
      </c>
      <c r="P49" s="79">
        <f t="shared" ref="P49:P104" si="26">G49+M49</f>
        <v>0</v>
      </c>
      <c r="Q49" s="34">
        <f t="shared" ref="Q49:Q104" si="27">IFERROR(O49/P49,0)</f>
        <v>0</v>
      </c>
      <c r="R49" s="1">
        <v>0</v>
      </c>
    </row>
    <row r="50" spans="1:27" ht="24" customHeight="1">
      <c r="A50" s="81">
        <v>3</v>
      </c>
      <c r="B50" s="31" t="s">
        <v>54</v>
      </c>
      <c r="C50" s="104">
        <v>291746.5</v>
      </c>
      <c r="D50" s="104">
        <v>291746.5</v>
      </c>
      <c r="E50" s="104">
        <f t="shared" ref="E50:E104" si="28">D50-C50</f>
        <v>0</v>
      </c>
      <c r="F50" s="110">
        <v>27949</v>
      </c>
      <c r="G50" s="111">
        <v>0</v>
      </c>
      <c r="H50" s="10">
        <f t="shared" ref="H50:H104" si="29">IFERROR(E50/G50,0)</f>
        <v>0</v>
      </c>
      <c r="I50" s="104">
        <v>291746.5</v>
      </c>
      <c r="J50" s="106">
        <f>I50-D50</f>
        <v>0</v>
      </c>
      <c r="K50" s="110">
        <v>27949</v>
      </c>
      <c r="L50" s="107">
        <f t="shared" si="23"/>
        <v>0</v>
      </c>
      <c r="M50" s="111">
        <v>0</v>
      </c>
      <c r="N50" s="28">
        <f t="shared" si="24"/>
        <v>0</v>
      </c>
      <c r="O50" s="84">
        <f t="shared" si="25"/>
        <v>0</v>
      </c>
      <c r="P50" s="79">
        <f t="shared" si="26"/>
        <v>0</v>
      </c>
      <c r="Q50" s="34">
        <f t="shared" si="27"/>
        <v>0</v>
      </c>
      <c r="R50" s="1">
        <v>0</v>
      </c>
      <c r="AA50" s="101"/>
    </row>
    <row r="51" spans="1:27" ht="24" customHeight="1">
      <c r="A51" s="81">
        <v>4</v>
      </c>
      <c r="B51" s="31" t="s">
        <v>55</v>
      </c>
      <c r="C51" s="104">
        <v>298907.40000000002</v>
      </c>
      <c r="D51" s="104">
        <v>298907.40000000002</v>
      </c>
      <c r="E51" s="104">
        <f t="shared" si="28"/>
        <v>0</v>
      </c>
      <c r="F51" s="110">
        <v>27086</v>
      </c>
      <c r="G51" s="111">
        <v>0</v>
      </c>
      <c r="H51" s="10">
        <f t="shared" si="29"/>
        <v>0</v>
      </c>
      <c r="I51" s="104">
        <v>298907.40000000002</v>
      </c>
      <c r="J51" s="106">
        <f>I51-D51</f>
        <v>0</v>
      </c>
      <c r="K51" s="110">
        <v>27086</v>
      </c>
      <c r="L51" s="107">
        <f t="shared" si="23"/>
        <v>0</v>
      </c>
      <c r="M51" s="111">
        <v>0</v>
      </c>
      <c r="N51" s="28">
        <f t="shared" si="24"/>
        <v>0</v>
      </c>
      <c r="O51" s="84">
        <f t="shared" si="25"/>
        <v>0</v>
      </c>
      <c r="P51" s="79">
        <f t="shared" si="26"/>
        <v>0</v>
      </c>
      <c r="Q51" s="34">
        <f t="shared" si="27"/>
        <v>0</v>
      </c>
      <c r="R51" s="108">
        <v>0</v>
      </c>
      <c r="AA51" s="101"/>
    </row>
    <row r="52" spans="1:27" ht="24" customHeight="1">
      <c r="A52" s="81">
        <v>5</v>
      </c>
      <c r="B52" s="31" t="s">
        <v>56</v>
      </c>
      <c r="C52" s="104">
        <v>339541.3</v>
      </c>
      <c r="D52" s="104">
        <v>339541.3</v>
      </c>
      <c r="E52" s="104">
        <f t="shared" si="28"/>
        <v>0</v>
      </c>
      <c r="F52" s="110">
        <v>26812</v>
      </c>
      <c r="G52" s="111">
        <v>0</v>
      </c>
      <c r="H52" s="10">
        <f t="shared" si="29"/>
        <v>0</v>
      </c>
      <c r="I52" s="104">
        <v>339541.3</v>
      </c>
      <c r="J52" s="106">
        <f>I52-D52</f>
        <v>0</v>
      </c>
      <c r="K52" s="110">
        <v>26812</v>
      </c>
      <c r="L52" s="107">
        <f t="shared" si="23"/>
        <v>0</v>
      </c>
      <c r="M52" s="111">
        <v>0</v>
      </c>
      <c r="N52" s="28">
        <f t="shared" si="24"/>
        <v>0</v>
      </c>
      <c r="O52" s="84">
        <f t="shared" si="25"/>
        <v>0</v>
      </c>
      <c r="P52" s="79">
        <f t="shared" si="26"/>
        <v>0</v>
      </c>
      <c r="Q52" s="34">
        <f t="shared" si="27"/>
        <v>0</v>
      </c>
      <c r="R52" s="1">
        <v>0</v>
      </c>
      <c r="AA52" s="101"/>
    </row>
    <row r="53" spans="1:27" ht="24" customHeight="1">
      <c r="A53" s="109">
        <v>6</v>
      </c>
      <c r="B53" s="31" t="s">
        <v>57</v>
      </c>
      <c r="C53" s="104">
        <v>342293.6</v>
      </c>
      <c r="D53" s="104">
        <v>342293.6</v>
      </c>
      <c r="E53" s="104">
        <f t="shared" si="28"/>
        <v>0</v>
      </c>
      <c r="F53" s="110">
        <v>26617</v>
      </c>
      <c r="G53" s="111">
        <v>0</v>
      </c>
      <c r="H53" s="10">
        <f t="shared" si="29"/>
        <v>0</v>
      </c>
      <c r="I53" s="104">
        <v>342293.6</v>
      </c>
      <c r="J53" s="106">
        <f>I53-D53</f>
        <v>0</v>
      </c>
      <c r="K53" s="110">
        <v>26617</v>
      </c>
      <c r="L53" s="107">
        <f t="shared" si="23"/>
        <v>0</v>
      </c>
      <c r="M53" s="111">
        <v>0</v>
      </c>
      <c r="N53" s="28">
        <f t="shared" si="24"/>
        <v>0</v>
      </c>
      <c r="O53" s="84">
        <f t="shared" si="25"/>
        <v>0</v>
      </c>
      <c r="P53" s="79">
        <f t="shared" si="26"/>
        <v>0</v>
      </c>
      <c r="Q53" s="34">
        <f t="shared" si="27"/>
        <v>0</v>
      </c>
      <c r="R53" s="1">
        <v>0</v>
      </c>
      <c r="AA53" s="101"/>
    </row>
    <row r="54" spans="1:27" ht="24" customHeight="1">
      <c r="A54" s="81">
        <v>7</v>
      </c>
      <c r="B54" s="31" t="s">
        <v>58</v>
      </c>
      <c r="C54" s="35">
        <v>299562.8</v>
      </c>
      <c r="D54" s="35">
        <v>299562.8</v>
      </c>
      <c r="E54" s="104">
        <f t="shared" si="28"/>
        <v>0</v>
      </c>
      <c r="F54" s="110">
        <v>26599.279999999999</v>
      </c>
      <c r="G54" s="111">
        <v>0</v>
      </c>
      <c r="H54" s="10">
        <f t="shared" si="29"/>
        <v>0</v>
      </c>
      <c r="I54" s="35">
        <v>299562.8</v>
      </c>
      <c r="J54" s="106">
        <f t="shared" si="22"/>
        <v>0</v>
      </c>
      <c r="K54" s="110">
        <v>26599.279999999999</v>
      </c>
      <c r="L54" s="107">
        <f t="shared" si="23"/>
        <v>0</v>
      </c>
      <c r="M54" s="112">
        <v>0</v>
      </c>
      <c r="N54" s="28">
        <f>IFERROR(J54/M54,0)</f>
        <v>0</v>
      </c>
      <c r="O54" s="84">
        <f t="shared" si="25"/>
        <v>0</v>
      </c>
      <c r="P54" s="79">
        <f t="shared" si="26"/>
        <v>0</v>
      </c>
      <c r="Q54" s="34">
        <f t="shared" si="27"/>
        <v>0</v>
      </c>
      <c r="R54" s="108">
        <v>0</v>
      </c>
      <c r="U54" s="113"/>
    </row>
    <row r="55" spans="1:27" ht="24" customHeight="1">
      <c r="A55" s="81">
        <v>8</v>
      </c>
      <c r="B55" s="31" t="s">
        <v>59</v>
      </c>
      <c r="C55" s="35">
        <v>271405.8</v>
      </c>
      <c r="D55" s="35">
        <v>271405.8</v>
      </c>
      <c r="E55" s="104">
        <f t="shared" si="28"/>
        <v>0</v>
      </c>
      <c r="F55" s="110">
        <v>25357.5</v>
      </c>
      <c r="G55" s="111">
        <v>0</v>
      </c>
      <c r="H55" s="10">
        <f t="shared" si="29"/>
        <v>0</v>
      </c>
      <c r="I55" s="35">
        <v>271405.8</v>
      </c>
      <c r="J55" s="106">
        <f>I55-D55</f>
        <v>0</v>
      </c>
      <c r="K55" s="110">
        <v>25357.5</v>
      </c>
      <c r="L55" s="107">
        <f t="shared" si="23"/>
        <v>0</v>
      </c>
      <c r="M55" s="111">
        <v>0</v>
      </c>
      <c r="N55" s="28">
        <f>IFERROR(J55/M55,0)</f>
        <v>0</v>
      </c>
      <c r="O55" s="84">
        <f t="shared" si="25"/>
        <v>0</v>
      </c>
      <c r="P55" s="79">
        <f t="shared" si="26"/>
        <v>0</v>
      </c>
      <c r="Q55" s="34">
        <f t="shared" si="27"/>
        <v>0</v>
      </c>
      <c r="R55" s="1">
        <v>0</v>
      </c>
      <c r="X55" t="s">
        <v>60</v>
      </c>
    </row>
    <row r="56" spans="1:27" ht="24" customHeight="1">
      <c r="A56" s="81">
        <v>9</v>
      </c>
      <c r="B56" s="31" t="s">
        <v>61</v>
      </c>
      <c r="C56" s="104">
        <v>284733.09999999998</v>
      </c>
      <c r="D56" s="104">
        <v>284733.09999999998</v>
      </c>
      <c r="E56" s="104">
        <f t="shared" si="28"/>
        <v>0</v>
      </c>
      <c r="F56" s="110">
        <v>26568</v>
      </c>
      <c r="G56" s="111">
        <v>0</v>
      </c>
      <c r="H56" s="10">
        <f t="shared" si="29"/>
        <v>0</v>
      </c>
      <c r="I56" s="104">
        <v>284733.09999999998</v>
      </c>
      <c r="J56" s="106">
        <f>I56-D56</f>
        <v>0</v>
      </c>
      <c r="K56" s="110">
        <v>26568</v>
      </c>
      <c r="L56" s="107">
        <f t="shared" si="23"/>
        <v>0</v>
      </c>
      <c r="M56" s="112">
        <v>0</v>
      </c>
      <c r="N56" s="28">
        <f t="shared" si="24"/>
        <v>0</v>
      </c>
      <c r="O56" s="84">
        <f t="shared" si="25"/>
        <v>0</v>
      </c>
      <c r="P56" s="79">
        <f t="shared" si="26"/>
        <v>0</v>
      </c>
      <c r="Q56" s="34">
        <f t="shared" si="27"/>
        <v>0</v>
      </c>
      <c r="R56" s="1">
        <v>0</v>
      </c>
    </row>
    <row r="57" spans="1:27" ht="24" customHeight="1">
      <c r="A57" s="109">
        <v>10</v>
      </c>
      <c r="B57" s="31" t="s">
        <v>62</v>
      </c>
      <c r="C57" s="35">
        <v>302852.5</v>
      </c>
      <c r="D57" s="35">
        <v>302852.5</v>
      </c>
      <c r="E57" s="104">
        <f t="shared" si="28"/>
        <v>0</v>
      </c>
      <c r="F57" s="110">
        <v>27212.01</v>
      </c>
      <c r="G57" s="111">
        <v>0</v>
      </c>
      <c r="H57" s="10">
        <f t="shared" si="29"/>
        <v>0</v>
      </c>
      <c r="I57" s="35">
        <v>302852.5</v>
      </c>
      <c r="J57" s="106">
        <f t="shared" si="22"/>
        <v>0</v>
      </c>
      <c r="K57" s="110">
        <v>27212.01</v>
      </c>
      <c r="L57" s="107">
        <f t="shared" si="23"/>
        <v>0</v>
      </c>
      <c r="M57" s="112">
        <v>0</v>
      </c>
      <c r="N57" s="28">
        <f t="shared" si="24"/>
        <v>0</v>
      </c>
      <c r="O57" s="84">
        <f t="shared" si="25"/>
        <v>0</v>
      </c>
      <c r="P57" s="79">
        <f t="shared" si="26"/>
        <v>0</v>
      </c>
      <c r="Q57" s="34">
        <f t="shared" si="27"/>
        <v>0</v>
      </c>
      <c r="R57" s="108">
        <v>0</v>
      </c>
    </row>
    <row r="58" spans="1:27" ht="24" customHeight="1">
      <c r="A58" s="81">
        <v>11</v>
      </c>
      <c r="B58" s="114" t="s">
        <v>63</v>
      </c>
      <c r="C58" s="17">
        <v>274791</v>
      </c>
      <c r="D58" s="17">
        <v>274791</v>
      </c>
      <c r="E58" s="104">
        <f t="shared" si="28"/>
        <v>0</v>
      </c>
      <c r="F58" s="110">
        <v>25063</v>
      </c>
      <c r="G58" s="111">
        <v>0</v>
      </c>
      <c r="H58" s="10">
        <f t="shared" si="29"/>
        <v>0</v>
      </c>
      <c r="I58" s="17">
        <v>274791</v>
      </c>
      <c r="J58" s="106">
        <f t="shared" si="22"/>
        <v>0</v>
      </c>
      <c r="K58" s="110">
        <v>25063</v>
      </c>
      <c r="L58" s="107">
        <f t="shared" si="23"/>
        <v>0</v>
      </c>
      <c r="M58" s="111">
        <v>0</v>
      </c>
      <c r="N58" s="28">
        <f t="shared" si="24"/>
        <v>0</v>
      </c>
      <c r="O58" s="84">
        <f t="shared" si="25"/>
        <v>0</v>
      </c>
      <c r="P58" s="79">
        <f t="shared" si="26"/>
        <v>0</v>
      </c>
      <c r="Q58" s="34">
        <f t="shared" si="27"/>
        <v>0</v>
      </c>
      <c r="R58" s="1">
        <v>0</v>
      </c>
    </row>
    <row r="59" spans="1:27" ht="24" customHeight="1">
      <c r="A59" s="81">
        <v>12</v>
      </c>
      <c r="B59" s="115" t="s">
        <v>64</v>
      </c>
      <c r="C59" s="17">
        <v>277907</v>
      </c>
      <c r="D59" s="17">
        <v>277907</v>
      </c>
      <c r="E59" s="104">
        <f t="shared" si="28"/>
        <v>0</v>
      </c>
      <c r="F59" s="110">
        <v>25896</v>
      </c>
      <c r="G59" s="111">
        <v>0</v>
      </c>
      <c r="H59" s="10">
        <f t="shared" si="29"/>
        <v>0</v>
      </c>
      <c r="I59" s="17">
        <v>277907</v>
      </c>
      <c r="J59" s="106">
        <f t="shared" si="22"/>
        <v>0</v>
      </c>
      <c r="K59" s="110">
        <v>25896</v>
      </c>
      <c r="L59" s="107">
        <f t="shared" si="23"/>
        <v>0</v>
      </c>
      <c r="M59" s="111">
        <v>0</v>
      </c>
      <c r="N59" s="28">
        <f t="shared" si="24"/>
        <v>0</v>
      </c>
      <c r="O59" s="84">
        <f t="shared" si="25"/>
        <v>0</v>
      </c>
      <c r="P59" s="79">
        <f t="shared" si="26"/>
        <v>0</v>
      </c>
      <c r="Q59" s="34">
        <f t="shared" si="27"/>
        <v>0</v>
      </c>
      <c r="R59" s="1">
        <v>0</v>
      </c>
    </row>
    <row r="60" spans="1:27" ht="24" customHeight="1">
      <c r="A60" s="81">
        <v>13</v>
      </c>
      <c r="B60" s="114" t="s">
        <v>65</v>
      </c>
      <c r="C60" s="17">
        <v>304994</v>
      </c>
      <c r="D60" s="17">
        <v>304994</v>
      </c>
      <c r="E60" s="104">
        <f t="shared" si="28"/>
        <v>0</v>
      </c>
      <c r="F60" s="110">
        <v>25082</v>
      </c>
      <c r="G60" s="111">
        <v>0</v>
      </c>
      <c r="H60" s="10">
        <f t="shared" si="29"/>
        <v>0</v>
      </c>
      <c r="I60" s="17">
        <v>304994</v>
      </c>
      <c r="J60" s="106">
        <f t="shared" si="22"/>
        <v>0</v>
      </c>
      <c r="K60" s="110">
        <v>25082</v>
      </c>
      <c r="L60" s="107">
        <f t="shared" si="23"/>
        <v>0</v>
      </c>
      <c r="M60" s="111">
        <v>0</v>
      </c>
      <c r="N60" s="28">
        <f t="shared" si="24"/>
        <v>0</v>
      </c>
      <c r="O60" s="84">
        <f t="shared" si="25"/>
        <v>0</v>
      </c>
      <c r="P60" s="79">
        <f t="shared" si="26"/>
        <v>0</v>
      </c>
      <c r="Q60" s="34">
        <f t="shared" si="27"/>
        <v>0</v>
      </c>
      <c r="R60" s="108">
        <v>0</v>
      </c>
    </row>
    <row r="61" spans="1:27" ht="24" customHeight="1">
      <c r="A61" s="109">
        <v>14</v>
      </c>
      <c r="B61" s="115" t="s">
        <v>66</v>
      </c>
      <c r="C61" s="17">
        <v>302969</v>
      </c>
      <c r="D61" s="17">
        <v>302969</v>
      </c>
      <c r="E61" s="104">
        <f t="shared" si="28"/>
        <v>0</v>
      </c>
      <c r="F61" s="110">
        <v>25305</v>
      </c>
      <c r="G61" s="116">
        <v>0</v>
      </c>
      <c r="H61" s="10">
        <f t="shared" si="29"/>
        <v>0</v>
      </c>
      <c r="I61" s="17">
        <v>302969</v>
      </c>
      <c r="J61" s="106">
        <f t="shared" si="22"/>
        <v>0</v>
      </c>
      <c r="K61" s="110">
        <v>25305</v>
      </c>
      <c r="L61" s="107">
        <f t="shared" si="23"/>
        <v>0</v>
      </c>
      <c r="M61" s="111">
        <v>0</v>
      </c>
      <c r="N61" s="28">
        <f t="shared" si="24"/>
        <v>0</v>
      </c>
      <c r="O61" s="84">
        <f t="shared" si="25"/>
        <v>0</v>
      </c>
      <c r="P61" s="79">
        <f t="shared" si="26"/>
        <v>0</v>
      </c>
      <c r="Q61" s="34">
        <f t="shared" si="27"/>
        <v>0</v>
      </c>
      <c r="R61" s="1">
        <v>0</v>
      </c>
    </row>
    <row r="62" spans="1:27" ht="24" customHeight="1">
      <c r="A62" s="81">
        <v>15</v>
      </c>
      <c r="B62" s="115" t="s">
        <v>67</v>
      </c>
      <c r="C62" s="17">
        <v>319817</v>
      </c>
      <c r="D62" s="17">
        <v>319817</v>
      </c>
      <c r="E62" s="104">
        <f t="shared" si="28"/>
        <v>0</v>
      </c>
      <c r="F62" s="110">
        <v>26510</v>
      </c>
      <c r="G62" s="111">
        <v>0</v>
      </c>
      <c r="H62" s="10">
        <f t="shared" si="29"/>
        <v>0</v>
      </c>
      <c r="I62" s="17">
        <v>319817</v>
      </c>
      <c r="J62" s="106">
        <f t="shared" si="22"/>
        <v>0</v>
      </c>
      <c r="K62" s="110">
        <v>26510</v>
      </c>
      <c r="L62" s="107">
        <f t="shared" si="23"/>
        <v>0</v>
      </c>
      <c r="M62" s="111">
        <v>0</v>
      </c>
      <c r="N62" s="28">
        <f t="shared" si="24"/>
        <v>0</v>
      </c>
      <c r="O62" s="84">
        <f t="shared" si="25"/>
        <v>0</v>
      </c>
      <c r="P62" s="79">
        <f t="shared" si="26"/>
        <v>0</v>
      </c>
      <c r="Q62" s="34">
        <f t="shared" si="27"/>
        <v>0</v>
      </c>
      <c r="R62" s="1">
        <v>0</v>
      </c>
    </row>
    <row r="63" spans="1:27" ht="24" customHeight="1">
      <c r="A63" s="81">
        <v>16</v>
      </c>
      <c r="B63" s="31" t="s">
        <v>68</v>
      </c>
      <c r="C63" s="17">
        <v>275477.90000000002</v>
      </c>
      <c r="D63" s="17">
        <v>275477.90000000002</v>
      </c>
      <c r="E63" s="104">
        <f t="shared" si="28"/>
        <v>0</v>
      </c>
      <c r="F63" s="110">
        <v>22344</v>
      </c>
      <c r="G63" s="111">
        <v>0</v>
      </c>
      <c r="H63" s="10">
        <f t="shared" si="29"/>
        <v>0</v>
      </c>
      <c r="I63" s="17">
        <v>275477.90000000002</v>
      </c>
      <c r="J63" s="106">
        <f t="shared" si="22"/>
        <v>0</v>
      </c>
      <c r="K63" s="110">
        <v>22344</v>
      </c>
      <c r="L63" s="107">
        <f t="shared" si="23"/>
        <v>0</v>
      </c>
      <c r="M63" s="112">
        <v>0</v>
      </c>
      <c r="N63" s="28">
        <f t="shared" si="24"/>
        <v>0</v>
      </c>
      <c r="O63" s="84">
        <f t="shared" si="25"/>
        <v>0</v>
      </c>
      <c r="P63" s="79">
        <f t="shared" si="26"/>
        <v>0</v>
      </c>
      <c r="Q63" s="34">
        <f t="shared" si="27"/>
        <v>0</v>
      </c>
      <c r="R63" s="108">
        <v>0</v>
      </c>
    </row>
    <row r="64" spans="1:27" ht="24" customHeight="1">
      <c r="A64" s="81">
        <v>17</v>
      </c>
      <c r="B64" s="31" t="s">
        <v>69</v>
      </c>
      <c r="C64" s="17">
        <v>257585.8</v>
      </c>
      <c r="D64" s="17">
        <v>257585.8</v>
      </c>
      <c r="E64" s="104">
        <f t="shared" si="28"/>
        <v>0</v>
      </c>
      <c r="F64" s="110">
        <v>19725</v>
      </c>
      <c r="G64" s="111">
        <v>0</v>
      </c>
      <c r="H64" s="10">
        <f t="shared" si="29"/>
        <v>0</v>
      </c>
      <c r="I64" s="17">
        <v>257585.8</v>
      </c>
      <c r="J64" s="106">
        <f t="shared" si="22"/>
        <v>0</v>
      </c>
      <c r="K64" s="110">
        <v>19725</v>
      </c>
      <c r="L64" s="107">
        <f t="shared" si="23"/>
        <v>0</v>
      </c>
      <c r="M64" s="112">
        <v>0</v>
      </c>
      <c r="N64" s="28">
        <f t="shared" si="24"/>
        <v>0</v>
      </c>
      <c r="O64" s="84">
        <f t="shared" si="25"/>
        <v>0</v>
      </c>
      <c r="P64" s="79">
        <f t="shared" si="26"/>
        <v>0</v>
      </c>
      <c r="Q64" s="34">
        <f t="shared" si="27"/>
        <v>0</v>
      </c>
      <c r="R64" s="1">
        <v>0</v>
      </c>
    </row>
    <row r="65" spans="1:18" ht="24" customHeight="1">
      <c r="A65" s="109">
        <v>18</v>
      </c>
      <c r="B65" s="31" t="s">
        <v>70</v>
      </c>
      <c r="C65" s="104">
        <v>302130.90000000002</v>
      </c>
      <c r="D65" s="104">
        <v>302130.90000000002</v>
      </c>
      <c r="E65" s="104">
        <f t="shared" si="28"/>
        <v>0</v>
      </c>
      <c r="F65" s="110">
        <v>4897</v>
      </c>
      <c r="G65" s="111">
        <v>0</v>
      </c>
      <c r="H65" s="10">
        <f t="shared" si="29"/>
        <v>0</v>
      </c>
      <c r="I65" s="104">
        <v>302130.90000000002</v>
      </c>
      <c r="J65" s="106">
        <f t="shared" si="22"/>
        <v>0</v>
      </c>
      <c r="K65" s="110">
        <v>4897</v>
      </c>
      <c r="L65" s="107">
        <f t="shared" si="23"/>
        <v>0</v>
      </c>
      <c r="M65" s="111">
        <v>0</v>
      </c>
      <c r="N65" s="28">
        <f t="shared" si="24"/>
        <v>0</v>
      </c>
      <c r="O65" s="84">
        <f t="shared" si="25"/>
        <v>0</v>
      </c>
      <c r="P65" s="79">
        <f t="shared" si="26"/>
        <v>0</v>
      </c>
      <c r="Q65" s="34">
        <f t="shared" si="27"/>
        <v>0</v>
      </c>
      <c r="R65" s="1">
        <v>0</v>
      </c>
    </row>
    <row r="66" spans="1:18" ht="24" customHeight="1">
      <c r="A66" s="81">
        <v>19</v>
      </c>
      <c r="B66" s="31" t="s">
        <v>71</v>
      </c>
      <c r="C66" s="35">
        <v>312119.8</v>
      </c>
      <c r="D66" s="35">
        <v>312119.8</v>
      </c>
      <c r="E66" s="104">
        <f t="shared" si="28"/>
        <v>0</v>
      </c>
      <c r="F66" s="110">
        <v>22791</v>
      </c>
      <c r="G66" s="111">
        <v>0</v>
      </c>
      <c r="H66" s="10">
        <f t="shared" si="29"/>
        <v>0</v>
      </c>
      <c r="I66" s="35">
        <v>312119.8</v>
      </c>
      <c r="J66" s="106">
        <f t="shared" si="22"/>
        <v>0</v>
      </c>
      <c r="K66" s="110">
        <v>22791</v>
      </c>
      <c r="L66" s="107">
        <f t="shared" si="23"/>
        <v>0</v>
      </c>
      <c r="M66" s="111">
        <v>0</v>
      </c>
      <c r="N66" s="28">
        <f>IFERROR(J66/M66,0)</f>
        <v>0</v>
      </c>
      <c r="O66" s="84">
        <f t="shared" si="25"/>
        <v>0</v>
      </c>
      <c r="P66" s="79">
        <f>G66+M66</f>
        <v>0</v>
      </c>
      <c r="Q66" s="34">
        <f t="shared" si="27"/>
        <v>0</v>
      </c>
      <c r="R66" s="108">
        <v>0</v>
      </c>
    </row>
    <row r="67" spans="1:18" ht="24" customHeight="1">
      <c r="A67" s="81">
        <v>20</v>
      </c>
      <c r="B67" s="31" t="s">
        <v>72</v>
      </c>
      <c r="C67" s="35">
        <v>282871.3</v>
      </c>
      <c r="D67" s="35">
        <v>282871.3</v>
      </c>
      <c r="E67" s="104">
        <f t="shared" si="28"/>
        <v>0</v>
      </c>
      <c r="F67" s="110">
        <v>20422</v>
      </c>
      <c r="G67" s="111">
        <v>0</v>
      </c>
      <c r="H67" s="10">
        <f t="shared" si="29"/>
        <v>0</v>
      </c>
      <c r="I67" s="35">
        <v>282871.3</v>
      </c>
      <c r="J67" s="106">
        <f t="shared" si="22"/>
        <v>0</v>
      </c>
      <c r="K67" s="110">
        <v>20422</v>
      </c>
      <c r="L67" s="107">
        <f t="shared" si="23"/>
        <v>0</v>
      </c>
      <c r="M67" s="112">
        <v>0</v>
      </c>
      <c r="N67" s="28">
        <f t="shared" si="24"/>
        <v>0</v>
      </c>
      <c r="O67" s="84">
        <f t="shared" si="25"/>
        <v>0</v>
      </c>
      <c r="P67" s="79">
        <f t="shared" si="26"/>
        <v>0</v>
      </c>
      <c r="Q67" s="34">
        <f t="shared" si="27"/>
        <v>0</v>
      </c>
      <c r="R67" s="1">
        <v>0</v>
      </c>
    </row>
    <row r="68" spans="1:18" ht="24" customHeight="1">
      <c r="A68" s="81">
        <v>21</v>
      </c>
      <c r="B68" s="31" t="s">
        <v>73</v>
      </c>
      <c r="C68" s="104">
        <v>310561</v>
      </c>
      <c r="D68" s="104">
        <v>310561</v>
      </c>
      <c r="E68" s="104">
        <f t="shared" si="28"/>
        <v>0</v>
      </c>
      <c r="F68" s="110">
        <v>22515</v>
      </c>
      <c r="G68" s="111">
        <v>0</v>
      </c>
      <c r="H68" s="10">
        <f t="shared" si="29"/>
        <v>0</v>
      </c>
      <c r="I68" s="104">
        <v>310561</v>
      </c>
      <c r="J68" s="106">
        <f t="shared" si="22"/>
        <v>0</v>
      </c>
      <c r="K68" s="110">
        <v>22515</v>
      </c>
      <c r="L68" s="107">
        <f t="shared" si="23"/>
        <v>0</v>
      </c>
      <c r="M68" s="112">
        <v>0</v>
      </c>
      <c r="N68" s="28">
        <f t="shared" si="24"/>
        <v>0</v>
      </c>
      <c r="O68" s="84">
        <f t="shared" si="25"/>
        <v>0</v>
      </c>
      <c r="P68" s="79">
        <f t="shared" si="26"/>
        <v>0</v>
      </c>
      <c r="Q68" s="34">
        <f t="shared" si="27"/>
        <v>0</v>
      </c>
      <c r="R68" s="1">
        <v>0</v>
      </c>
    </row>
    <row r="69" spans="1:18" ht="24" customHeight="1">
      <c r="A69" s="109">
        <v>22</v>
      </c>
      <c r="B69" s="31" t="s">
        <v>74</v>
      </c>
      <c r="C69" s="35">
        <v>280947.59999999998</v>
      </c>
      <c r="D69" s="35">
        <v>280947.59999999998</v>
      </c>
      <c r="E69" s="104">
        <f t="shared" si="28"/>
        <v>0</v>
      </c>
      <c r="F69" s="110">
        <v>4047</v>
      </c>
      <c r="G69" s="111">
        <v>0</v>
      </c>
      <c r="H69" s="10">
        <f t="shared" si="29"/>
        <v>0</v>
      </c>
      <c r="I69" s="35">
        <v>280947.59999999998</v>
      </c>
      <c r="J69" s="106">
        <f t="shared" si="22"/>
        <v>0</v>
      </c>
      <c r="K69" s="110">
        <v>4047</v>
      </c>
      <c r="L69" s="107">
        <f>K69-F69</f>
        <v>0</v>
      </c>
      <c r="M69" s="111">
        <v>0</v>
      </c>
      <c r="N69" s="28">
        <f t="shared" si="24"/>
        <v>0</v>
      </c>
      <c r="O69" s="84">
        <f t="shared" si="25"/>
        <v>0</v>
      </c>
      <c r="P69" s="79">
        <f t="shared" si="26"/>
        <v>0</v>
      </c>
      <c r="Q69" s="34">
        <f t="shared" si="27"/>
        <v>0</v>
      </c>
      <c r="R69" s="108">
        <v>0</v>
      </c>
    </row>
    <row r="70" spans="1:18" ht="24" customHeight="1">
      <c r="A70" s="81">
        <v>23</v>
      </c>
      <c r="B70" s="31" t="s">
        <v>75</v>
      </c>
      <c r="C70" s="104">
        <v>298676.7</v>
      </c>
      <c r="D70" s="104">
        <v>298676.7</v>
      </c>
      <c r="E70" s="104">
        <f t="shared" si="28"/>
        <v>0</v>
      </c>
      <c r="F70" s="110">
        <v>21467</v>
      </c>
      <c r="G70" s="111">
        <v>0</v>
      </c>
      <c r="H70" s="10">
        <f t="shared" si="29"/>
        <v>0</v>
      </c>
      <c r="I70" s="104">
        <v>298676.7</v>
      </c>
      <c r="J70" s="106">
        <f t="shared" si="22"/>
        <v>0</v>
      </c>
      <c r="K70" s="110">
        <v>21467</v>
      </c>
      <c r="L70" s="107">
        <f t="shared" si="23"/>
        <v>0</v>
      </c>
      <c r="M70" s="112">
        <v>0</v>
      </c>
      <c r="N70" s="28">
        <f t="shared" si="24"/>
        <v>0</v>
      </c>
      <c r="O70" s="84">
        <f t="shared" si="25"/>
        <v>0</v>
      </c>
      <c r="P70" s="79">
        <f t="shared" si="26"/>
        <v>0</v>
      </c>
      <c r="Q70" s="34">
        <f t="shared" si="27"/>
        <v>0</v>
      </c>
      <c r="R70" s="1">
        <v>0</v>
      </c>
    </row>
    <row r="71" spans="1:18" ht="24" customHeight="1">
      <c r="A71" s="81">
        <v>24</v>
      </c>
      <c r="B71" s="31" t="s">
        <v>76</v>
      </c>
      <c r="C71" s="104">
        <v>263594.40000000002</v>
      </c>
      <c r="D71" s="104">
        <v>263594.40000000002</v>
      </c>
      <c r="E71" s="104">
        <f t="shared" si="28"/>
        <v>0</v>
      </c>
      <c r="F71" s="110">
        <v>19413</v>
      </c>
      <c r="G71" s="111">
        <v>0</v>
      </c>
      <c r="H71" s="10">
        <f t="shared" si="29"/>
        <v>0</v>
      </c>
      <c r="I71" s="104">
        <v>263594.40000000002</v>
      </c>
      <c r="J71" s="106">
        <f t="shared" si="22"/>
        <v>0</v>
      </c>
      <c r="K71" s="110">
        <v>19413</v>
      </c>
      <c r="L71" s="107">
        <f t="shared" si="23"/>
        <v>0</v>
      </c>
      <c r="M71" s="111">
        <v>0</v>
      </c>
      <c r="N71" s="28">
        <f t="shared" si="24"/>
        <v>0</v>
      </c>
      <c r="O71" s="84">
        <f t="shared" si="25"/>
        <v>0</v>
      </c>
      <c r="P71" s="79">
        <f t="shared" si="26"/>
        <v>0</v>
      </c>
      <c r="Q71" s="34">
        <f t="shared" si="27"/>
        <v>0</v>
      </c>
      <c r="R71" s="1">
        <v>0</v>
      </c>
    </row>
    <row r="72" spans="1:18" ht="24" customHeight="1">
      <c r="A72" s="81">
        <v>25</v>
      </c>
      <c r="B72" s="31" t="s">
        <v>77</v>
      </c>
      <c r="C72" s="83">
        <v>261723.3</v>
      </c>
      <c r="D72" s="83">
        <v>261723.3</v>
      </c>
      <c r="E72" s="104">
        <f t="shared" si="28"/>
        <v>0</v>
      </c>
      <c r="F72" s="110">
        <v>19131</v>
      </c>
      <c r="G72" s="111">
        <v>0</v>
      </c>
      <c r="H72" s="10">
        <f t="shared" si="29"/>
        <v>0</v>
      </c>
      <c r="I72" s="83">
        <v>261723.3</v>
      </c>
      <c r="J72" s="106">
        <f t="shared" si="22"/>
        <v>0</v>
      </c>
      <c r="K72" s="110">
        <v>19131</v>
      </c>
      <c r="L72" s="107">
        <f>K72-F72</f>
        <v>0</v>
      </c>
      <c r="M72" s="111">
        <v>0</v>
      </c>
      <c r="N72" s="28">
        <f t="shared" si="24"/>
        <v>0</v>
      </c>
      <c r="O72" s="84">
        <f t="shared" si="25"/>
        <v>0</v>
      </c>
      <c r="P72" s="79">
        <f t="shared" si="26"/>
        <v>0</v>
      </c>
      <c r="Q72" s="34">
        <f t="shared" si="27"/>
        <v>0</v>
      </c>
      <c r="R72" s="108">
        <v>0</v>
      </c>
    </row>
    <row r="73" spans="1:18" ht="24" customHeight="1">
      <c r="A73" s="109">
        <v>26</v>
      </c>
      <c r="B73" s="31" t="s">
        <v>78</v>
      </c>
      <c r="C73" s="104">
        <v>287364.2</v>
      </c>
      <c r="D73" s="104">
        <v>287364.2</v>
      </c>
      <c r="E73" s="104">
        <f t="shared" si="28"/>
        <v>0</v>
      </c>
      <c r="F73" s="110">
        <v>20701</v>
      </c>
      <c r="G73" s="111">
        <v>0</v>
      </c>
      <c r="H73" s="10">
        <f t="shared" si="29"/>
        <v>0</v>
      </c>
      <c r="I73" s="104">
        <v>287364.2</v>
      </c>
      <c r="J73" s="106">
        <f t="shared" si="22"/>
        <v>0</v>
      </c>
      <c r="K73" s="110">
        <v>20701</v>
      </c>
      <c r="L73" s="107">
        <f t="shared" si="23"/>
        <v>0</v>
      </c>
      <c r="M73" s="111">
        <v>0</v>
      </c>
      <c r="N73" s="28">
        <f t="shared" si="24"/>
        <v>0</v>
      </c>
      <c r="O73" s="84">
        <f t="shared" si="25"/>
        <v>0</v>
      </c>
      <c r="P73" s="79">
        <f t="shared" si="26"/>
        <v>0</v>
      </c>
      <c r="Q73" s="34">
        <f t="shared" si="27"/>
        <v>0</v>
      </c>
      <c r="R73" s="1">
        <v>0</v>
      </c>
    </row>
    <row r="74" spans="1:18" ht="24" customHeight="1">
      <c r="A74" s="81">
        <v>27</v>
      </c>
      <c r="B74" s="31" t="s">
        <v>79</v>
      </c>
      <c r="C74" s="104">
        <v>302181.2</v>
      </c>
      <c r="D74" s="104">
        <v>302181.2</v>
      </c>
      <c r="E74" s="104">
        <f t="shared" si="28"/>
        <v>0</v>
      </c>
      <c r="F74" s="110">
        <v>21434</v>
      </c>
      <c r="G74" s="111">
        <v>0</v>
      </c>
      <c r="H74" s="10">
        <f t="shared" si="29"/>
        <v>0</v>
      </c>
      <c r="I74" s="104">
        <v>302181.2</v>
      </c>
      <c r="J74" s="106">
        <f t="shared" si="22"/>
        <v>0</v>
      </c>
      <c r="K74" s="110">
        <v>21434</v>
      </c>
      <c r="L74" s="107">
        <f t="shared" si="23"/>
        <v>0</v>
      </c>
      <c r="M74" s="111">
        <v>0</v>
      </c>
      <c r="N74" s="28">
        <f t="shared" si="24"/>
        <v>0</v>
      </c>
      <c r="O74" s="84">
        <f t="shared" si="25"/>
        <v>0</v>
      </c>
      <c r="P74" s="79">
        <f t="shared" si="26"/>
        <v>0</v>
      </c>
      <c r="Q74" s="34">
        <f t="shared" si="27"/>
        <v>0</v>
      </c>
      <c r="R74" s="1">
        <v>0</v>
      </c>
    </row>
    <row r="75" spans="1:18" ht="24" customHeight="1">
      <c r="A75" s="81">
        <v>28</v>
      </c>
      <c r="B75" s="114" t="s">
        <v>80</v>
      </c>
      <c r="C75" s="104">
        <v>243134.9</v>
      </c>
      <c r="D75" s="104">
        <v>243134.9</v>
      </c>
      <c r="E75" s="104">
        <f t="shared" si="28"/>
        <v>0</v>
      </c>
      <c r="F75" s="110">
        <v>18126</v>
      </c>
      <c r="G75" s="111">
        <v>0</v>
      </c>
      <c r="H75" s="10">
        <f t="shared" si="29"/>
        <v>0</v>
      </c>
      <c r="I75" s="104">
        <v>243134.9</v>
      </c>
      <c r="J75" s="106">
        <f t="shared" si="22"/>
        <v>0</v>
      </c>
      <c r="K75" s="110">
        <v>18126</v>
      </c>
      <c r="L75" s="107">
        <f t="shared" si="23"/>
        <v>0</v>
      </c>
      <c r="M75" s="111">
        <v>0</v>
      </c>
      <c r="N75" s="28">
        <f t="shared" si="24"/>
        <v>0</v>
      </c>
      <c r="O75" s="84">
        <f t="shared" si="25"/>
        <v>0</v>
      </c>
      <c r="P75" s="79">
        <f t="shared" si="26"/>
        <v>0</v>
      </c>
      <c r="Q75" s="34">
        <f t="shared" si="27"/>
        <v>0</v>
      </c>
      <c r="R75" s="108">
        <v>0</v>
      </c>
    </row>
    <row r="76" spans="1:18" ht="24" customHeight="1">
      <c r="A76" s="81">
        <v>29</v>
      </c>
      <c r="B76" s="114" t="s">
        <v>81</v>
      </c>
      <c r="C76" s="104">
        <v>242568.7</v>
      </c>
      <c r="D76" s="104">
        <v>242568.7</v>
      </c>
      <c r="E76" s="104">
        <f t="shared" si="28"/>
        <v>0</v>
      </c>
      <c r="F76" s="110">
        <v>18093</v>
      </c>
      <c r="G76" s="111">
        <v>0</v>
      </c>
      <c r="H76" s="10">
        <f t="shared" si="29"/>
        <v>0</v>
      </c>
      <c r="I76" s="104">
        <v>242568.7</v>
      </c>
      <c r="J76" s="106">
        <f t="shared" si="22"/>
        <v>0</v>
      </c>
      <c r="K76" s="110">
        <v>18093</v>
      </c>
      <c r="L76" s="107">
        <f t="shared" si="23"/>
        <v>0</v>
      </c>
      <c r="M76" s="111">
        <v>0</v>
      </c>
      <c r="N76" s="28">
        <f t="shared" si="24"/>
        <v>0</v>
      </c>
      <c r="O76" s="84">
        <f t="shared" si="25"/>
        <v>0</v>
      </c>
      <c r="P76" s="79">
        <f t="shared" si="26"/>
        <v>0</v>
      </c>
      <c r="Q76" s="34">
        <f t="shared" si="27"/>
        <v>0</v>
      </c>
      <c r="R76" s="1">
        <v>0</v>
      </c>
    </row>
    <row r="77" spans="1:18" ht="24" customHeight="1">
      <c r="A77" s="109">
        <v>30</v>
      </c>
      <c r="B77" s="114" t="s">
        <v>82</v>
      </c>
      <c r="C77" s="104">
        <v>249389.7</v>
      </c>
      <c r="D77" s="104">
        <v>249389.7</v>
      </c>
      <c r="E77" s="104">
        <f t="shared" si="28"/>
        <v>0</v>
      </c>
      <c r="F77" s="110">
        <v>17720</v>
      </c>
      <c r="G77" s="111">
        <v>0</v>
      </c>
      <c r="H77" s="10">
        <f t="shared" si="29"/>
        <v>0</v>
      </c>
      <c r="I77" s="104">
        <v>249389.7</v>
      </c>
      <c r="J77" s="106">
        <f t="shared" si="22"/>
        <v>0</v>
      </c>
      <c r="K77" s="110">
        <v>17720</v>
      </c>
      <c r="L77" s="107">
        <f t="shared" si="23"/>
        <v>0</v>
      </c>
      <c r="M77" s="112">
        <v>0</v>
      </c>
      <c r="N77" s="28">
        <f t="shared" si="24"/>
        <v>0</v>
      </c>
      <c r="O77" s="84">
        <f t="shared" si="25"/>
        <v>0</v>
      </c>
      <c r="P77" s="79">
        <f t="shared" si="26"/>
        <v>0</v>
      </c>
      <c r="Q77" s="34">
        <f t="shared" si="27"/>
        <v>0</v>
      </c>
      <c r="R77" s="1">
        <v>0</v>
      </c>
    </row>
    <row r="78" spans="1:18" ht="24" customHeight="1">
      <c r="A78" s="81">
        <v>31</v>
      </c>
      <c r="B78" s="31" t="s">
        <v>83</v>
      </c>
      <c r="C78" s="104">
        <v>258031.3</v>
      </c>
      <c r="D78" s="104">
        <v>258031.3</v>
      </c>
      <c r="E78" s="104">
        <f t="shared" si="28"/>
        <v>0</v>
      </c>
      <c r="F78" s="110">
        <v>18273</v>
      </c>
      <c r="G78" s="111">
        <v>0</v>
      </c>
      <c r="H78" s="10">
        <f t="shared" si="29"/>
        <v>0</v>
      </c>
      <c r="I78" s="104">
        <v>258181.9</v>
      </c>
      <c r="J78" s="106">
        <f t="shared" si="22"/>
        <v>150.60000000000582</v>
      </c>
      <c r="K78" s="110">
        <v>18285</v>
      </c>
      <c r="L78" s="107">
        <f t="shared" si="23"/>
        <v>12</v>
      </c>
      <c r="M78" s="112">
        <v>233.06</v>
      </c>
      <c r="N78" s="28">
        <f t="shared" si="24"/>
        <v>0.64618553162278303</v>
      </c>
      <c r="O78" s="84">
        <f t="shared" si="25"/>
        <v>150.60000000000582</v>
      </c>
      <c r="P78" s="79">
        <f t="shared" si="26"/>
        <v>233.06</v>
      </c>
      <c r="Q78" s="34">
        <f t="shared" si="27"/>
        <v>0.64618553162278303</v>
      </c>
      <c r="R78" s="108">
        <v>0</v>
      </c>
    </row>
    <row r="79" spans="1:18" ht="24" customHeight="1">
      <c r="A79" s="81">
        <v>32</v>
      </c>
      <c r="B79" s="31" t="s">
        <v>84</v>
      </c>
      <c r="C79" s="104">
        <v>269216.59999999998</v>
      </c>
      <c r="D79" s="104">
        <v>269216.59999999998</v>
      </c>
      <c r="E79" s="104">
        <f t="shared" si="28"/>
        <v>0</v>
      </c>
      <c r="F79" s="110">
        <v>17611</v>
      </c>
      <c r="G79" s="111">
        <v>0</v>
      </c>
      <c r="H79" s="10">
        <f t="shared" si="29"/>
        <v>0</v>
      </c>
      <c r="I79" s="104">
        <v>269216.59999999998</v>
      </c>
      <c r="J79" s="106">
        <f t="shared" si="22"/>
        <v>0</v>
      </c>
      <c r="K79" s="110">
        <v>17611</v>
      </c>
      <c r="L79" s="107">
        <f t="shared" si="23"/>
        <v>0</v>
      </c>
      <c r="M79" s="112">
        <v>0</v>
      </c>
      <c r="N79" s="28">
        <f t="shared" si="24"/>
        <v>0</v>
      </c>
      <c r="O79" s="84">
        <f t="shared" si="25"/>
        <v>0</v>
      </c>
      <c r="P79" s="79">
        <f t="shared" si="26"/>
        <v>0</v>
      </c>
      <c r="Q79" s="34">
        <f t="shared" si="27"/>
        <v>0</v>
      </c>
      <c r="R79" s="1">
        <v>0</v>
      </c>
    </row>
    <row r="80" spans="1:18" ht="24" customHeight="1">
      <c r="A80" s="81">
        <v>33</v>
      </c>
      <c r="B80" s="31" t="s">
        <v>85</v>
      </c>
      <c r="C80" s="35">
        <v>277369.59999999998</v>
      </c>
      <c r="D80" s="35">
        <v>277369.59999999998</v>
      </c>
      <c r="E80" s="104">
        <f t="shared" si="28"/>
        <v>0</v>
      </c>
      <c r="F80" s="110">
        <v>19532</v>
      </c>
      <c r="G80" s="111">
        <v>0</v>
      </c>
      <c r="H80" s="10">
        <f t="shared" si="29"/>
        <v>0</v>
      </c>
      <c r="I80" s="35">
        <v>277369.59999999998</v>
      </c>
      <c r="J80" s="106">
        <f t="shared" si="22"/>
        <v>0</v>
      </c>
      <c r="K80" s="110">
        <v>19532</v>
      </c>
      <c r="L80" s="107">
        <f t="shared" si="23"/>
        <v>0</v>
      </c>
      <c r="M80" s="112">
        <v>0</v>
      </c>
      <c r="N80" s="28">
        <f t="shared" si="24"/>
        <v>0</v>
      </c>
      <c r="O80" s="84">
        <f t="shared" si="25"/>
        <v>0</v>
      </c>
      <c r="P80" s="79">
        <f t="shared" si="26"/>
        <v>0</v>
      </c>
      <c r="Q80" s="34">
        <f t="shared" si="27"/>
        <v>0</v>
      </c>
      <c r="R80" s="1">
        <v>0</v>
      </c>
    </row>
    <row r="81" spans="1:19" ht="24" customHeight="1">
      <c r="A81" s="109">
        <v>34</v>
      </c>
      <c r="B81" s="31" t="s">
        <v>86</v>
      </c>
      <c r="C81" s="104">
        <v>248328.8</v>
      </c>
      <c r="D81" s="104">
        <v>248328.8</v>
      </c>
      <c r="E81" s="104">
        <f t="shared" si="28"/>
        <v>0</v>
      </c>
      <c r="F81" s="110">
        <v>17614</v>
      </c>
      <c r="G81" s="111">
        <v>0</v>
      </c>
      <c r="H81" s="10">
        <f t="shared" si="29"/>
        <v>0</v>
      </c>
      <c r="I81" s="104">
        <v>248328.8</v>
      </c>
      <c r="J81" s="106">
        <f t="shared" si="22"/>
        <v>0</v>
      </c>
      <c r="K81" s="110">
        <v>17614</v>
      </c>
      <c r="L81" s="107">
        <f t="shared" si="23"/>
        <v>0</v>
      </c>
      <c r="M81" s="112">
        <v>0</v>
      </c>
      <c r="N81" s="28">
        <f t="shared" si="24"/>
        <v>0</v>
      </c>
      <c r="O81" s="84">
        <f t="shared" si="25"/>
        <v>0</v>
      </c>
      <c r="P81" s="79">
        <f t="shared" si="26"/>
        <v>0</v>
      </c>
      <c r="Q81" s="34">
        <f t="shared" si="27"/>
        <v>0</v>
      </c>
      <c r="R81" s="108">
        <v>0</v>
      </c>
    </row>
    <row r="82" spans="1:19" ht="24" customHeight="1">
      <c r="A82" s="81">
        <v>35</v>
      </c>
      <c r="B82" s="31" t="s">
        <v>87</v>
      </c>
      <c r="C82" s="104">
        <v>277313.8</v>
      </c>
      <c r="D82" s="104">
        <v>277313.8</v>
      </c>
      <c r="E82" s="104">
        <f t="shared" si="28"/>
        <v>0</v>
      </c>
      <c r="F82" s="110">
        <v>19116</v>
      </c>
      <c r="G82" s="111">
        <v>0</v>
      </c>
      <c r="H82" s="10">
        <f t="shared" si="29"/>
        <v>0</v>
      </c>
      <c r="I82" s="104">
        <v>277313.8</v>
      </c>
      <c r="J82" s="106">
        <f t="shared" si="22"/>
        <v>0</v>
      </c>
      <c r="K82" s="110">
        <v>19116</v>
      </c>
      <c r="L82" s="107">
        <f t="shared" si="23"/>
        <v>0</v>
      </c>
      <c r="M82" s="111">
        <v>0</v>
      </c>
      <c r="N82" s="28">
        <f t="shared" si="24"/>
        <v>0</v>
      </c>
      <c r="O82" s="84">
        <f t="shared" si="25"/>
        <v>0</v>
      </c>
      <c r="P82" s="79">
        <f t="shared" si="26"/>
        <v>0</v>
      </c>
      <c r="Q82" s="34">
        <f t="shared" si="27"/>
        <v>0</v>
      </c>
      <c r="R82" s="1">
        <v>0</v>
      </c>
    </row>
    <row r="83" spans="1:19" ht="24" customHeight="1">
      <c r="A83" s="81">
        <v>36</v>
      </c>
      <c r="B83" s="31" t="s">
        <v>88</v>
      </c>
      <c r="C83" s="104">
        <v>272980.09999999998</v>
      </c>
      <c r="D83" s="104">
        <v>272980.09999999998</v>
      </c>
      <c r="E83" s="104">
        <f t="shared" si="28"/>
        <v>0</v>
      </c>
      <c r="F83" s="110">
        <v>18477</v>
      </c>
      <c r="G83" s="111">
        <v>0</v>
      </c>
      <c r="H83" s="10">
        <f t="shared" si="29"/>
        <v>0</v>
      </c>
      <c r="I83" s="104">
        <v>272980.09999999998</v>
      </c>
      <c r="J83" s="106">
        <f t="shared" si="22"/>
        <v>0</v>
      </c>
      <c r="K83" s="110">
        <v>18477</v>
      </c>
      <c r="L83" s="107">
        <f t="shared" si="23"/>
        <v>0</v>
      </c>
      <c r="M83" s="111">
        <v>0</v>
      </c>
      <c r="N83" s="28">
        <f t="shared" si="24"/>
        <v>0</v>
      </c>
      <c r="O83" s="84">
        <f t="shared" si="25"/>
        <v>0</v>
      </c>
      <c r="P83" s="79">
        <f t="shared" si="26"/>
        <v>0</v>
      </c>
      <c r="Q83" s="34">
        <f t="shared" si="27"/>
        <v>0</v>
      </c>
      <c r="R83" s="1">
        <v>0</v>
      </c>
    </row>
    <row r="84" spans="1:19" ht="24" customHeight="1">
      <c r="A84" s="81">
        <v>37</v>
      </c>
      <c r="B84" s="31" t="s">
        <v>89</v>
      </c>
      <c r="C84" s="35">
        <v>265455.5</v>
      </c>
      <c r="D84" s="35">
        <v>265455.5</v>
      </c>
      <c r="E84" s="104">
        <f t="shared" si="28"/>
        <v>0</v>
      </c>
      <c r="F84" s="110">
        <v>18146</v>
      </c>
      <c r="G84" s="111">
        <v>0</v>
      </c>
      <c r="H84" s="10">
        <f t="shared" si="29"/>
        <v>0</v>
      </c>
      <c r="I84" s="35">
        <v>265455.5</v>
      </c>
      <c r="J84" s="106">
        <f t="shared" si="22"/>
        <v>0</v>
      </c>
      <c r="K84" s="110">
        <v>18146</v>
      </c>
      <c r="L84" s="107">
        <f t="shared" si="23"/>
        <v>0</v>
      </c>
      <c r="M84" s="111">
        <v>0</v>
      </c>
      <c r="N84" s="28">
        <f t="shared" si="24"/>
        <v>0</v>
      </c>
      <c r="O84" s="84">
        <f t="shared" si="25"/>
        <v>0</v>
      </c>
      <c r="P84" s="79">
        <f t="shared" si="26"/>
        <v>0</v>
      </c>
      <c r="Q84" s="34">
        <f t="shared" si="27"/>
        <v>0</v>
      </c>
      <c r="R84" s="108">
        <v>0</v>
      </c>
    </row>
    <row r="85" spans="1:19" ht="24" customHeight="1">
      <c r="A85" s="109">
        <v>38</v>
      </c>
      <c r="B85" s="31" t="s">
        <v>90</v>
      </c>
      <c r="C85" s="104">
        <v>242873.5</v>
      </c>
      <c r="D85" s="104">
        <v>242873.5</v>
      </c>
      <c r="E85" s="104">
        <f t="shared" si="28"/>
        <v>0</v>
      </c>
      <c r="F85" s="110">
        <v>17467</v>
      </c>
      <c r="G85" s="111">
        <v>0</v>
      </c>
      <c r="H85" s="10">
        <f>IFERROR(E85/G85,0)</f>
        <v>0</v>
      </c>
      <c r="I85" s="104">
        <v>242873.5</v>
      </c>
      <c r="J85" s="106">
        <f t="shared" si="22"/>
        <v>0</v>
      </c>
      <c r="K85" s="110">
        <v>17467</v>
      </c>
      <c r="L85" s="107">
        <f t="shared" si="23"/>
        <v>0</v>
      </c>
      <c r="M85" s="111">
        <v>0</v>
      </c>
      <c r="N85" s="28">
        <f t="shared" si="24"/>
        <v>0</v>
      </c>
      <c r="O85" s="84">
        <f t="shared" si="25"/>
        <v>0</v>
      </c>
      <c r="P85" s="79">
        <f t="shared" si="26"/>
        <v>0</v>
      </c>
      <c r="Q85" s="34">
        <f t="shared" si="27"/>
        <v>0</v>
      </c>
      <c r="R85" s="1">
        <v>0</v>
      </c>
    </row>
    <row r="86" spans="1:19" ht="24" customHeight="1">
      <c r="A86" s="81">
        <v>39</v>
      </c>
      <c r="B86" s="31" t="s">
        <v>91</v>
      </c>
      <c r="C86" s="104">
        <v>254153.9</v>
      </c>
      <c r="D86" s="104">
        <v>254153.9</v>
      </c>
      <c r="E86" s="104">
        <f t="shared" si="28"/>
        <v>0</v>
      </c>
      <c r="F86" s="110">
        <v>17731</v>
      </c>
      <c r="G86" s="111">
        <v>0</v>
      </c>
      <c r="H86" s="10">
        <f t="shared" si="29"/>
        <v>0</v>
      </c>
      <c r="I86" s="104">
        <v>254153.9</v>
      </c>
      <c r="J86" s="106">
        <f t="shared" si="22"/>
        <v>0</v>
      </c>
      <c r="K86" s="110">
        <v>17731</v>
      </c>
      <c r="L86" s="107">
        <f t="shared" si="23"/>
        <v>0</v>
      </c>
      <c r="M86" s="111">
        <v>0</v>
      </c>
      <c r="N86" s="28">
        <f t="shared" si="24"/>
        <v>0</v>
      </c>
      <c r="O86" s="84">
        <f t="shared" si="25"/>
        <v>0</v>
      </c>
      <c r="P86" s="79">
        <f t="shared" si="26"/>
        <v>0</v>
      </c>
      <c r="Q86" s="34">
        <f t="shared" si="27"/>
        <v>0</v>
      </c>
      <c r="R86" s="1">
        <v>0</v>
      </c>
    </row>
    <row r="87" spans="1:19" ht="24" customHeight="1">
      <c r="A87" s="81">
        <v>40</v>
      </c>
      <c r="B87" s="31" t="s">
        <v>92</v>
      </c>
      <c r="C87" s="35">
        <v>236734.6</v>
      </c>
      <c r="D87" s="35">
        <v>236734.6</v>
      </c>
      <c r="E87" s="104">
        <f>D87-C87</f>
        <v>0</v>
      </c>
      <c r="F87" s="110">
        <v>17104</v>
      </c>
      <c r="G87" s="111">
        <v>0</v>
      </c>
      <c r="H87" s="10">
        <f t="shared" si="29"/>
        <v>0</v>
      </c>
      <c r="I87" s="35">
        <v>236734.6</v>
      </c>
      <c r="J87" s="106">
        <f>I87-D87</f>
        <v>0</v>
      </c>
      <c r="K87" s="110">
        <v>17104</v>
      </c>
      <c r="L87" s="107">
        <f t="shared" si="23"/>
        <v>0</v>
      </c>
      <c r="M87" s="111">
        <v>0</v>
      </c>
      <c r="N87" s="28">
        <f t="shared" si="24"/>
        <v>0</v>
      </c>
      <c r="O87" s="84">
        <f t="shared" si="25"/>
        <v>0</v>
      </c>
      <c r="P87" s="79">
        <f>G87+M87</f>
        <v>0</v>
      </c>
      <c r="Q87" s="34">
        <f t="shared" si="27"/>
        <v>0</v>
      </c>
      <c r="R87" s="108">
        <v>0</v>
      </c>
    </row>
    <row r="88" spans="1:19" ht="24" customHeight="1">
      <c r="A88" s="81">
        <v>41</v>
      </c>
      <c r="B88" s="31" t="s">
        <v>93</v>
      </c>
      <c r="C88" s="104">
        <v>245069.3</v>
      </c>
      <c r="D88" s="104">
        <v>245069.3</v>
      </c>
      <c r="E88" s="104">
        <f>D88-C88</f>
        <v>0</v>
      </c>
      <c r="F88" s="110">
        <v>16590</v>
      </c>
      <c r="G88" s="111">
        <v>0</v>
      </c>
      <c r="H88" s="10">
        <f t="shared" si="29"/>
        <v>0</v>
      </c>
      <c r="I88" s="104">
        <v>245069.3</v>
      </c>
      <c r="J88" s="106">
        <f>I88-D88</f>
        <v>0</v>
      </c>
      <c r="K88" s="110">
        <v>16590</v>
      </c>
      <c r="L88" s="107">
        <f t="shared" si="23"/>
        <v>0</v>
      </c>
      <c r="M88" s="111">
        <v>0</v>
      </c>
      <c r="N88" s="28">
        <f t="shared" si="24"/>
        <v>0</v>
      </c>
      <c r="O88" s="84">
        <f t="shared" si="25"/>
        <v>0</v>
      </c>
      <c r="P88" s="79">
        <f t="shared" si="26"/>
        <v>0</v>
      </c>
      <c r="Q88" s="34">
        <f t="shared" si="27"/>
        <v>0</v>
      </c>
      <c r="R88" s="1">
        <v>0</v>
      </c>
      <c r="S88" t="s">
        <v>94</v>
      </c>
    </row>
    <row r="89" spans="1:19" ht="24" customHeight="1">
      <c r="A89" s="109">
        <v>42</v>
      </c>
      <c r="B89" s="31" t="s">
        <v>95</v>
      </c>
      <c r="C89" s="104">
        <v>242247.6</v>
      </c>
      <c r="D89" s="104">
        <v>242247.6</v>
      </c>
      <c r="E89" s="104">
        <f t="shared" si="28"/>
        <v>0</v>
      </c>
      <c r="F89" s="110">
        <v>18040</v>
      </c>
      <c r="G89" s="111">
        <v>0</v>
      </c>
      <c r="H89" s="10">
        <f t="shared" si="29"/>
        <v>0</v>
      </c>
      <c r="I89" s="104">
        <v>242247.6</v>
      </c>
      <c r="J89" s="106">
        <f t="shared" si="22"/>
        <v>0</v>
      </c>
      <c r="K89" s="110">
        <v>18040</v>
      </c>
      <c r="L89" s="107">
        <f t="shared" si="23"/>
        <v>0</v>
      </c>
      <c r="M89" s="111">
        <v>0</v>
      </c>
      <c r="N89" s="28">
        <f t="shared" si="24"/>
        <v>0</v>
      </c>
      <c r="O89" s="84">
        <f t="shared" si="25"/>
        <v>0</v>
      </c>
      <c r="P89" s="79">
        <f t="shared" si="26"/>
        <v>0</v>
      </c>
      <c r="Q89" s="34">
        <f t="shared" si="27"/>
        <v>0</v>
      </c>
      <c r="R89" s="1">
        <v>0</v>
      </c>
    </row>
    <row r="90" spans="1:19" ht="24" customHeight="1">
      <c r="A90" s="81">
        <v>43</v>
      </c>
      <c r="B90" s="31" t="s">
        <v>96</v>
      </c>
      <c r="C90" s="35">
        <v>246890</v>
      </c>
      <c r="D90" s="35">
        <v>246890</v>
      </c>
      <c r="E90" s="104">
        <f t="shared" si="28"/>
        <v>0</v>
      </c>
      <c r="F90" s="110">
        <v>17724</v>
      </c>
      <c r="G90" s="111">
        <v>0</v>
      </c>
      <c r="H90" s="10">
        <f>IFERROR(E90/G90,0)</f>
        <v>0</v>
      </c>
      <c r="I90" s="35">
        <v>246890</v>
      </c>
      <c r="J90" s="106">
        <f t="shared" si="22"/>
        <v>0</v>
      </c>
      <c r="K90" s="110">
        <v>17724</v>
      </c>
      <c r="L90" s="107">
        <f t="shared" si="23"/>
        <v>0</v>
      </c>
      <c r="M90" s="111">
        <v>0</v>
      </c>
      <c r="N90" s="28">
        <f t="shared" si="24"/>
        <v>0</v>
      </c>
      <c r="O90" s="84">
        <f t="shared" si="25"/>
        <v>0</v>
      </c>
      <c r="P90" s="79">
        <f t="shared" si="26"/>
        <v>0</v>
      </c>
      <c r="Q90" s="34">
        <f t="shared" si="27"/>
        <v>0</v>
      </c>
      <c r="R90" s="108">
        <v>0</v>
      </c>
    </row>
    <row r="91" spans="1:19" ht="24" customHeight="1">
      <c r="A91" s="81">
        <v>44</v>
      </c>
      <c r="B91" s="31" t="s">
        <v>97</v>
      </c>
      <c r="C91" s="104">
        <v>235262.5</v>
      </c>
      <c r="D91" s="104">
        <v>235262.5</v>
      </c>
      <c r="E91" s="104">
        <f t="shared" si="28"/>
        <v>0</v>
      </c>
      <c r="F91" s="110">
        <v>16240</v>
      </c>
      <c r="G91" s="111">
        <v>0</v>
      </c>
      <c r="H91" s="10">
        <f t="shared" si="29"/>
        <v>0</v>
      </c>
      <c r="I91" s="104">
        <v>235262.5</v>
      </c>
      <c r="J91" s="106">
        <f t="shared" si="22"/>
        <v>0</v>
      </c>
      <c r="K91" s="110">
        <v>16240</v>
      </c>
      <c r="L91" s="107">
        <f t="shared" si="23"/>
        <v>0</v>
      </c>
      <c r="M91" s="111">
        <v>0</v>
      </c>
      <c r="N91" s="28">
        <f t="shared" si="24"/>
        <v>0</v>
      </c>
      <c r="O91" s="84">
        <f t="shared" si="25"/>
        <v>0</v>
      </c>
      <c r="P91" s="79">
        <f t="shared" si="26"/>
        <v>0</v>
      </c>
      <c r="Q91" s="34">
        <f t="shared" si="27"/>
        <v>0</v>
      </c>
      <c r="R91" s="1">
        <v>0</v>
      </c>
    </row>
    <row r="92" spans="1:19" ht="24" customHeight="1">
      <c r="A92" s="81">
        <v>45</v>
      </c>
      <c r="B92" s="117" t="s">
        <v>98</v>
      </c>
      <c r="C92" s="104">
        <v>204372</v>
      </c>
      <c r="D92" s="104">
        <v>204372</v>
      </c>
      <c r="E92" s="118">
        <f t="shared" si="28"/>
        <v>0</v>
      </c>
      <c r="F92" s="110">
        <v>17402</v>
      </c>
      <c r="G92" s="111">
        <v>0</v>
      </c>
      <c r="H92" s="55">
        <f t="shared" si="29"/>
        <v>0</v>
      </c>
      <c r="I92" s="104">
        <v>204372</v>
      </c>
      <c r="J92" s="119">
        <f t="shared" si="22"/>
        <v>0</v>
      </c>
      <c r="K92" s="110">
        <v>17402</v>
      </c>
      <c r="L92" s="120">
        <f t="shared" si="23"/>
        <v>0</v>
      </c>
      <c r="M92" s="111">
        <v>0</v>
      </c>
      <c r="N92" s="28">
        <f t="shared" si="24"/>
        <v>0</v>
      </c>
      <c r="O92" s="58">
        <f t="shared" si="25"/>
        <v>0</v>
      </c>
      <c r="P92" s="79">
        <f t="shared" si="26"/>
        <v>0</v>
      </c>
      <c r="Q92" s="34">
        <f t="shared" si="27"/>
        <v>0</v>
      </c>
      <c r="R92" s="1">
        <v>0</v>
      </c>
    </row>
    <row r="93" spans="1:19" ht="24" customHeight="1">
      <c r="A93" s="109">
        <v>46</v>
      </c>
      <c r="B93" s="117" t="s">
        <v>99</v>
      </c>
      <c r="C93" s="104">
        <v>186406</v>
      </c>
      <c r="D93" s="104">
        <v>186406</v>
      </c>
      <c r="E93" s="118">
        <f t="shared" si="28"/>
        <v>0</v>
      </c>
      <c r="F93" s="110">
        <v>16317</v>
      </c>
      <c r="G93" s="111">
        <v>0</v>
      </c>
      <c r="H93" s="55">
        <f t="shared" si="29"/>
        <v>0</v>
      </c>
      <c r="I93" s="104">
        <v>186406</v>
      </c>
      <c r="J93" s="119">
        <f t="shared" si="22"/>
        <v>0</v>
      </c>
      <c r="K93" s="110">
        <v>16317</v>
      </c>
      <c r="L93" s="120">
        <f t="shared" si="23"/>
        <v>0</v>
      </c>
      <c r="M93" s="111">
        <v>0</v>
      </c>
      <c r="N93" s="28">
        <f t="shared" si="24"/>
        <v>0</v>
      </c>
      <c r="O93" s="58">
        <f t="shared" si="25"/>
        <v>0</v>
      </c>
      <c r="P93" s="79">
        <f t="shared" si="26"/>
        <v>0</v>
      </c>
      <c r="Q93" s="34">
        <f t="shared" si="27"/>
        <v>0</v>
      </c>
      <c r="R93" s="108">
        <v>0</v>
      </c>
    </row>
    <row r="94" spans="1:19" ht="24" customHeight="1">
      <c r="A94" s="81">
        <v>47</v>
      </c>
      <c r="B94" s="117" t="s">
        <v>100</v>
      </c>
      <c r="C94" s="104">
        <v>190156</v>
      </c>
      <c r="D94" s="104">
        <v>190156</v>
      </c>
      <c r="E94" s="118">
        <f t="shared" si="28"/>
        <v>0</v>
      </c>
      <c r="F94" s="110">
        <v>16975</v>
      </c>
      <c r="G94" s="111">
        <v>0</v>
      </c>
      <c r="H94" s="55">
        <f t="shared" si="29"/>
        <v>0</v>
      </c>
      <c r="I94" s="104">
        <v>190156</v>
      </c>
      <c r="J94" s="119">
        <f t="shared" si="22"/>
        <v>0</v>
      </c>
      <c r="K94" s="110">
        <v>16975</v>
      </c>
      <c r="L94" s="120">
        <f t="shared" si="23"/>
        <v>0</v>
      </c>
      <c r="M94" s="111">
        <v>0</v>
      </c>
      <c r="N94" s="28">
        <f t="shared" si="24"/>
        <v>0</v>
      </c>
      <c r="O94" s="58">
        <f t="shared" si="25"/>
        <v>0</v>
      </c>
      <c r="P94" s="79">
        <f t="shared" si="26"/>
        <v>0</v>
      </c>
      <c r="Q94" s="34">
        <f t="shared" si="27"/>
        <v>0</v>
      </c>
      <c r="R94" s="1">
        <v>0</v>
      </c>
    </row>
    <row r="95" spans="1:19" ht="24" customHeight="1">
      <c r="A95" s="81">
        <v>51</v>
      </c>
      <c r="B95" s="117" t="s">
        <v>101</v>
      </c>
      <c r="C95" s="104">
        <v>194366</v>
      </c>
      <c r="D95" s="104">
        <v>194366</v>
      </c>
      <c r="E95" s="118">
        <f t="shared" si="28"/>
        <v>0</v>
      </c>
      <c r="F95" s="110">
        <v>16465</v>
      </c>
      <c r="G95" s="111">
        <v>0</v>
      </c>
      <c r="H95" s="55">
        <f t="shared" si="29"/>
        <v>0</v>
      </c>
      <c r="I95" s="104">
        <v>194366</v>
      </c>
      <c r="J95" s="119">
        <f t="shared" si="22"/>
        <v>0</v>
      </c>
      <c r="K95" s="110">
        <v>16465</v>
      </c>
      <c r="L95" s="120">
        <f t="shared" si="23"/>
        <v>0</v>
      </c>
      <c r="M95" s="111">
        <v>0</v>
      </c>
      <c r="N95" s="28">
        <f t="shared" si="24"/>
        <v>0</v>
      </c>
      <c r="O95" s="58">
        <f t="shared" si="25"/>
        <v>0</v>
      </c>
      <c r="P95" s="79">
        <f t="shared" si="26"/>
        <v>0</v>
      </c>
      <c r="Q95" s="34">
        <f t="shared" si="27"/>
        <v>0</v>
      </c>
      <c r="R95" s="1">
        <v>0</v>
      </c>
    </row>
    <row r="96" spans="1:19" ht="24" customHeight="1">
      <c r="A96" s="81">
        <v>52</v>
      </c>
      <c r="B96" s="121" t="s">
        <v>102</v>
      </c>
      <c r="C96" s="104">
        <v>191283</v>
      </c>
      <c r="D96" s="104">
        <v>191283</v>
      </c>
      <c r="E96" s="118">
        <f t="shared" si="28"/>
        <v>0</v>
      </c>
      <c r="F96" s="110">
        <v>16253</v>
      </c>
      <c r="G96" s="111">
        <v>0</v>
      </c>
      <c r="H96" s="55">
        <f t="shared" si="29"/>
        <v>0</v>
      </c>
      <c r="I96" s="104">
        <v>191283</v>
      </c>
      <c r="J96" s="119">
        <f t="shared" si="22"/>
        <v>0</v>
      </c>
      <c r="K96" s="110">
        <v>16253</v>
      </c>
      <c r="L96" s="120">
        <f t="shared" si="23"/>
        <v>0</v>
      </c>
      <c r="M96" s="111">
        <v>0</v>
      </c>
      <c r="N96" s="28">
        <f t="shared" si="24"/>
        <v>0</v>
      </c>
      <c r="O96" s="58">
        <f t="shared" si="25"/>
        <v>0</v>
      </c>
      <c r="P96" s="79">
        <f t="shared" si="26"/>
        <v>0</v>
      </c>
      <c r="Q96" s="34">
        <f t="shared" si="27"/>
        <v>0</v>
      </c>
      <c r="R96" s="1">
        <v>0</v>
      </c>
    </row>
    <row r="97" spans="1:18" ht="24" customHeight="1">
      <c r="A97" s="81">
        <v>53</v>
      </c>
      <c r="B97" s="121" t="s">
        <v>103</v>
      </c>
      <c r="C97" s="104">
        <v>178752</v>
      </c>
      <c r="D97" s="104">
        <v>178752</v>
      </c>
      <c r="E97" s="118">
        <f t="shared" si="28"/>
        <v>0</v>
      </c>
      <c r="F97" s="110">
        <v>15140</v>
      </c>
      <c r="G97" s="111">
        <v>0</v>
      </c>
      <c r="H97" s="55">
        <f t="shared" si="29"/>
        <v>0</v>
      </c>
      <c r="I97" s="104">
        <v>178752</v>
      </c>
      <c r="J97" s="119">
        <f t="shared" si="22"/>
        <v>0</v>
      </c>
      <c r="K97" s="110">
        <v>15140</v>
      </c>
      <c r="L97" s="120">
        <f t="shared" si="23"/>
        <v>0</v>
      </c>
      <c r="M97" s="111">
        <v>0</v>
      </c>
      <c r="N97" s="28">
        <f t="shared" si="24"/>
        <v>0</v>
      </c>
      <c r="O97" s="58">
        <f t="shared" si="25"/>
        <v>0</v>
      </c>
      <c r="P97" s="79">
        <f t="shared" si="26"/>
        <v>0</v>
      </c>
      <c r="Q97" s="34">
        <f t="shared" si="27"/>
        <v>0</v>
      </c>
      <c r="R97" s="1">
        <v>0</v>
      </c>
    </row>
    <row r="98" spans="1:18" ht="24" customHeight="1">
      <c r="A98" s="109">
        <v>54</v>
      </c>
      <c r="B98" s="121" t="s">
        <v>104</v>
      </c>
      <c r="C98" s="104">
        <v>69242.2</v>
      </c>
      <c r="D98" s="104">
        <v>69242.2</v>
      </c>
      <c r="E98" s="122">
        <f t="shared" si="28"/>
        <v>0</v>
      </c>
      <c r="F98" s="110">
        <v>4667</v>
      </c>
      <c r="G98" s="111">
        <v>0</v>
      </c>
      <c r="H98" s="78">
        <f t="shared" si="29"/>
        <v>0</v>
      </c>
      <c r="I98" s="104">
        <v>69242.2</v>
      </c>
      <c r="J98" s="112">
        <f t="shared" si="22"/>
        <v>0</v>
      </c>
      <c r="K98" s="110">
        <v>4667</v>
      </c>
      <c r="L98" s="107">
        <f t="shared" si="23"/>
        <v>0</v>
      </c>
      <c r="M98" s="111">
        <v>0</v>
      </c>
      <c r="N98" s="28">
        <f t="shared" si="24"/>
        <v>0</v>
      </c>
      <c r="O98" s="58">
        <f t="shared" si="25"/>
        <v>0</v>
      </c>
      <c r="P98" s="79">
        <f t="shared" si="26"/>
        <v>0</v>
      </c>
      <c r="Q98" s="34">
        <f t="shared" si="27"/>
        <v>0</v>
      </c>
      <c r="R98" s="1">
        <v>0</v>
      </c>
    </row>
    <row r="99" spans="1:18" ht="24" customHeight="1">
      <c r="A99" s="81">
        <v>55</v>
      </c>
      <c r="B99" s="121" t="s">
        <v>105</v>
      </c>
      <c r="C99" s="35">
        <v>67824.399999999994</v>
      </c>
      <c r="D99" s="35">
        <v>67824.399999999994</v>
      </c>
      <c r="E99" s="122">
        <f t="shared" si="28"/>
        <v>0</v>
      </c>
      <c r="F99" s="110">
        <v>4667</v>
      </c>
      <c r="G99" s="111">
        <v>0</v>
      </c>
      <c r="H99" s="78">
        <f t="shared" si="29"/>
        <v>0</v>
      </c>
      <c r="I99" s="35">
        <v>67824.399999999994</v>
      </c>
      <c r="J99" s="112">
        <f t="shared" si="22"/>
        <v>0</v>
      </c>
      <c r="K99" s="110">
        <v>4667</v>
      </c>
      <c r="L99" s="107">
        <f t="shared" si="23"/>
        <v>0</v>
      </c>
      <c r="M99" s="111">
        <v>0</v>
      </c>
      <c r="N99" s="28">
        <f t="shared" si="24"/>
        <v>0</v>
      </c>
      <c r="O99" s="58">
        <f t="shared" si="25"/>
        <v>0</v>
      </c>
      <c r="P99" s="79">
        <f t="shared" si="26"/>
        <v>0</v>
      </c>
      <c r="Q99" s="34">
        <f t="shared" si="27"/>
        <v>0</v>
      </c>
      <c r="R99" s="1">
        <v>0</v>
      </c>
    </row>
    <row r="100" spans="1:18" ht="24" customHeight="1">
      <c r="A100" s="81">
        <v>56</v>
      </c>
      <c r="B100" s="121" t="s">
        <v>106</v>
      </c>
      <c r="C100" s="104">
        <v>65871.399999999994</v>
      </c>
      <c r="D100" s="104">
        <v>65871.399999999994</v>
      </c>
      <c r="E100" s="122">
        <f t="shared" si="28"/>
        <v>0</v>
      </c>
      <c r="F100" s="110">
        <v>4692</v>
      </c>
      <c r="G100" s="111">
        <v>0</v>
      </c>
      <c r="H100" s="78">
        <f t="shared" si="29"/>
        <v>0</v>
      </c>
      <c r="I100" s="104">
        <v>65871.399999999994</v>
      </c>
      <c r="J100" s="112">
        <f t="shared" si="22"/>
        <v>0</v>
      </c>
      <c r="K100" s="110">
        <v>4692</v>
      </c>
      <c r="L100" s="107">
        <f t="shared" si="23"/>
        <v>0</v>
      </c>
      <c r="M100" s="111">
        <v>0</v>
      </c>
      <c r="N100" s="28">
        <f t="shared" si="24"/>
        <v>0</v>
      </c>
      <c r="O100" s="58">
        <f t="shared" si="25"/>
        <v>0</v>
      </c>
      <c r="P100" s="79">
        <f t="shared" si="26"/>
        <v>0</v>
      </c>
      <c r="Q100" s="34">
        <f t="shared" si="27"/>
        <v>0</v>
      </c>
      <c r="R100" s="1">
        <v>0</v>
      </c>
    </row>
    <row r="101" spans="1:18" ht="24" customHeight="1">
      <c r="A101" s="81">
        <v>57</v>
      </c>
      <c r="B101" s="121" t="s">
        <v>107</v>
      </c>
      <c r="C101" s="104">
        <v>68036.5</v>
      </c>
      <c r="D101" s="104">
        <v>68036.5</v>
      </c>
      <c r="E101" s="122">
        <f t="shared" si="28"/>
        <v>0</v>
      </c>
      <c r="F101" s="110">
        <v>4690</v>
      </c>
      <c r="G101" s="111">
        <v>0</v>
      </c>
      <c r="H101" s="78">
        <f t="shared" si="29"/>
        <v>0</v>
      </c>
      <c r="I101" s="104">
        <v>68036.5</v>
      </c>
      <c r="J101" s="112">
        <f t="shared" si="22"/>
        <v>0</v>
      </c>
      <c r="K101" s="110">
        <v>4690</v>
      </c>
      <c r="L101" s="107">
        <f t="shared" si="23"/>
        <v>0</v>
      </c>
      <c r="M101" s="111">
        <v>0</v>
      </c>
      <c r="N101" s="28">
        <f t="shared" si="24"/>
        <v>0</v>
      </c>
      <c r="O101" s="58">
        <f t="shared" si="25"/>
        <v>0</v>
      </c>
      <c r="P101" s="79">
        <f t="shared" si="26"/>
        <v>0</v>
      </c>
      <c r="Q101" s="34">
        <f t="shared" si="27"/>
        <v>0</v>
      </c>
      <c r="R101" s="1">
        <v>0</v>
      </c>
    </row>
    <row r="102" spans="1:18" ht="24" customHeight="1">
      <c r="A102" s="109">
        <v>58</v>
      </c>
      <c r="B102" s="121" t="s">
        <v>108</v>
      </c>
      <c r="C102" s="104">
        <v>67064.3</v>
      </c>
      <c r="D102" s="104">
        <v>67064.3</v>
      </c>
      <c r="E102" s="122">
        <f t="shared" si="28"/>
        <v>0</v>
      </c>
      <c r="F102" s="110">
        <v>4656</v>
      </c>
      <c r="G102" s="111">
        <v>0</v>
      </c>
      <c r="H102" s="78">
        <f t="shared" si="29"/>
        <v>0</v>
      </c>
      <c r="I102" s="104">
        <v>67064.3</v>
      </c>
      <c r="J102" s="112">
        <f t="shared" si="22"/>
        <v>0</v>
      </c>
      <c r="K102" s="110">
        <v>4656</v>
      </c>
      <c r="L102" s="107">
        <f t="shared" si="23"/>
        <v>0</v>
      </c>
      <c r="M102" s="111">
        <v>0</v>
      </c>
      <c r="N102" s="28">
        <f t="shared" si="24"/>
        <v>0</v>
      </c>
      <c r="O102" s="58">
        <f t="shared" si="25"/>
        <v>0</v>
      </c>
      <c r="P102" s="79">
        <f t="shared" si="26"/>
        <v>0</v>
      </c>
      <c r="Q102" s="34">
        <f t="shared" si="27"/>
        <v>0</v>
      </c>
      <c r="R102" s="1">
        <v>0</v>
      </c>
    </row>
    <row r="103" spans="1:18" ht="24" customHeight="1">
      <c r="A103" s="81">
        <v>59</v>
      </c>
      <c r="B103" s="121" t="s">
        <v>109</v>
      </c>
      <c r="C103" s="104">
        <v>69036.100000000006</v>
      </c>
      <c r="D103" s="104">
        <v>69036.100000000006</v>
      </c>
      <c r="E103" s="118">
        <f t="shared" si="28"/>
        <v>0</v>
      </c>
      <c r="F103" s="110">
        <v>4756</v>
      </c>
      <c r="G103" s="111">
        <v>0</v>
      </c>
      <c r="H103" s="55">
        <f t="shared" si="29"/>
        <v>0</v>
      </c>
      <c r="I103" s="104">
        <v>69036.100000000006</v>
      </c>
      <c r="J103" s="119">
        <f t="shared" si="22"/>
        <v>0</v>
      </c>
      <c r="K103" s="110">
        <v>4756</v>
      </c>
      <c r="L103" s="120">
        <f t="shared" si="23"/>
        <v>0</v>
      </c>
      <c r="M103" s="111">
        <v>0</v>
      </c>
      <c r="N103" s="28">
        <f t="shared" si="24"/>
        <v>0</v>
      </c>
      <c r="O103" s="58">
        <f t="shared" si="25"/>
        <v>0</v>
      </c>
      <c r="P103" s="79">
        <f t="shared" si="26"/>
        <v>0</v>
      </c>
      <c r="Q103" s="34">
        <f t="shared" si="27"/>
        <v>0</v>
      </c>
      <c r="R103" s="1">
        <v>0</v>
      </c>
    </row>
    <row r="104" spans="1:18" ht="24" customHeight="1">
      <c r="A104" s="109">
        <v>60</v>
      </c>
      <c r="B104" s="121" t="s">
        <v>110</v>
      </c>
      <c r="C104" s="104">
        <v>33050.6</v>
      </c>
      <c r="D104" s="104">
        <v>33050.6</v>
      </c>
      <c r="E104" s="118">
        <f t="shared" si="28"/>
        <v>0</v>
      </c>
      <c r="F104" s="110">
        <v>2672</v>
      </c>
      <c r="G104" s="111">
        <v>0</v>
      </c>
      <c r="H104" s="55">
        <f t="shared" si="29"/>
        <v>0</v>
      </c>
      <c r="I104" s="104">
        <v>33050.6</v>
      </c>
      <c r="J104" s="119">
        <f t="shared" si="22"/>
        <v>0</v>
      </c>
      <c r="K104" s="110">
        <v>2672</v>
      </c>
      <c r="L104" s="120">
        <f t="shared" si="23"/>
        <v>0</v>
      </c>
      <c r="M104" s="111">
        <v>0</v>
      </c>
      <c r="N104" s="28">
        <f t="shared" si="24"/>
        <v>0</v>
      </c>
      <c r="O104" s="58">
        <f t="shared" si="25"/>
        <v>0</v>
      </c>
      <c r="P104" s="79">
        <f t="shared" si="26"/>
        <v>0</v>
      </c>
      <c r="Q104" s="34">
        <f t="shared" si="27"/>
        <v>0</v>
      </c>
      <c r="R104" s="1">
        <v>0</v>
      </c>
    </row>
    <row r="105" spans="1:18" ht="22.2" customHeight="1">
      <c r="A105" s="123" t="s">
        <v>28</v>
      </c>
      <c r="B105" s="123"/>
      <c r="C105" s="40"/>
      <c r="D105" s="123"/>
      <c r="E105" s="124">
        <f>SUM(E48:E104)</f>
        <v>0</v>
      </c>
      <c r="F105" s="125"/>
      <c r="G105" s="126">
        <f>SUM(G48:G104)</f>
        <v>0</v>
      </c>
      <c r="H105" s="39"/>
      <c r="I105" s="40"/>
      <c r="J105" s="40">
        <f>SUM(J48:J104)</f>
        <v>150.60000000000582</v>
      </c>
      <c r="K105" s="127"/>
      <c r="L105" s="128">
        <f>SUM(L48:L104)</f>
        <v>12</v>
      </c>
      <c r="M105" s="128">
        <f>SUM(M48:M104)</f>
        <v>233.06</v>
      </c>
      <c r="N105" s="28">
        <f>IFERROR(J105/M105,0)</f>
        <v>0.64618553162278303</v>
      </c>
      <c r="O105" s="129">
        <f>SUM(O48:O104)</f>
        <v>150.60000000000582</v>
      </c>
      <c r="P105" s="79">
        <f>G105+M105</f>
        <v>233.06</v>
      </c>
      <c r="Q105" s="34">
        <f>IFERROR(O105/P105,0)</f>
        <v>0.64618553162278303</v>
      </c>
      <c r="R105" s="130">
        <f>SUM(R48:R104)</f>
        <v>0</v>
      </c>
    </row>
    <row r="106" spans="1:18" ht="22.2" customHeight="1" thickBot="1">
      <c r="A106" s="206" t="s">
        <v>111</v>
      </c>
      <c r="B106" s="207"/>
      <c r="C106" s="207"/>
      <c r="D106" s="207"/>
      <c r="E106" s="207"/>
      <c r="F106" s="207"/>
      <c r="G106" s="207"/>
      <c r="H106" s="207"/>
      <c r="I106" s="207"/>
      <c r="J106" s="207"/>
      <c r="K106" s="207"/>
      <c r="L106" s="208"/>
      <c r="M106" s="131"/>
      <c r="N106" s="132"/>
      <c r="O106" s="133"/>
    </row>
    <row r="107" spans="1:18" ht="22.2" customHeight="1">
      <c r="A107" s="209" t="s">
        <v>3</v>
      </c>
      <c r="B107" s="211" t="s">
        <v>4</v>
      </c>
      <c r="C107" s="213" t="s">
        <v>5</v>
      </c>
      <c r="D107" s="214"/>
      <c r="E107" s="214"/>
      <c r="F107" s="214"/>
      <c r="G107" s="215"/>
      <c r="H107" s="216" t="s">
        <v>6</v>
      </c>
      <c r="I107" s="217"/>
      <c r="J107" s="217"/>
      <c r="K107" s="218"/>
      <c r="L107" s="48"/>
      <c r="M107" s="219" t="s">
        <v>7</v>
      </c>
      <c r="N107" s="194" t="s">
        <v>8</v>
      </c>
      <c r="O107" s="37"/>
    </row>
    <row r="108" spans="1:18" ht="27.6" customHeight="1" thickBot="1">
      <c r="A108" s="210"/>
      <c r="B108" s="212"/>
      <c r="C108" s="49" t="s">
        <v>11</v>
      </c>
      <c r="D108" s="49" t="s">
        <v>12</v>
      </c>
      <c r="E108" s="49" t="s">
        <v>13</v>
      </c>
      <c r="F108" s="6" t="s">
        <v>14</v>
      </c>
      <c r="G108" s="6" t="s">
        <v>8</v>
      </c>
      <c r="H108" s="49" t="s">
        <v>12</v>
      </c>
      <c r="I108" s="49" t="s">
        <v>13</v>
      </c>
      <c r="J108" s="49" t="s">
        <v>14</v>
      </c>
      <c r="K108" s="7" t="s">
        <v>8</v>
      </c>
      <c r="L108" s="50" t="s">
        <v>15</v>
      </c>
      <c r="M108" s="220"/>
      <c r="N108" s="195"/>
      <c r="O108" s="37"/>
    </row>
    <row r="109" spans="1:18" ht="22.2" customHeight="1">
      <c r="A109" s="76">
        <v>1</v>
      </c>
      <c r="B109" s="31" t="s">
        <v>112</v>
      </c>
      <c r="C109" s="35">
        <v>121295</v>
      </c>
      <c r="D109" s="35">
        <v>121295</v>
      </c>
      <c r="E109" s="17">
        <f>D109-C109</f>
        <v>0</v>
      </c>
      <c r="F109" s="33">
        <v>0</v>
      </c>
      <c r="G109" s="10">
        <f>IFERROR(F109/E109,0)</f>
        <v>0</v>
      </c>
      <c r="H109" s="35">
        <v>121295</v>
      </c>
      <c r="I109" s="19">
        <f>H109-D109</f>
        <v>0</v>
      </c>
      <c r="J109" s="33">
        <v>0</v>
      </c>
      <c r="K109" s="28">
        <f t="shared" ref="K109:K135" si="30">IFERROR(J109/I109,0)</f>
        <v>0</v>
      </c>
      <c r="L109" s="18">
        <f t="shared" ref="L109:M125" si="31">E109+I109</f>
        <v>0</v>
      </c>
      <c r="M109" s="22">
        <f>F109+J109</f>
        <v>0</v>
      </c>
      <c r="N109" s="71">
        <f>IFERROR(L109/M109,0)</f>
        <v>0</v>
      </c>
      <c r="O109" s="37"/>
    </row>
    <row r="110" spans="1:18" ht="22.2" customHeight="1">
      <c r="A110" s="76">
        <v>2</v>
      </c>
      <c r="B110" s="31" t="s">
        <v>113</v>
      </c>
      <c r="C110" s="35">
        <v>4193.53</v>
      </c>
      <c r="D110" s="35">
        <v>4193.53</v>
      </c>
      <c r="E110" s="17">
        <f t="shared" ref="E110:E135" si="32">D110-C110</f>
        <v>0</v>
      </c>
      <c r="F110" s="33">
        <v>0</v>
      </c>
      <c r="G110" s="10">
        <f t="shared" ref="G110:G135" si="33">IFERROR(F110/E110,0)</f>
        <v>0</v>
      </c>
      <c r="H110" s="35">
        <v>4193.53</v>
      </c>
      <c r="I110" s="19">
        <f>H110-D110</f>
        <v>0</v>
      </c>
      <c r="J110" s="33">
        <v>0</v>
      </c>
      <c r="K110" s="28">
        <f t="shared" si="30"/>
        <v>0</v>
      </c>
      <c r="L110" s="18">
        <f t="shared" si="31"/>
        <v>0</v>
      </c>
      <c r="M110" s="22">
        <f t="shared" si="31"/>
        <v>0</v>
      </c>
      <c r="N110" s="71">
        <f t="shared" ref="N110:N135" si="34">IFERROR(L110/M110,0)</f>
        <v>0</v>
      </c>
      <c r="O110" s="134"/>
    </row>
    <row r="111" spans="1:18" ht="22.2" customHeight="1">
      <c r="A111" s="76">
        <v>3</v>
      </c>
      <c r="B111" s="31" t="s">
        <v>114</v>
      </c>
      <c r="C111" s="135">
        <v>126.47</v>
      </c>
      <c r="D111" s="135">
        <v>126.47</v>
      </c>
      <c r="E111" s="17">
        <f t="shared" si="32"/>
        <v>0</v>
      </c>
      <c r="F111" s="33">
        <v>0</v>
      </c>
      <c r="G111" s="10">
        <f t="shared" si="33"/>
        <v>0</v>
      </c>
      <c r="H111" s="135">
        <v>126.47</v>
      </c>
      <c r="I111" s="19">
        <f t="shared" ref="I111:I135" si="35">H111-D111</f>
        <v>0</v>
      </c>
      <c r="J111" s="33">
        <v>0</v>
      </c>
      <c r="K111" s="28">
        <f t="shared" si="30"/>
        <v>0</v>
      </c>
      <c r="L111" s="18">
        <f t="shared" si="31"/>
        <v>0</v>
      </c>
      <c r="M111" s="22">
        <f t="shared" si="31"/>
        <v>0</v>
      </c>
      <c r="N111" s="71">
        <f t="shared" si="34"/>
        <v>0</v>
      </c>
      <c r="O111" s="37"/>
    </row>
    <row r="112" spans="1:18" ht="22.2" customHeight="1">
      <c r="A112" s="76">
        <v>4</v>
      </c>
      <c r="B112" s="31" t="s">
        <v>115</v>
      </c>
      <c r="C112" s="136">
        <v>138938</v>
      </c>
      <c r="D112" s="136">
        <v>138938</v>
      </c>
      <c r="E112" s="17">
        <f t="shared" si="32"/>
        <v>0</v>
      </c>
      <c r="F112" s="33">
        <v>0</v>
      </c>
      <c r="G112" s="10">
        <f t="shared" si="33"/>
        <v>0</v>
      </c>
      <c r="H112" s="136">
        <v>138938</v>
      </c>
      <c r="I112" s="19">
        <f t="shared" si="35"/>
        <v>0</v>
      </c>
      <c r="J112" s="33">
        <v>0</v>
      </c>
      <c r="K112" s="28">
        <f t="shared" si="30"/>
        <v>0</v>
      </c>
      <c r="L112" s="18">
        <f t="shared" si="31"/>
        <v>0</v>
      </c>
      <c r="M112" s="22">
        <f t="shared" si="31"/>
        <v>0</v>
      </c>
      <c r="N112" s="71">
        <f t="shared" si="34"/>
        <v>0</v>
      </c>
      <c r="O112" s="137"/>
    </row>
    <row r="113" spans="1:17" ht="22.2" customHeight="1">
      <c r="A113" s="76">
        <v>5</v>
      </c>
      <c r="B113" s="31" t="s">
        <v>116</v>
      </c>
      <c r="C113" s="35">
        <v>44558.9</v>
      </c>
      <c r="D113" s="35">
        <v>44558.9</v>
      </c>
      <c r="E113" s="17">
        <f t="shared" si="32"/>
        <v>0</v>
      </c>
      <c r="F113" s="33">
        <v>0</v>
      </c>
      <c r="G113" s="10">
        <f t="shared" si="33"/>
        <v>0</v>
      </c>
      <c r="H113" s="35">
        <v>44558.9</v>
      </c>
      <c r="I113" s="19">
        <f t="shared" si="35"/>
        <v>0</v>
      </c>
      <c r="J113" s="33">
        <v>0</v>
      </c>
      <c r="K113" s="28">
        <f t="shared" si="30"/>
        <v>0</v>
      </c>
      <c r="L113" s="18">
        <f t="shared" si="31"/>
        <v>0</v>
      </c>
      <c r="M113" s="22">
        <f t="shared" si="31"/>
        <v>0</v>
      </c>
      <c r="N113" s="71">
        <f t="shared" si="34"/>
        <v>0</v>
      </c>
      <c r="O113" s="77"/>
    </row>
    <row r="114" spans="1:17" ht="22.2" customHeight="1">
      <c r="A114" s="76">
        <v>6</v>
      </c>
      <c r="B114" s="31" t="s">
        <v>117</v>
      </c>
      <c r="C114" s="35">
        <v>100316.9</v>
      </c>
      <c r="D114" s="35">
        <v>100316.9</v>
      </c>
      <c r="E114" s="17">
        <f t="shared" si="32"/>
        <v>0</v>
      </c>
      <c r="F114" s="33">
        <v>0</v>
      </c>
      <c r="G114" s="10">
        <f t="shared" si="33"/>
        <v>0</v>
      </c>
      <c r="H114" s="35">
        <v>100316.9</v>
      </c>
      <c r="I114" s="19">
        <f t="shared" si="35"/>
        <v>0</v>
      </c>
      <c r="J114" s="33">
        <v>0</v>
      </c>
      <c r="K114" s="28">
        <f t="shared" si="30"/>
        <v>0</v>
      </c>
      <c r="L114" s="18">
        <f t="shared" si="31"/>
        <v>0</v>
      </c>
      <c r="M114" s="22">
        <f t="shared" si="31"/>
        <v>0</v>
      </c>
      <c r="N114" s="71">
        <f t="shared" si="34"/>
        <v>0</v>
      </c>
      <c r="O114" s="37"/>
    </row>
    <row r="115" spans="1:17" ht="22.2" customHeight="1">
      <c r="A115" s="76">
        <v>7</v>
      </c>
      <c r="B115" s="31" t="s">
        <v>118</v>
      </c>
      <c r="C115" s="35">
        <v>152067.5</v>
      </c>
      <c r="D115" s="35">
        <v>152067.5</v>
      </c>
      <c r="E115" s="17">
        <f t="shared" si="32"/>
        <v>0</v>
      </c>
      <c r="F115" s="33">
        <v>0</v>
      </c>
      <c r="G115" s="10">
        <f t="shared" si="33"/>
        <v>0</v>
      </c>
      <c r="H115" s="35">
        <v>152067.5</v>
      </c>
      <c r="I115" s="19">
        <f t="shared" si="35"/>
        <v>0</v>
      </c>
      <c r="J115" s="33">
        <v>0</v>
      </c>
      <c r="K115" s="28">
        <f t="shared" si="30"/>
        <v>0</v>
      </c>
      <c r="L115" s="18">
        <f t="shared" si="31"/>
        <v>0</v>
      </c>
      <c r="M115" s="22">
        <f>F115+J115</f>
        <v>0</v>
      </c>
      <c r="N115" s="71">
        <f t="shared" si="34"/>
        <v>0</v>
      </c>
      <c r="O115" s="37"/>
    </row>
    <row r="116" spans="1:17" ht="22.2" customHeight="1">
      <c r="A116" s="76">
        <v>8</v>
      </c>
      <c r="B116" s="138" t="s">
        <v>119</v>
      </c>
      <c r="C116" s="136">
        <v>40493.800000000003</v>
      </c>
      <c r="D116" s="136">
        <v>40493.800000000003</v>
      </c>
      <c r="E116" s="17">
        <f t="shared" si="32"/>
        <v>0</v>
      </c>
      <c r="F116" s="33">
        <v>0</v>
      </c>
      <c r="G116" s="10">
        <f t="shared" si="33"/>
        <v>0</v>
      </c>
      <c r="H116" s="136">
        <v>40493.800000000003</v>
      </c>
      <c r="I116" s="19">
        <f t="shared" si="35"/>
        <v>0</v>
      </c>
      <c r="J116" s="33">
        <v>0</v>
      </c>
      <c r="K116" s="28">
        <f t="shared" si="30"/>
        <v>0</v>
      </c>
      <c r="L116" s="18">
        <f t="shared" si="31"/>
        <v>0</v>
      </c>
      <c r="M116" s="22">
        <f>F116+J116</f>
        <v>0</v>
      </c>
      <c r="N116" s="71">
        <f t="shared" si="34"/>
        <v>0</v>
      </c>
      <c r="O116" s="37"/>
    </row>
    <row r="117" spans="1:17" ht="22.2" customHeight="1">
      <c r="A117" s="76">
        <v>9</v>
      </c>
      <c r="B117" s="138" t="s">
        <v>120</v>
      </c>
      <c r="C117" s="35">
        <v>33478</v>
      </c>
      <c r="D117" s="35">
        <v>33478</v>
      </c>
      <c r="E117" s="17">
        <f t="shared" si="32"/>
        <v>0</v>
      </c>
      <c r="F117" s="33">
        <v>0</v>
      </c>
      <c r="G117" s="10">
        <f t="shared" si="33"/>
        <v>0</v>
      </c>
      <c r="H117" s="35">
        <v>33478</v>
      </c>
      <c r="I117" s="19">
        <f t="shared" si="35"/>
        <v>0</v>
      </c>
      <c r="J117" s="33">
        <v>0</v>
      </c>
      <c r="K117" s="28">
        <f t="shared" si="30"/>
        <v>0</v>
      </c>
      <c r="L117" s="18">
        <f t="shared" si="31"/>
        <v>0</v>
      </c>
      <c r="M117" s="22">
        <f t="shared" si="31"/>
        <v>0</v>
      </c>
      <c r="N117" s="71">
        <f t="shared" si="34"/>
        <v>0</v>
      </c>
      <c r="O117" s="37"/>
    </row>
    <row r="118" spans="1:17" ht="22.2" customHeight="1">
      <c r="A118" s="76">
        <v>10</v>
      </c>
      <c r="B118" s="31" t="s">
        <v>121</v>
      </c>
      <c r="C118" s="35">
        <v>154354</v>
      </c>
      <c r="D118" s="35">
        <v>154354</v>
      </c>
      <c r="E118" s="17">
        <f t="shared" si="32"/>
        <v>0</v>
      </c>
      <c r="F118" s="33">
        <v>0</v>
      </c>
      <c r="G118" s="10">
        <f t="shared" si="33"/>
        <v>0</v>
      </c>
      <c r="H118" s="35">
        <v>154354</v>
      </c>
      <c r="I118" s="19">
        <f t="shared" si="35"/>
        <v>0</v>
      </c>
      <c r="J118" s="33">
        <v>0</v>
      </c>
      <c r="K118" s="28">
        <f t="shared" si="30"/>
        <v>0</v>
      </c>
      <c r="L118" s="18">
        <f t="shared" si="31"/>
        <v>0</v>
      </c>
      <c r="M118" s="22">
        <f t="shared" si="31"/>
        <v>0</v>
      </c>
      <c r="N118" s="71">
        <f t="shared" si="34"/>
        <v>0</v>
      </c>
      <c r="O118" s="137"/>
    </row>
    <row r="119" spans="1:17" ht="23.4" customHeight="1">
      <c r="A119" s="76">
        <v>11</v>
      </c>
      <c r="B119" s="139" t="s">
        <v>122</v>
      </c>
      <c r="C119" s="35">
        <v>36223</v>
      </c>
      <c r="D119" s="35">
        <v>36223</v>
      </c>
      <c r="E119" s="17">
        <f t="shared" si="32"/>
        <v>0</v>
      </c>
      <c r="F119" s="33">
        <v>0</v>
      </c>
      <c r="G119" s="10">
        <f t="shared" si="33"/>
        <v>0</v>
      </c>
      <c r="H119" s="35">
        <v>36223</v>
      </c>
      <c r="I119" s="19">
        <f t="shared" si="35"/>
        <v>0</v>
      </c>
      <c r="J119" s="33">
        <v>0</v>
      </c>
      <c r="K119" s="28">
        <f t="shared" si="30"/>
        <v>0</v>
      </c>
      <c r="L119" s="18">
        <f t="shared" si="31"/>
        <v>0</v>
      </c>
      <c r="M119" s="22">
        <f t="shared" si="31"/>
        <v>0</v>
      </c>
      <c r="N119" s="71">
        <f t="shared" si="34"/>
        <v>0</v>
      </c>
      <c r="O119" s="37"/>
      <c r="Q119" s="38"/>
    </row>
    <row r="120" spans="1:17" ht="22.2" customHeight="1">
      <c r="A120" s="76">
        <v>12</v>
      </c>
      <c r="B120" s="139" t="s">
        <v>123</v>
      </c>
      <c r="C120" s="35">
        <v>15392</v>
      </c>
      <c r="D120" s="35">
        <v>15392</v>
      </c>
      <c r="E120" s="17">
        <f t="shared" si="32"/>
        <v>0</v>
      </c>
      <c r="F120" s="33">
        <v>0</v>
      </c>
      <c r="G120" s="78">
        <f t="shared" si="33"/>
        <v>0</v>
      </c>
      <c r="H120" s="35">
        <v>15392</v>
      </c>
      <c r="I120" s="19">
        <f t="shared" si="35"/>
        <v>0</v>
      </c>
      <c r="J120" s="33">
        <v>0</v>
      </c>
      <c r="K120" s="28">
        <f t="shared" si="30"/>
        <v>0</v>
      </c>
      <c r="L120" s="18">
        <f t="shared" si="31"/>
        <v>0</v>
      </c>
      <c r="M120" s="79">
        <f t="shared" si="31"/>
        <v>0</v>
      </c>
      <c r="N120" s="71">
        <f t="shared" si="34"/>
        <v>0</v>
      </c>
      <c r="O120" s="37"/>
      <c r="Q120" s="45"/>
    </row>
    <row r="121" spans="1:17" ht="21.6" customHeight="1">
      <c r="A121" s="76">
        <v>13</v>
      </c>
      <c r="B121" s="140" t="s">
        <v>124</v>
      </c>
      <c r="C121" s="35">
        <v>890.2</v>
      </c>
      <c r="D121" s="35">
        <v>890.2</v>
      </c>
      <c r="E121" s="17">
        <f t="shared" si="32"/>
        <v>0</v>
      </c>
      <c r="F121" s="35">
        <v>0</v>
      </c>
      <c r="G121" s="78">
        <f t="shared" si="33"/>
        <v>0</v>
      </c>
      <c r="H121" s="35">
        <v>890.2</v>
      </c>
      <c r="I121" s="19">
        <f t="shared" si="35"/>
        <v>0</v>
      </c>
      <c r="J121" s="35">
        <v>0</v>
      </c>
      <c r="K121" s="28">
        <f t="shared" si="30"/>
        <v>0</v>
      </c>
      <c r="L121" s="18">
        <f t="shared" si="31"/>
        <v>0</v>
      </c>
      <c r="M121" s="79">
        <f t="shared" si="31"/>
        <v>0</v>
      </c>
      <c r="N121" s="71">
        <f t="shared" si="34"/>
        <v>0</v>
      </c>
      <c r="O121" s="37"/>
      <c r="Q121" s="45"/>
    </row>
    <row r="122" spans="1:17" ht="21.6" customHeight="1">
      <c r="A122" s="76">
        <v>14</v>
      </c>
      <c r="B122" s="140" t="s">
        <v>125</v>
      </c>
      <c r="C122" s="35">
        <v>1676</v>
      </c>
      <c r="D122" s="35">
        <v>1676</v>
      </c>
      <c r="E122" s="17">
        <f t="shared" si="32"/>
        <v>0</v>
      </c>
      <c r="F122" s="35">
        <v>0</v>
      </c>
      <c r="G122" s="78">
        <f t="shared" si="33"/>
        <v>0</v>
      </c>
      <c r="H122" s="35">
        <v>1676</v>
      </c>
      <c r="I122" s="19">
        <f t="shared" si="35"/>
        <v>0</v>
      </c>
      <c r="J122" s="141">
        <v>0</v>
      </c>
      <c r="K122" s="28">
        <f t="shared" si="30"/>
        <v>0</v>
      </c>
      <c r="L122" s="18">
        <f t="shared" si="31"/>
        <v>0</v>
      </c>
      <c r="M122" s="79">
        <f t="shared" si="31"/>
        <v>0</v>
      </c>
      <c r="N122" s="71">
        <f t="shared" si="34"/>
        <v>0</v>
      </c>
      <c r="O122" s="37"/>
      <c r="Q122" s="45"/>
    </row>
    <row r="123" spans="1:17" ht="26.4" customHeight="1">
      <c r="A123" s="76">
        <v>15</v>
      </c>
      <c r="B123" s="142" t="s">
        <v>126</v>
      </c>
      <c r="C123" s="35">
        <v>6128.1</v>
      </c>
      <c r="D123" s="35">
        <v>6128.1</v>
      </c>
      <c r="E123" s="17">
        <f>D123-C123</f>
        <v>0</v>
      </c>
      <c r="F123" s="33">
        <v>0</v>
      </c>
      <c r="G123" s="78">
        <f>IFERROR(F123/E123,0)</f>
        <v>0</v>
      </c>
      <c r="H123" s="35">
        <v>6128.1</v>
      </c>
      <c r="I123" s="19">
        <f>H123-D123</f>
        <v>0</v>
      </c>
      <c r="J123" s="33">
        <v>0</v>
      </c>
      <c r="K123" s="28">
        <f>IFERROR(J123/I123,0)</f>
        <v>0</v>
      </c>
      <c r="L123" s="18">
        <f>E123+I123</f>
        <v>0</v>
      </c>
      <c r="M123" s="79">
        <f>F123+J123</f>
        <v>0</v>
      </c>
      <c r="N123" s="71">
        <f>IFERROR(L123/M123,0)</f>
        <v>0</v>
      </c>
      <c r="O123" s="37"/>
      <c r="Q123" s="45"/>
    </row>
    <row r="124" spans="1:17" ht="25.2" customHeight="1">
      <c r="A124" s="76">
        <v>16</v>
      </c>
      <c r="B124" s="138" t="s">
        <v>127</v>
      </c>
      <c r="C124" s="35">
        <v>0</v>
      </c>
      <c r="D124" s="35">
        <v>0</v>
      </c>
      <c r="E124" s="17">
        <f t="shared" si="32"/>
        <v>0</v>
      </c>
      <c r="F124" s="33">
        <v>0</v>
      </c>
      <c r="G124" s="78">
        <f t="shared" si="33"/>
        <v>0</v>
      </c>
      <c r="H124" s="35">
        <v>0</v>
      </c>
      <c r="I124" s="19">
        <f t="shared" si="35"/>
        <v>0</v>
      </c>
      <c r="J124" s="33">
        <v>0</v>
      </c>
      <c r="K124" s="28">
        <f t="shared" si="30"/>
        <v>0</v>
      </c>
      <c r="L124" s="18">
        <f t="shared" si="31"/>
        <v>0</v>
      </c>
      <c r="M124" s="79">
        <f t="shared" si="31"/>
        <v>0</v>
      </c>
      <c r="N124" s="71">
        <f t="shared" si="34"/>
        <v>0</v>
      </c>
      <c r="O124" s="77"/>
      <c r="Q124" s="45"/>
    </row>
    <row r="125" spans="1:17" ht="25.2" customHeight="1">
      <c r="A125" s="76">
        <v>17</v>
      </c>
      <c r="B125" s="138" t="s">
        <v>128</v>
      </c>
      <c r="C125" s="35">
        <v>75621.2</v>
      </c>
      <c r="D125" s="35">
        <v>75621.2</v>
      </c>
      <c r="E125" s="17">
        <f t="shared" si="32"/>
        <v>0</v>
      </c>
      <c r="F125" s="33">
        <v>0</v>
      </c>
      <c r="G125" s="78">
        <f t="shared" si="33"/>
        <v>0</v>
      </c>
      <c r="H125" s="35">
        <v>75621.2</v>
      </c>
      <c r="I125" s="19">
        <f t="shared" si="35"/>
        <v>0</v>
      </c>
      <c r="J125" s="33">
        <v>0</v>
      </c>
      <c r="K125" s="28">
        <f t="shared" si="30"/>
        <v>0</v>
      </c>
      <c r="L125" s="18">
        <f t="shared" si="31"/>
        <v>0</v>
      </c>
      <c r="M125" s="79">
        <f t="shared" si="31"/>
        <v>0</v>
      </c>
      <c r="N125" s="71">
        <f t="shared" si="34"/>
        <v>0</v>
      </c>
      <c r="O125" s="77"/>
      <c r="Q125" s="45"/>
    </row>
    <row r="126" spans="1:17" ht="25.2" customHeight="1">
      <c r="A126" s="76">
        <v>18</v>
      </c>
      <c r="B126" s="138" t="s">
        <v>129</v>
      </c>
      <c r="C126" s="35">
        <v>2407.9499999999998</v>
      </c>
      <c r="D126" s="35">
        <v>2407.9499999999998</v>
      </c>
      <c r="E126" s="17">
        <f t="shared" si="32"/>
        <v>0</v>
      </c>
      <c r="F126" s="33">
        <v>0</v>
      </c>
      <c r="G126" s="78">
        <f t="shared" si="33"/>
        <v>0</v>
      </c>
      <c r="H126" s="35">
        <v>2407.9499999999998</v>
      </c>
      <c r="I126" s="19">
        <f t="shared" si="35"/>
        <v>0</v>
      </c>
      <c r="J126" s="33">
        <v>0</v>
      </c>
      <c r="K126" s="28">
        <f t="shared" si="30"/>
        <v>0</v>
      </c>
      <c r="L126" s="18">
        <f t="shared" ref="L126:M135" si="36">E126+I126</f>
        <v>0</v>
      </c>
      <c r="M126" s="79">
        <f t="shared" si="36"/>
        <v>0</v>
      </c>
      <c r="N126" s="71">
        <f t="shared" si="34"/>
        <v>0</v>
      </c>
      <c r="O126" s="77"/>
      <c r="Q126" s="45"/>
    </row>
    <row r="127" spans="1:17" ht="25.2" customHeight="1">
      <c r="A127" s="76">
        <v>19</v>
      </c>
      <c r="B127" s="138" t="s">
        <v>130</v>
      </c>
      <c r="C127" s="35">
        <v>37357</v>
      </c>
      <c r="D127" s="35">
        <v>37357</v>
      </c>
      <c r="E127" s="17">
        <f t="shared" si="32"/>
        <v>0</v>
      </c>
      <c r="F127" s="33">
        <v>0</v>
      </c>
      <c r="G127" s="78">
        <f t="shared" si="33"/>
        <v>0</v>
      </c>
      <c r="H127" s="35">
        <v>37357</v>
      </c>
      <c r="I127" s="19">
        <f t="shared" si="35"/>
        <v>0</v>
      </c>
      <c r="J127" s="33">
        <v>0</v>
      </c>
      <c r="K127" s="28">
        <f t="shared" si="30"/>
        <v>0</v>
      </c>
      <c r="L127" s="18">
        <f t="shared" si="36"/>
        <v>0</v>
      </c>
      <c r="M127" s="79">
        <f t="shared" si="36"/>
        <v>0</v>
      </c>
      <c r="N127" s="71">
        <f t="shared" si="34"/>
        <v>0</v>
      </c>
      <c r="O127" s="77"/>
      <c r="Q127" s="45"/>
    </row>
    <row r="128" spans="1:17" ht="25.2" customHeight="1">
      <c r="A128" s="76">
        <v>20</v>
      </c>
      <c r="B128" s="138" t="s">
        <v>131</v>
      </c>
      <c r="C128" s="35">
        <v>77883.600000000006</v>
      </c>
      <c r="D128" s="35">
        <v>77883.600000000006</v>
      </c>
      <c r="E128" s="17">
        <f t="shared" si="32"/>
        <v>0</v>
      </c>
      <c r="F128" s="33">
        <v>0</v>
      </c>
      <c r="G128" s="78">
        <f t="shared" si="33"/>
        <v>0</v>
      </c>
      <c r="H128" s="35">
        <v>77883.600000000006</v>
      </c>
      <c r="I128" s="19">
        <f t="shared" si="35"/>
        <v>0</v>
      </c>
      <c r="J128" s="33">
        <v>0</v>
      </c>
      <c r="K128" s="28">
        <f t="shared" si="30"/>
        <v>0</v>
      </c>
      <c r="L128" s="18">
        <f t="shared" si="36"/>
        <v>0</v>
      </c>
      <c r="M128" s="79">
        <f t="shared" si="36"/>
        <v>0</v>
      </c>
      <c r="N128" s="71">
        <f t="shared" si="34"/>
        <v>0</v>
      </c>
      <c r="O128" s="77"/>
      <c r="Q128" s="45"/>
    </row>
    <row r="129" spans="1:17" ht="25.2" customHeight="1">
      <c r="A129" s="76">
        <v>21</v>
      </c>
      <c r="B129" s="138" t="s">
        <v>132</v>
      </c>
      <c r="C129" s="35">
        <v>45740.2</v>
      </c>
      <c r="D129" s="35">
        <v>45740.2</v>
      </c>
      <c r="E129" s="17">
        <f t="shared" si="32"/>
        <v>0</v>
      </c>
      <c r="F129" s="33">
        <v>0</v>
      </c>
      <c r="G129" s="78">
        <f t="shared" si="33"/>
        <v>0</v>
      </c>
      <c r="H129" s="35">
        <v>45740.2</v>
      </c>
      <c r="I129" s="19">
        <f t="shared" si="35"/>
        <v>0</v>
      </c>
      <c r="J129" s="33">
        <v>0</v>
      </c>
      <c r="K129" s="28">
        <f t="shared" si="30"/>
        <v>0</v>
      </c>
      <c r="L129" s="18">
        <f t="shared" si="36"/>
        <v>0</v>
      </c>
      <c r="M129" s="79">
        <f t="shared" si="36"/>
        <v>0</v>
      </c>
      <c r="N129" s="71">
        <f t="shared" si="34"/>
        <v>0</v>
      </c>
      <c r="O129" s="77"/>
      <c r="Q129" s="45"/>
    </row>
    <row r="130" spans="1:17" ht="25.2" customHeight="1">
      <c r="A130" s="76">
        <v>22</v>
      </c>
      <c r="B130" s="138" t="s">
        <v>133</v>
      </c>
      <c r="C130" s="35">
        <v>41291.5</v>
      </c>
      <c r="D130" s="35">
        <v>41291.5</v>
      </c>
      <c r="E130" s="17">
        <f t="shared" si="32"/>
        <v>0</v>
      </c>
      <c r="F130" s="33">
        <v>0</v>
      </c>
      <c r="G130" s="78">
        <f t="shared" si="33"/>
        <v>0</v>
      </c>
      <c r="H130" s="35">
        <v>41291.5</v>
      </c>
      <c r="I130" s="19">
        <f t="shared" si="35"/>
        <v>0</v>
      </c>
      <c r="J130" s="33">
        <v>0</v>
      </c>
      <c r="K130" s="28">
        <f t="shared" si="30"/>
        <v>0</v>
      </c>
      <c r="L130" s="18">
        <f t="shared" si="36"/>
        <v>0</v>
      </c>
      <c r="M130" s="79">
        <f t="shared" si="36"/>
        <v>0</v>
      </c>
      <c r="N130" s="71">
        <f t="shared" si="34"/>
        <v>0</v>
      </c>
      <c r="O130" s="77"/>
      <c r="Q130" s="45"/>
    </row>
    <row r="131" spans="1:17" ht="25.2" customHeight="1">
      <c r="A131" s="76">
        <v>23</v>
      </c>
      <c r="B131" s="138" t="s">
        <v>134</v>
      </c>
      <c r="C131" s="35">
        <v>41688</v>
      </c>
      <c r="D131" s="35">
        <v>41688</v>
      </c>
      <c r="E131" s="17">
        <f t="shared" si="32"/>
        <v>0</v>
      </c>
      <c r="F131" s="33">
        <v>0</v>
      </c>
      <c r="G131" s="78">
        <f t="shared" si="33"/>
        <v>0</v>
      </c>
      <c r="H131" s="35">
        <v>41688</v>
      </c>
      <c r="I131" s="19">
        <f t="shared" si="35"/>
        <v>0</v>
      </c>
      <c r="J131" s="33">
        <v>0</v>
      </c>
      <c r="K131" s="28">
        <f t="shared" si="30"/>
        <v>0</v>
      </c>
      <c r="L131" s="18">
        <f t="shared" si="36"/>
        <v>0</v>
      </c>
      <c r="M131" s="79">
        <f t="shared" si="36"/>
        <v>0</v>
      </c>
      <c r="N131" s="71">
        <f t="shared" si="34"/>
        <v>0</v>
      </c>
      <c r="O131" s="77"/>
      <c r="Q131" s="45"/>
    </row>
    <row r="132" spans="1:17" ht="25.2" customHeight="1">
      <c r="A132" s="76">
        <v>24</v>
      </c>
      <c r="B132" s="138" t="s">
        <v>135</v>
      </c>
      <c r="C132" s="35">
        <v>53754.8</v>
      </c>
      <c r="D132" s="35">
        <v>53754.8</v>
      </c>
      <c r="E132" s="17">
        <f t="shared" si="32"/>
        <v>0</v>
      </c>
      <c r="F132" s="33">
        <v>0</v>
      </c>
      <c r="G132" s="78">
        <f t="shared" si="33"/>
        <v>0</v>
      </c>
      <c r="H132" s="35">
        <v>53754.8</v>
      </c>
      <c r="I132" s="19">
        <f t="shared" si="35"/>
        <v>0</v>
      </c>
      <c r="J132" s="33">
        <v>0</v>
      </c>
      <c r="K132" s="28">
        <f t="shared" si="30"/>
        <v>0</v>
      </c>
      <c r="L132" s="18">
        <f t="shared" si="36"/>
        <v>0</v>
      </c>
      <c r="M132" s="79">
        <f t="shared" si="36"/>
        <v>0</v>
      </c>
      <c r="N132" s="71">
        <f t="shared" si="34"/>
        <v>0</v>
      </c>
      <c r="O132" s="77"/>
      <c r="Q132" s="45"/>
    </row>
    <row r="133" spans="1:17" ht="25.2" customHeight="1">
      <c r="A133" s="76">
        <v>25</v>
      </c>
      <c r="B133" s="143" t="s">
        <v>136</v>
      </c>
      <c r="C133" s="35">
        <v>48443.199999999997</v>
      </c>
      <c r="D133" s="35">
        <v>48443.199999999997</v>
      </c>
      <c r="E133" s="17">
        <f t="shared" si="32"/>
        <v>0</v>
      </c>
      <c r="F133" s="33">
        <v>0</v>
      </c>
      <c r="G133" s="78">
        <f t="shared" si="33"/>
        <v>0</v>
      </c>
      <c r="H133" s="35">
        <v>48443.199999999997</v>
      </c>
      <c r="I133" s="19">
        <f t="shared" si="35"/>
        <v>0</v>
      </c>
      <c r="J133" s="33">
        <v>0</v>
      </c>
      <c r="K133" s="28">
        <f t="shared" si="30"/>
        <v>0</v>
      </c>
      <c r="L133" s="18">
        <f t="shared" si="36"/>
        <v>0</v>
      </c>
      <c r="M133" s="79">
        <f t="shared" si="36"/>
        <v>0</v>
      </c>
      <c r="N133" s="71">
        <f t="shared" si="34"/>
        <v>0</v>
      </c>
      <c r="O133" s="77"/>
      <c r="Q133" s="45"/>
    </row>
    <row r="134" spans="1:17" ht="25.2" customHeight="1">
      <c r="A134" s="76">
        <v>26</v>
      </c>
      <c r="B134" s="143" t="s">
        <v>137</v>
      </c>
      <c r="C134" s="35">
        <v>103518.8</v>
      </c>
      <c r="D134" s="35">
        <v>103518.8</v>
      </c>
      <c r="E134" s="17">
        <f t="shared" si="32"/>
        <v>0</v>
      </c>
      <c r="F134" s="33">
        <v>0</v>
      </c>
      <c r="G134" s="78">
        <f t="shared" si="33"/>
        <v>0</v>
      </c>
      <c r="H134" s="35">
        <v>103518.8</v>
      </c>
      <c r="I134" s="19">
        <f t="shared" si="35"/>
        <v>0</v>
      </c>
      <c r="J134" s="33">
        <v>0</v>
      </c>
      <c r="K134" s="28">
        <f t="shared" si="30"/>
        <v>0</v>
      </c>
      <c r="L134" s="18">
        <f t="shared" si="36"/>
        <v>0</v>
      </c>
      <c r="M134" s="79">
        <f t="shared" si="36"/>
        <v>0</v>
      </c>
      <c r="N134" s="71">
        <f t="shared" si="34"/>
        <v>0</v>
      </c>
      <c r="O134" s="77"/>
      <c r="Q134" s="45"/>
    </row>
    <row r="135" spans="1:17" ht="25.2" customHeight="1">
      <c r="A135" s="144">
        <v>27</v>
      </c>
      <c r="B135" s="143" t="s">
        <v>138</v>
      </c>
      <c r="C135" s="35">
        <v>110466.2</v>
      </c>
      <c r="D135" s="35">
        <v>110466.2</v>
      </c>
      <c r="E135" s="35">
        <f t="shared" si="32"/>
        <v>0</v>
      </c>
      <c r="F135" s="33">
        <v>0</v>
      </c>
      <c r="G135" s="78">
        <f t="shared" si="33"/>
        <v>0</v>
      </c>
      <c r="H135" s="35">
        <v>110466.2</v>
      </c>
      <c r="I135" s="19">
        <f t="shared" si="35"/>
        <v>0</v>
      </c>
      <c r="J135" s="33">
        <v>0</v>
      </c>
      <c r="K135" s="28">
        <f t="shared" si="30"/>
        <v>0</v>
      </c>
      <c r="L135" s="18">
        <f t="shared" si="36"/>
        <v>0</v>
      </c>
      <c r="M135" s="79">
        <f t="shared" si="36"/>
        <v>0</v>
      </c>
      <c r="N135" s="71">
        <f t="shared" si="34"/>
        <v>0</v>
      </c>
      <c r="O135" s="77"/>
      <c r="Q135" s="45"/>
    </row>
    <row r="136" spans="1:17" ht="18">
      <c r="A136" s="196" t="s">
        <v>28</v>
      </c>
      <c r="B136" s="197"/>
      <c r="C136" s="123"/>
      <c r="D136" s="123"/>
      <c r="E136" s="40">
        <f>SUM(E109:E135)</f>
        <v>0</v>
      </c>
      <c r="F136" s="40">
        <f>SUM(F109:F135)</f>
        <v>0</v>
      </c>
      <c r="G136" s="39"/>
      <c r="H136" s="39"/>
      <c r="I136" s="40">
        <f>SUM(I109:I135)</f>
        <v>0</v>
      </c>
      <c r="J136" s="40">
        <f>SUM(J109:J135)</f>
        <v>0</v>
      </c>
      <c r="K136" s="145"/>
      <c r="L136" s="146">
        <f>SUM(L109:L135)</f>
        <v>0</v>
      </c>
      <c r="M136" s="147">
        <f>SUM(M109:M135)</f>
        <v>0</v>
      </c>
      <c r="N136" s="34"/>
      <c r="O136" s="37"/>
      <c r="P136" s="72"/>
    </row>
    <row r="137" spans="1:17" ht="21.6" thickBot="1">
      <c r="A137" s="148"/>
      <c r="B137" s="149"/>
      <c r="C137" s="149"/>
      <c r="D137" s="149"/>
      <c r="E137" s="149" t="s">
        <v>139</v>
      </c>
      <c r="F137" s="150">
        <f>F17+F23+F32+F38+F44+G105+F136</f>
        <v>0</v>
      </c>
      <c r="G137" s="149"/>
      <c r="H137" s="149"/>
      <c r="I137" s="151" t="s">
        <v>140</v>
      </c>
      <c r="J137" s="150">
        <f>J17+J23+J32+J38+J44+M105+J136</f>
        <v>638.05999999999995</v>
      </c>
      <c r="K137" s="198" t="s">
        <v>141</v>
      </c>
      <c r="L137" s="198"/>
      <c r="M137" s="198"/>
      <c r="N137" s="198"/>
      <c r="O137" s="152"/>
    </row>
    <row r="138" spans="1:17" ht="15">
      <c r="B138" s="153"/>
      <c r="C138" s="152"/>
      <c r="D138" s="152"/>
      <c r="E138" s="152"/>
      <c r="F138" s="152"/>
      <c r="G138" s="152"/>
      <c r="H138" s="152"/>
      <c r="I138" s="152"/>
      <c r="J138" s="154"/>
      <c r="K138" s="155" t="s">
        <v>142</v>
      </c>
      <c r="L138" s="199">
        <f>N2</f>
        <v>46204</v>
      </c>
      <c r="M138" s="200"/>
      <c r="N138" s="156"/>
      <c r="O138" s="157">
        <f>M136-N144</f>
        <v>0</v>
      </c>
    </row>
    <row r="139" spans="1:17" ht="18">
      <c r="B139" s="158" t="s">
        <v>143</v>
      </c>
      <c r="C139" s="159">
        <f>F137</f>
        <v>0</v>
      </c>
      <c r="D139" s="160"/>
      <c r="E139" s="160"/>
      <c r="F139" s="159"/>
      <c r="G139" s="160"/>
      <c r="H139" s="160"/>
      <c r="I139" s="160"/>
      <c r="J139" s="45"/>
      <c r="K139" s="188" t="s">
        <v>144</v>
      </c>
      <c r="L139" s="189"/>
      <c r="M139" s="190"/>
      <c r="N139" s="161">
        <f>P105</f>
        <v>233.06</v>
      </c>
      <c r="O139" s="152"/>
    </row>
    <row r="140" spans="1:17" ht="18">
      <c r="B140" s="158" t="s">
        <v>145</v>
      </c>
      <c r="C140" s="159">
        <f>J137</f>
        <v>638.05999999999995</v>
      </c>
      <c r="D140" s="160"/>
      <c r="E140" s="160"/>
      <c r="F140" s="159"/>
      <c r="G140" s="159"/>
      <c r="H140" s="160"/>
      <c r="I140" s="160"/>
      <c r="J140" s="45"/>
      <c r="K140" s="188" t="s">
        <v>146</v>
      </c>
      <c r="L140" s="189"/>
      <c r="M140" s="190"/>
      <c r="N140" s="161">
        <f>M17</f>
        <v>0</v>
      </c>
      <c r="O140" s="152"/>
    </row>
    <row r="141" spans="1:17" ht="18">
      <c r="B141" s="158" t="s">
        <v>28</v>
      </c>
      <c r="C141" s="159">
        <f>C139+C140</f>
        <v>638.05999999999995</v>
      </c>
      <c r="D141" s="160"/>
      <c r="E141" s="160"/>
      <c r="F141" s="160"/>
      <c r="G141" s="159"/>
      <c r="H141" s="160"/>
      <c r="I141" s="160"/>
      <c r="K141" s="188" t="s">
        <v>147</v>
      </c>
      <c r="L141" s="189"/>
      <c r="M141" s="190"/>
      <c r="N141" s="161">
        <f>M32</f>
        <v>405</v>
      </c>
    </row>
    <row r="142" spans="1:17" ht="18">
      <c r="C142" s="45"/>
      <c r="D142" s="45"/>
      <c r="E142" s="45"/>
      <c r="F142" s="45"/>
      <c r="G142" s="45"/>
      <c r="H142" s="160" t="s">
        <v>94</v>
      </c>
      <c r="I142" s="45"/>
      <c r="K142" s="188" t="s">
        <v>148</v>
      </c>
      <c r="L142" s="189"/>
      <c r="M142" s="190"/>
      <c r="N142" s="161">
        <f>M38</f>
        <v>0</v>
      </c>
    </row>
    <row r="143" spans="1:17" ht="25.2" customHeight="1">
      <c r="B143" s="162" t="s">
        <v>149</v>
      </c>
      <c r="C143" s="193"/>
      <c r="D143" s="193"/>
      <c r="E143" s="193"/>
      <c r="F143" s="193"/>
      <c r="G143" s="193"/>
      <c r="H143" s="193"/>
      <c r="I143" s="193"/>
      <c r="J143" s="193"/>
      <c r="K143" s="188" t="s">
        <v>150</v>
      </c>
      <c r="L143" s="189"/>
      <c r="M143" s="190"/>
      <c r="N143" s="161">
        <f>M44</f>
        <v>0</v>
      </c>
    </row>
    <row r="144" spans="1:17" ht="18">
      <c r="C144" s="45"/>
      <c r="D144" s="45"/>
      <c r="E144" s="26"/>
      <c r="F144" s="26"/>
      <c r="G144" s="45"/>
      <c r="H144" s="160"/>
      <c r="I144" s="45"/>
      <c r="K144" s="188" t="s">
        <v>151</v>
      </c>
      <c r="L144" s="189"/>
      <c r="M144" s="190"/>
      <c r="N144" s="161">
        <f>M113+M114+M115+M116</f>
        <v>0</v>
      </c>
    </row>
    <row r="145" spans="1:16" ht="18">
      <c r="E145" s="38"/>
      <c r="F145" s="45"/>
      <c r="G145" s="45"/>
      <c r="H145" s="160"/>
      <c r="I145" s="45"/>
      <c r="K145" s="188" t="s">
        <v>152</v>
      </c>
      <c r="L145" s="189"/>
      <c r="M145" s="190"/>
      <c r="N145" s="161">
        <f>O138</f>
        <v>0</v>
      </c>
    </row>
    <row r="146" spans="1:16" ht="18.600000000000001" thickBot="1">
      <c r="C146" s="38"/>
      <c r="D146" s="38"/>
      <c r="G146" s="163"/>
      <c r="H146" s="160"/>
      <c r="K146" s="188" t="s">
        <v>153</v>
      </c>
      <c r="L146" s="189"/>
      <c r="M146" s="190"/>
      <c r="N146" s="164">
        <f>M23</f>
        <v>0</v>
      </c>
      <c r="P146" s="38"/>
    </row>
    <row r="147" spans="1:16" ht="16.8" thickBot="1">
      <c r="C147" s="38"/>
      <c r="D147" s="38"/>
      <c r="E147" s="38"/>
      <c r="F147" s="38"/>
      <c r="H147" s="38"/>
      <c r="K147" s="191" t="s">
        <v>154</v>
      </c>
      <c r="L147" s="192"/>
      <c r="M147" s="192"/>
      <c r="N147" s="165">
        <f>SUM(N139:N146)</f>
        <v>638.05999999999995</v>
      </c>
    </row>
    <row r="148" spans="1:16">
      <c r="C148" s="38"/>
      <c r="D148" s="38"/>
      <c r="E148" s="159"/>
      <c r="F148" s="159"/>
      <c r="H148" s="38"/>
      <c r="I148" s="38"/>
    </row>
    <row r="149" spans="1:16">
      <c r="C149" s="38"/>
      <c r="D149" s="38"/>
      <c r="E149" s="159"/>
      <c r="F149" s="38"/>
      <c r="H149" s="160"/>
    </row>
    <row r="150" spans="1:16">
      <c r="A150" s="159"/>
      <c r="B150" s="159"/>
      <c r="C150" s="159"/>
      <c r="D150" s="159"/>
      <c r="E150" s="159"/>
      <c r="F150" s="159"/>
      <c r="G150" s="38"/>
      <c r="H150" s="38"/>
      <c r="N150" s="45"/>
    </row>
    <row r="151" spans="1:16">
      <c r="A151" s="159"/>
      <c r="D151" s="159"/>
    </row>
    <row r="152" spans="1:16">
      <c r="E152" s="159"/>
      <c r="H152" s="159"/>
      <c r="K152" s="159"/>
    </row>
    <row r="153" spans="1:16">
      <c r="E153" s="159"/>
    </row>
    <row r="154" spans="1:16">
      <c r="E154" s="159"/>
    </row>
  </sheetData>
  <mergeCells count="72">
    <mergeCell ref="A1:N1"/>
    <mergeCell ref="A2:L2"/>
    <mergeCell ref="A3:A4"/>
    <mergeCell ref="B3:B4"/>
    <mergeCell ref="C3:G3"/>
    <mergeCell ref="H3:L3"/>
    <mergeCell ref="M3:M4"/>
    <mergeCell ref="N3:N4"/>
    <mergeCell ref="O3:O4"/>
    <mergeCell ref="P3:P4"/>
    <mergeCell ref="A17:B17"/>
    <mergeCell ref="A18:L18"/>
    <mergeCell ref="A19:A20"/>
    <mergeCell ref="B19:B20"/>
    <mergeCell ref="C19:G19"/>
    <mergeCell ref="H19:K19"/>
    <mergeCell ref="M19:M20"/>
    <mergeCell ref="N19:N20"/>
    <mergeCell ref="A23:B23"/>
    <mergeCell ref="A24:L24"/>
    <mergeCell ref="A25:A26"/>
    <mergeCell ref="B25:B26"/>
    <mergeCell ref="C25:G25"/>
    <mergeCell ref="H25:K25"/>
    <mergeCell ref="M25:M26"/>
    <mergeCell ref="N25:N26"/>
    <mergeCell ref="A32:B32"/>
    <mergeCell ref="A33:L33"/>
    <mergeCell ref="A34:A35"/>
    <mergeCell ref="B34:B35"/>
    <mergeCell ref="C34:G34"/>
    <mergeCell ref="H34:K34"/>
    <mergeCell ref="M34:M35"/>
    <mergeCell ref="N34:N35"/>
    <mergeCell ref="A38:B38"/>
    <mergeCell ref="A39:L39"/>
    <mergeCell ref="A40:A41"/>
    <mergeCell ref="B40:B41"/>
    <mergeCell ref="C40:G40"/>
    <mergeCell ref="H40:K40"/>
    <mergeCell ref="M40:M41"/>
    <mergeCell ref="N40:N41"/>
    <mergeCell ref="A44:B44"/>
    <mergeCell ref="A45:L45"/>
    <mergeCell ref="A46:A47"/>
    <mergeCell ref="B46:B47"/>
    <mergeCell ref="C46:H46"/>
    <mergeCell ref="I46:N46"/>
    <mergeCell ref="K140:M140"/>
    <mergeCell ref="O46:O47"/>
    <mergeCell ref="P46:P47"/>
    <mergeCell ref="Q46:Q47"/>
    <mergeCell ref="R46:R47"/>
    <mergeCell ref="A106:L106"/>
    <mergeCell ref="A107:A108"/>
    <mergeCell ref="B107:B108"/>
    <mergeCell ref="C107:G107"/>
    <mergeCell ref="H107:K107"/>
    <mergeCell ref="M107:M108"/>
    <mergeCell ref="N107:N108"/>
    <mergeCell ref="A136:B136"/>
    <mergeCell ref="K137:N137"/>
    <mergeCell ref="L138:M138"/>
    <mergeCell ref="K139:M139"/>
    <mergeCell ref="K146:M146"/>
    <mergeCell ref="K147:M147"/>
    <mergeCell ref="K141:M141"/>
    <mergeCell ref="K142:M142"/>
    <mergeCell ref="C143:J143"/>
    <mergeCell ref="K143:M143"/>
    <mergeCell ref="K144:M144"/>
    <mergeCell ref="K145:M145"/>
  </mergeCells>
  <conditionalFormatting sqref="N6:N14 N15:O15 N16:N18 N21:N22 N27:N31 N36:N37 N42:N43">
    <cfRule type="cellIs" dxfId="51" priority="2" operator="greaterThan">
      <formula>40</formula>
    </cfRule>
  </conditionalFormatting>
  <conditionalFormatting sqref="Q48:Q105">
    <cfRule type="cellIs" dxfId="50" priority="1" operator="lessThan">
      <formula>0.5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228F5-9177-4214-9A41-E89871E03582}">
  <dimension ref="A1:AA151"/>
  <sheetViews>
    <sheetView topLeftCell="A43" zoomScale="74" zoomScaleNormal="74" workbookViewId="0">
      <selection activeCell="E153" sqref="E153"/>
    </sheetView>
  </sheetViews>
  <sheetFormatPr defaultColWidth="9" defaultRowHeight="14.4"/>
  <cols>
    <col min="1" max="1" width="8.5546875" customWidth="1"/>
    <col min="2" max="2" width="29.44140625" bestFit="1" customWidth="1"/>
    <col min="3" max="3" width="11.6640625" customWidth="1"/>
    <col min="4" max="4" width="8.77734375" customWidth="1"/>
    <col min="5" max="5" width="9.77734375" customWidth="1"/>
    <col min="6" max="6" width="13.6640625" customWidth="1"/>
    <col min="7" max="7" width="10" customWidth="1"/>
    <col min="8" max="8" width="9.77734375" customWidth="1"/>
    <col min="9" max="9" width="12.77734375" bestFit="1" customWidth="1"/>
    <col min="10" max="10" width="10.6640625" bestFit="1" customWidth="1"/>
    <col min="11" max="11" width="15.77734375" customWidth="1"/>
    <col min="12" max="12" width="10.77734375" customWidth="1"/>
    <col min="13" max="13" width="12.5546875" customWidth="1"/>
    <col min="14" max="14" width="17.88671875" customWidth="1"/>
    <col min="15" max="15" width="12" customWidth="1"/>
    <col min="16" max="16" width="10.44140625" customWidth="1"/>
    <col min="17" max="17" width="11.109375" bestFit="1" customWidth="1"/>
    <col min="19" max="19" width="9.21875" bestFit="1" customWidth="1"/>
    <col min="20" max="20" width="8.21875" bestFit="1" customWidth="1"/>
    <col min="21" max="22" width="11.21875" customWidth="1"/>
  </cols>
  <sheetData>
    <row r="1" spans="1:22" ht="18.600000000000001" thickBot="1">
      <c r="A1" s="249" t="s">
        <v>0</v>
      </c>
      <c r="B1" s="249"/>
      <c r="C1" s="249"/>
      <c r="D1" s="249"/>
      <c r="E1" s="249"/>
      <c r="F1" s="249"/>
      <c r="G1" s="249"/>
      <c r="H1" s="249"/>
      <c r="I1" s="249"/>
      <c r="J1" s="249"/>
      <c r="K1" s="249"/>
      <c r="L1" s="249"/>
      <c r="M1" s="249"/>
      <c r="N1" s="249"/>
      <c r="O1" s="1"/>
      <c r="V1" s="2"/>
    </row>
    <row r="2" spans="1:22" ht="19.8" customHeight="1" thickBot="1">
      <c r="A2" s="250" t="s">
        <v>1</v>
      </c>
      <c r="B2" s="251"/>
      <c r="C2" s="252"/>
      <c r="D2" s="252"/>
      <c r="E2" s="252"/>
      <c r="F2" s="252"/>
      <c r="G2" s="252"/>
      <c r="H2" s="252"/>
      <c r="I2" s="252"/>
      <c r="J2" s="252"/>
      <c r="K2" s="252"/>
      <c r="L2" s="251"/>
      <c r="M2" s="3" t="s">
        <v>2</v>
      </c>
      <c r="N2" s="4">
        <v>46205</v>
      </c>
      <c r="O2" s="1"/>
    </row>
    <row r="3" spans="1:22" ht="18" customHeight="1">
      <c r="A3" s="209" t="s">
        <v>3</v>
      </c>
      <c r="B3" s="211" t="s">
        <v>4</v>
      </c>
      <c r="C3" s="213" t="s">
        <v>5</v>
      </c>
      <c r="D3" s="214"/>
      <c r="E3" s="214"/>
      <c r="F3" s="214"/>
      <c r="G3" s="215"/>
      <c r="H3" s="253" t="s">
        <v>6</v>
      </c>
      <c r="I3" s="254"/>
      <c r="J3" s="254"/>
      <c r="K3" s="254"/>
      <c r="L3" s="255"/>
      <c r="M3" s="219" t="s">
        <v>7</v>
      </c>
      <c r="N3" s="194" t="s">
        <v>8</v>
      </c>
      <c r="O3" s="243" t="s">
        <v>9</v>
      </c>
      <c r="P3" s="222" t="s">
        <v>10</v>
      </c>
    </row>
    <row r="4" spans="1:22" ht="22.8" customHeight="1">
      <c r="A4" s="247"/>
      <c r="B4" s="248"/>
      <c r="C4" s="6" t="s">
        <v>11</v>
      </c>
      <c r="D4" s="6" t="s">
        <v>12</v>
      </c>
      <c r="E4" s="6" t="s">
        <v>13</v>
      </c>
      <c r="F4" s="6" t="s">
        <v>14</v>
      </c>
      <c r="G4" s="6" t="s">
        <v>8</v>
      </c>
      <c r="H4" s="6" t="s">
        <v>12</v>
      </c>
      <c r="I4" s="6" t="s">
        <v>13</v>
      </c>
      <c r="J4" s="6" t="s">
        <v>14</v>
      </c>
      <c r="K4" s="7" t="s">
        <v>8</v>
      </c>
      <c r="L4" s="8" t="s">
        <v>15</v>
      </c>
      <c r="M4" s="236"/>
      <c r="N4" s="237"/>
      <c r="O4" s="248"/>
      <c r="P4" s="243"/>
    </row>
    <row r="5" spans="1:22" ht="22.8" customHeight="1">
      <c r="A5" s="5">
        <v>1</v>
      </c>
      <c r="B5" s="9" t="s">
        <v>16</v>
      </c>
      <c r="C5" s="2">
        <v>31926.9</v>
      </c>
      <c r="D5" s="2">
        <v>31926.9</v>
      </c>
      <c r="E5" s="2">
        <f>D5-C5</f>
        <v>0</v>
      </c>
      <c r="F5" s="2">
        <v>0</v>
      </c>
      <c r="G5" s="10">
        <f>IFERROR(F5/E5,0)</f>
        <v>0</v>
      </c>
      <c r="H5" s="2">
        <v>31926.9</v>
      </c>
      <c r="I5" s="167">
        <f>H5-D5</f>
        <v>0</v>
      </c>
      <c r="J5" s="2">
        <v>0</v>
      </c>
      <c r="K5" s="11">
        <f>IFERROR(J5/I5,0)</f>
        <v>0</v>
      </c>
      <c r="L5" s="12">
        <f>E5+I5</f>
        <v>0</v>
      </c>
      <c r="M5" s="13">
        <f>F5+J5</f>
        <v>0</v>
      </c>
      <c r="N5" s="14">
        <f>IFERROR(M5/L5,0)</f>
        <v>0</v>
      </c>
      <c r="O5" s="2">
        <v>0</v>
      </c>
      <c r="P5" s="5"/>
    </row>
    <row r="6" spans="1:22" ht="24" customHeight="1">
      <c r="A6" s="15">
        <v>2</v>
      </c>
      <c r="B6" s="16" t="s">
        <v>17</v>
      </c>
      <c r="C6" s="17">
        <v>32493.3</v>
      </c>
      <c r="D6" s="17">
        <v>32493.3</v>
      </c>
      <c r="E6" s="17">
        <f t="shared" ref="E6:E16" si="0">D6-C6</f>
        <v>0</v>
      </c>
      <c r="F6" s="18">
        <v>0</v>
      </c>
      <c r="G6" s="10">
        <f>IFERROR(F6/E6,0)</f>
        <v>0</v>
      </c>
      <c r="H6" s="17">
        <v>32493.3</v>
      </c>
      <c r="I6" s="19">
        <f t="shared" ref="I6:I13" si="1">H6-D6</f>
        <v>0</v>
      </c>
      <c r="J6" s="20">
        <v>0</v>
      </c>
      <c r="K6" s="21">
        <f>IFERROR(J6/I6,0)</f>
        <v>0</v>
      </c>
      <c r="L6" s="18">
        <f>E6+I6</f>
        <v>0</v>
      </c>
      <c r="M6" s="22">
        <f>F6+J6</f>
        <v>0</v>
      </c>
      <c r="N6" s="23">
        <f>IFERROR(M6/L6,0)</f>
        <v>0</v>
      </c>
      <c r="O6" s="24">
        <v>0</v>
      </c>
      <c r="P6" s="25"/>
      <c r="Q6" s="26"/>
    </row>
    <row r="7" spans="1:22" ht="25.8" customHeight="1">
      <c r="A7" s="27">
        <v>3</v>
      </c>
      <c r="B7" s="16" t="s">
        <v>18</v>
      </c>
      <c r="C7" s="17">
        <v>24509</v>
      </c>
      <c r="D7" s="17">
        <v>24509</v>
      </c>
      <c r="E7" s="17">
        <f t="shared" si="0"/>
        <v>0</v>
      </c>
      <c r="F7" s="18">
        <v>0</v>
      </c>
      <c r="G7" s="10">
        <f t="shared" ref="G7:G12" si="2">IFERROR(F7/E7,0)</f>
        <v>0</v>
      </c>
      <c r="H7" s="17">
        <v>24509</v>
      </c>
      <c r="I7" s="19">
        <f t="shared" si="1"/>
        <v>0</v>
      </c>
      <c r="J7" s="20">
        <v>0</v>
      </c>
      <c r="K7" s="28">
        <f t="shared" ref="K7:K13" si="3">IFERROR(J7/I7,0)</f>
        <v>0</v>
      </c>
      <c r="L7" s="18">
        <f t="shared" ref="L7:M15" si="4">E7+I7</f>
        <v>0</v>
      </c>
      <c r="M7" s="22">
        <f t="shared" si="4"/>
        <v>0</v>
      </c>
      <c r="N7" s="23">
        <f t="shared" ref="N7:N16" si="5">IFERROR(M7/L7,0)</f>
        <v>0</v>
      </c>
      <c r="O7" s="29">
        <v>0</v>
      </c>
      <c r="P7" s="30"/>
      <c r="Q7" s="26"/>
      <c r="S7" s="26"/>
    </row>
    <row r="8" spans="1:22" ht="25.8" customHeight="1">
      <c r="A8" s="15">
        <v>4</v>
      </c>
      <c r="B8" s="31" t="s">
        <v>19</v>
      </c>
      <c r="C8" s="17">
        <v>32463.4</v>
      </c>
      <c r="D8" s="17">
        <v>32463.4</v>
      </c>
      <c r="E8" s="17">
        <f t="shared" si="0"/>
        <v>0</v>
      </c>
      <c r="F8" s="32">
        <v>0</v>
      </c>
      <c r="G8" s="10">
        <f t="shared" si="2"/>
        <v>0</v>
      </c>
      <c r="H8" s="17">
        <v>32463.4</v>
      </c>
      <c r="I8" s="19">
        <f t="shared" si="1"/>
        <v>0</v>
      </c>
      <c r="J8" s="33">
        <v>0</v>
      </c>
      <c r="K8" s="28">
        <f t="shared" si="3"/>
        <v>0</v>
      </c>
      <c r="L8" s="18">
        <f t="shared" si="4"/>
        <v>0</v>
      </c>
      <c r="M8" s="22">
        <f t="shared" si="4"/>
        <v>0</v>
      </c>
      <c r="N8" s="23">
        <f t="shared" si="5"/>
        <v>0</v>
      </c>
      <c r="O8" s="29">
        <v>0</v>
      </c>
      <c r="P8" s="30"/>
      <c r="Q8" s="26"/>
      <c r="S8" s="26"/>
    </row>
    <row r="9" spans="1:22" ht="25.8" customHeight="1">
      <c r="A9" s="27">
        <v>5</v>
      </c>
      <c r="B9" s="16" t="s">
        <v>20</v>
      </c>
      <c r="C9" s="17">
        <v>33398.199999999997</v>
      </c>
      <c r="D9" s="17">
        <v>33398.199999999997</v>
      </c>
      <c r="E9" s="17">
        <f t="shared" si="0"/>
        <v>0</v>
      </c>
      <c r="F9" s="34">
        <v>0</v>
      </c>
      <c r="G9" s="10">
        <f t="shared" si="2"/>
        <v>0</v>
      </c>
      <c r="H9" s="17">
        <v>33398.199999999997</v>
      </c>
      <c r="I9" s="19">
        <f t="shared" si="1"/>
        <v>0</v>
      </c>
      <c r="J9" s="33">
        <v>0</v>
      </c>
      <c r="K9" s="28">
        <f t="shared" si="3"/>
        <v>0</v>
      </c>
      <c r="L9" s="18">
        <f t="shared" si="4"/>
        <v>0</v>
      </c>
      <c r="M9" s="22">
        <f t="shared" si="4"/>
        <v>0</v>
      </c>
      <c r="N9" s="23">
        <f t="shared" si="5"/>
        <v>0</v>
      </c>
      <c r="O9" s="29">
        <v>0</v>
      </c>
      <c r="P9" s="30"/>
      <c r="Q9" s="26"/>
      <c r="S9" s="26"/>
    </row>
    <row r="10" spans="1:22" ht="22.8" customHeight="1">
      <c r="A10" s="15">
        <v>6</v>
      </c>
      <c r="B10" s="16" t="s">
        <v>21</v>
      </c>
      <c r="C10" s="17">
        <v>27893.1</v>
      </c>
      <c r="D10" s="17">
        <v>27893.1</v>
      </c>
      <c r="E10" s="17">
        <f t="shared" si="0"/>
        <v>0</v>
      </c>
      <c r="F10" s="32">
        <v>0</v>
      </c>
      <c r="G10" s="10">
        <f t="shared" si="2"/>
        <v>0</v>
      </c>
      <c r="H10" s="17">
        <v>27893.1</v>
      </c>
      <c r="I10" s="19">
        <f t="shared" si="1"/>
        <v>0</v>
      </c>
      <c r="J10" s="20">
        <v>0</v>
      </c>
      <c r="K10" s="28">
        <f t="shared" si="3"/>
        <v>0</v>
      </c>
      <c r="L10" s="18">
        <f t="shared" si="4"/>
        <v>0</v>
      </c>
      <c r="M10" s="22">
        <f t="shared" si="4"/>
        <v>0</v>
      </c>
      <c r="N10" s="23">
        <f t="shared" si="5"/>
        <v>0</v>
      </c>
      <c r="O10" s="29">
        <v>0</v>
      </c>
      <c r="P10" s="30"/>
      <c r="Q10" s="26"/>
      <c r="S10" s="26"/>
    </row>
    <row r="11" spans="1:22" ht="22.8" customHeight="1">
      <c r="A11" s="27">
        <v>7</v>
      </c>
      <c r="B11" s="31" t="s">
        <v>22</v>
      </c>
      <c r="C11" s="35">
        <v>27281.200000000001</v>
      </c>
      <c r="D11" s="35">
        <v>27281.200000000001</v>
      </c>
      <c r="E11" s="17">
        <f t="shared" si="0"/>
        <v>0</v>
      </c>
      <c r="F11" s="32">
        <v>0</v>
      </c>
      <c r="G11" s="10">
        <f t="shared" si="2"/>
        <v>0</v>
      </c>
      <c r="H11" s="35">
        <v>27281.200000000001</v>
      </c>
      <c r="I11" s="19">
        <f t="shared" si="1"/>
        <v>0</v>
      </c>
      <c r="J11" s="33">
        <v>0</v>
      </c>
      <c r="K11" s="28">
        <f t="shared" si="3"/>
        <v>0</v>
      </c>
      <c r="L11" s="18">
        <f t="shared" si="4"/>
        <v>0</v>
      </c>
      <c r="M11" s="22">
        <f t="shared" si="4"/>
        <v>0</v>
      </c>
      <c r="N11" s="23">
        <f t="shared" si="5"/>
        <v>0</v>
      </c>
      <c r="O11" s="29">
        <v>0</v>
      </c>
      <c r="P11" s="30"/>
      <c r="Q11" s="26"/>
      <c r="S11" s="26"/>
    </row>
    <row r="12" spans="1:22" ht="24" customHeight="1">
      <c r="A12" s="15">
        <v>8</v>
      </c>
      <c r="B12" s="31" t="s">
        <v>23</v>
      </c>
      <c r="C12" s="17">
        <v>22437.59</v>
      </c>
      <c r="D12" s="17">
        <v>22437.59</v>
      </c>
      <c r="E12" s="17">
        <f t="shared" si="0"/>
        <v>0</v>
      </c>
      <c r="F12" s="34">
        <v>0</v>
      </c>
      <c r="G12" s="10">
        <f t="shared" si="2"/>
        <v>0</v>
      </c>
      <c r="H12" s="17">
        <v>22437.59</v>
      </c>
      <c r="I12" s="19">
        <f t="shared" si="1"/>
        <v>0</v>
      </c>
      <c r="J12" s="20">
        <v>0</v>
      </c>
      <c r="K12" s="28">
        <f t="shared" si="3"/>
        <v>0</v>
      </c>
      <c r="L12" s="18">
        <f t="shared" si="4"/>
        <v>0</v>
      </c>
      <c r="M12" s="22">
        <f t="shared" si="4"/>
        <v>0</v>
      </c>
      <c r="N12" s="23">
        <f t="shared" si="5"/>
        <v>0</v>
      </c>
      <c r="O12" s="29">
        <v>0</v>
      </c>
      <c r="P12" s="36"/>
      <c r="Q12" s="26"/>
      <c r="S12" s="26"/>
    </row>
    <row r="13" spans="1:22" ht="24" customHeight="1">
      <c r="A13" s="27">
        <v>9</v>
      </c>
      <c r="B13" s="31" t="s">
        <v>24</v>
      </c>
      <c r="C13" s="17">
        <v>22446.959999999999</v>
      </c>
      <c r="D13" s="17">
        <v>22446.959999999999</v>
      </c>
      <c r="E13" s="17">
        <f t="shared" si="0"/>
        <v>0</v>
      </c>
      <c r="F13" s="32">
        <v>0</v>
      </c>
      <c r="G13" s="10">
        <f>IFERROR(F13/E13,0)</f>
        <v>0</v>
      </c>
      <c r="H13" s="17">
        <v>22446.959999999999</v>
      </c>
      <c r="I13" s="19">
        <f t="shared" si="1"/>
        <v>0</v>
      </c>
      <c r="J13" s="20">
        <v>0</v>
      </c>
      <c r="K13" s="28">
        <f t="shared" si="3"/>
        <v>0</v>
      </c>
      <c r="L13" s="18">
        <f t="shared" si="4"/>
        <v>0</v>
      </c>
      <c r="M13" s="22">
        <f t="shared" si="4"/>
        <v>0</v>
      </c>
      <c r="N13" s="23">
        <f t="shared" si="5"/>
        <v>0</v>
      </c>
      <c r="O13" s="29">
        <v>0</v>
      </c>
      <c r="P13" s="37"/>
      <c r="Q13" s="26"/>
      <c r="S13" s="26"/>
    </row>
    <row r="14" spans="1:22" ht="24" customHeight="1">
      <c r="A14" s="15">
        <v>10</v>
      </c>
      <c r="B14" s="31" t="s">
        <v>25</v>
      </c>
      <c r="C14" s="17">
        <v>19893.240000000002</v>
      </c>
      <c r="D14" s="17">
        <v>19893.240000000002</v>
      </c>
      <c r="E14" s="17">
        <f t="shared" si="0"/>
        <v>0</v>
      </c>
      <c r="F14" s="32">
        <v>0</v>
      </c>
      <c r="G14" s="10">
        <f>IFERROR(F14/E14,0)</f>
        <v>0</v>
      </c>
      <c r="H14" s="17">
        <v>19893.240000000002</v>
      </c>
      <c r="I14" s="19">
        <f>H14-D14</f>
        <v>0</v>
      </c>
      <c r="J14" s="20">
        <v>0</v>
      </c>
      <c r="K14" s="28">
        <f>IFERROR(J14/I14,0)</f>
        <v>0</v>
      </c>
      <c r="L14" s="18">
        <f>E14+I14</f>
        <v>0</v>
      </c>
      <c r="M14" s="22">
        <f t="shared" si="4"/>
        <v>0</v>
      </c>
      <c r="N14" s="23">
        <f t="shared" si="5"/>
        <v>0</v>
      </c>
      <c r="O14" s="29">
        <v>0</v>
      </c>
      <c r="P14" s="37"/>
      <c r="Q14" s="26"/>
      <c r="S14" s="26"/>
      <c r="T14" s="38"/>
    </row>
    <row r="15" spans="1:22" ht="24" customHeight="1">
      <c r="A15" s="166">
        <v>11</v>
      </c>
      <c r="B15" s="31" t="s">
        <v>27</v>
      </c>
      <c r="C15" s="17">
        <v>18190.3</v>
      </c>
      <c r="D15" s="17">
        <v>18190.3</v>
      </c>
      <c r="E15" s="17">
        <f t="shared" si="0"/>
        <v>0</v>
      </c>
      <c r="F15" s="18">
        <v>0</v>
      </c>
      <c r="G15" s="10">
        <f>IFERROR(F15/E15,0)</f>
        <v>0</v>
      </c>
      <c r="H15" s="17">
        <v>18190.3</v>
      </c>
      <c r="I15" s="19">
        <f t="shared" ref="I15" si="6">H15-D15</f>
        <v>0</v>
      </c>
      <c r="J15" s="20">
        <v>0</v>
      </c>
      <c r="K15" s="28">
        <f t="shared" ref="K15" si="7">IFERROR(J15/I15,0)</f>
        <v>0</v>
      </c>
      <c r="L15" s="18">
        <f t="shared" ref="L15" si="8">E15+I15</f>
        <v>0</v>
      </c>
      <c r="M15" s="22">
        <f t="shared" si="4"/>
        <v>0</v>
      </c>
      <c r="N15" s="23">
        <f t="shared" si="5"/>
        <v>0</v>
      </c>
      <c r="O15" s="23">
        <v>0</v>
      </c>
      <c r="P15" s="37"/>
      <c r="Q15" s="26"/>
      <c r="S15" s="26"/>
      <c r="T15" s="38"/>
    </row>
    <row r="16" spans="1:22" ht="24" customHeight="1">
      <c r="A16" s="27">
        <v>12</v>
      </c>
      <c r="B16" s="31" t="s">
        <v>26</v>
      </c>
      <c r="C16" s="17">
        <v>15231.7</v>
      </c>
      <c r="D16" s="17">
        <v>15231.7</v>
      </c>
      <c r="E16" s="17">
        <f t="shared" si="0"/>
        <v>0</v>
      </c>
      <c r="F16" s="32">
        <v>0</v>
      </c>
      <c r="G16" s="10">
        <f>IFERROR(F16/E16,0)</f>
        <v>0</v>
      </c>
      <c r="H16" s="17">
        <v>15231.7</v>
      </c>
      <c r="I16" s="19">
        <f>H16-D16</f>
        <v>0</v>
      </c>
      <c r="J16" s="20">
        <v>0</v>
      </c>
      <c r="K16" s="28">
        <f>IFERROR(J16/I16,0)</f>
        <v>0</v>
      </c>
      <c r="L16" s="18">
        <f>E16+I16</f>
        <v>0</v>
      </c>
      <c r="M16" s="22">
        <f>F16+J16</f>
        <v>0</v>
      </c>
      <c r="N16" s="23">
        <f t="shared" si="5"/>
        <v>0</v>
      </c>
      <c r="O16" s="29">
        <v>0</v>
      </c>
      <c r="P16" s="37"/>
      <c r="Q16" s="26"/>
      <c r="S16" s="26"/>
      <c r="T16" s="38"/>
    </row>
    <row r="17" spans="1:20" ht="24" customHeight="1">
      <c r="A17" s="196" t="s">
        <v>28</v>
      </c>
      <c r="B17" s="197"/>
      <c r="C17" s="39"/>
      <c r="D17" s="39"/>
      <c r="E17" s="40">
        <f>SUM(E6:E16)</f>
        <v>0</v>
      </c>
      <c r="F17" s="41">
        <f>SUM(F5:F16)</f>
        <v>0</v>
      </c>
      <c r="G17" s="39"/>
      <c r="H17" s="39"/>
      <c r="I17" s="40">
        <f>SUM(I6:I16)</f>
        <v>0</v>
      </c>
      <c r="J17" s="41">
        <f>SUM(J5:J16)</f>
        <v>0</v>
      </c>
      <c r="K17" s="28">
        <f>IFERROR(J17/I17,0)</f>
        <v>0</v>
      </c>
      <c r="L17" s="42">
        <f>SUM(L6:L16)</f>
        <v>0</v>
      </c>
      <c r="M17" s="43">
        <f>SUM(M5:M16)</f>
        <v>0</v>
      </c>
      <c r="N17" s="23">
        <f>IFERROR(M17/L17,0)</f>
        <v>0</v>
      </c>
      <c r="O17" s="44">
        <f>SUM(O6:O16)</f>
        <v>0</v>
      </c>
      <c r="P17" s="45"/>
      <c r="S17" s="26"/>
    </row>
    <row r="18" spans="1:20" ht="18" customHeight="1" thickBot="1">
      <c r="A18" s="206" t="s">
        <v>29</v>
      </c>
      <c r="B18" s="207"/>
      <c r="C18" s="207"/>
      <c r="D18" s="207"/>
      <c r="E18" s="207"/>
      <c r="F18" s="207"/>
      <c r="G18" s="207"/>
      <c r="H18" s="207"/>
      <c r="I18" s="207"/>
      <c r="J18" s="207"/>
      <c r="K18" s="207"/>
      <c r="L18" s="208"/>
      <c r="M18" s="46"/>
      <c r="N18" s="47"/>
      <c r="O18" s="37"/>
    </row>
    <row r="19" spans="1:20" ht="22.8" customHeight="1">
      <c r="A19" s="209" t="s">
        <v>3</v>
      </c>
      <c r="B19" s="211" t="s">
        <v>4</v>
      </c>
      <c r="C19" s="234" t="s">
        <v>5</v>
      </c>
      <c r="D19" s="234"/>
      <c r="E19" s="234"/>
      <c r="F19" s="234"/>
      <c r="G19" s="234"/>
      <c r="H19" s="235" t="s">
        <v>6</v>
      </c>
      <c r="I19" s="235"/>
      <c r="J19" s="235"/>
      <c r="K19" s="235"/>
      <c r="L19" s="48"/>
      <c r="M19" s="219" t="s">
        <v>7</v>
      </c>
      <c r="N19" s="194" t="s">
        <v>8</v>
      </c>
      <c r="O19" s="37"/>
    </row>
    <row r="20" spans="1:20" s="51" customFormat="1" ht="24" customHeight="1" thickBot="1">
      <c r="A20" s="210"/>
      <c r="B20" s="212"/>
      <c r="C20" s="49" t="s">
        <v>11</v>
      </c>
      <c r="D20" s="49" t="s">
        <v>12</v>
      </c>
      <c r="E20" s="49" t="s">
        <v>13</v>
      </c>
      <c r="F20" s="2" t="s">
        <v>14</v>
      </c>
      <c r="G20" s="2" t="s">
        <v>8</v>
      </c>
      <c r="H20" s="49" t="s">
        <v>12</v>
      </c>
      <c r="I20" s="49" t="s">
        <v>13</v>
      </c>
      <c r="J20" s="49" t="s">
        <v>14</v>
      </c>
      <c r="K20" s="7" t="s">
        <v>8</v>
      </c>
      <c r="L20" s="50" t="s">
        <v>15</v>
      </c>
      <c r="M20" s="220"/>
      <c r="N20" s="195"/>
      <c r="O20" s="37"/>
      <c r="Q20"/>
      <c r="R20"/>
      <c r="S20"/>
      <c r="T20"/>
    </row>
    <row r="21" spans="1:20" s="51" customFormat="1" ht="24" customHeight="1">
      <c r="A21" s="27">
        <v>1</v>
      </c>
      <c r="B21" s="52" t="s">
        <v>30</v>
      </c>
      <c r="C21" s="6">
        <v>18710</v>
      </c>
      <c r="D21" s="6">
        <v>18710</v>
      </c>
      <c r="E21" s="53">
        <f>D21-C21</f>
        <v>0</v>
      </c>
      <c r="F21" s="54">
        <v>0</v>
      </c>
      <c r="G21" s="55">
        <f>IFERROR(F21/E21,0)</f>
        <v>0</v>
      </c>
      <c r="H21" s="6">
        <v>18710</v>
      </c>
      <c r="I21" s="56">
        <f>H21-D21</f>
        <v>0</v>
      </c>
      <c r="J21" s="54">
        <v>0</v>
      </c>
      <c r="K21" s="57">
        <f>IFERROR(J21/I21,0)</f>
        <v>0</v>
      </c>
      <c r="L21" s="58">
        <f>E21+I21</f>
        <v>0</v>
      </c>
      <c r="M21" s="59">
        <f t="shared" ref="M21:M22" si="9">F21+J21</f>
        <v>0</v>
      </c>
      <c r="N21" s="60">
        <f>IFERROR(M21/L21,0)</f>
        <v>0</v>
      </c>
      <c r="O21" s="61"/>
      <c r="Q21"/>
      <c r="R21"/>
      <c r="S21"/>
      <c r="T21"/>
    </row>
    <row r="22" spans="1:20" ht="24" customHeight="1">
      <c r="A22" s="62">
        <v>2</v>
      </c>
      <c r="B22" s="52" t="s">
        <v>31</v>
      </c>
      <c r="C22" s="63">
        <v>11113.1</v>
      </c>
      <c r="D22" s="63">
        <v>11113.1</v>
      </c>
      <c r="E22" s="53">
        <f>D22-C22</f>
        <v>0</v>
      </c>
      <c r="F22" s="54">
        <v>0</v>
      </c>
      <c r="G22" s="55">
        <f>IFERROR(F22/E22,0)</f>
        <v>0</v>
      </c>
      <c r="H22" s="63">
        <v>11113.1</v>
      </c>
      <c r="I22" s="64">
        <f>H22-D22</f>
        <v>0</v>
      </c>
      <c r="J22" s="54">
        <v>0</v>
      </c>
      <c r="K22" s="57">
        <f>IFERROR(J22/I22,0)</f>
        <v>0</v>
      </c>
      <c r="L22" s="58">
        <f>E22+I22</f>
        <v>0</v>
      </c>
      <c r="M22" s="59">
        <f t="shared" si="9"/>
        <v>0</v>
      </c>
      <c r="N22" s="60">
        <f>IFERROR(M22/L22,0)</f>
        <v>0</v>
      </c>
      <c r="O22" s="65"/>
    </row>
    <row r="23" spans="1:20" ht="24" customHeight="1" thickBot="1">
      <c r="A23" s="238" t="s">
        <v>28</v>
      </c>
      <c r="B23" s="239"/>
      <c r="C23" s="66"/>
      <c r="D23" s="66"/>
      <c r="E23" s="67">
        <f>SUM(E21:E22)</f>
        <v>0</v>
      </c>
      <c r="F23" s="67">
        <f>SUM(F21:F22)</f>
        <v>0</v>
      </c>
      <c r="G23" s="68"/>
      <c r="H23" s="68"/>
      <c r="I23" s="67">
        <f>SUM(I21:I22)</f>
        <v>0</v>
      </c>
      <c r="J23" s="67">
        <f>SUM(J21:J22)</f>
        <v>0</v>
      </c>
      <c r="K23" s="69">
        <f>SUM(K21:K22)</f>
        <v>0</v>
      </c>
      <c r="L23" s="70">
        <f>SUM(L21:L22)</f>
        <v>0</v>
      </c>
      <c r="M23" s="43">
        <f>SUM(M21:M22)</f>
        <v>0</v>
      </c>
      <c r="N23" s="71"/>
      <c r="O23" s="37"/>
      <c r="P23" s="72"/>
    </row>
    <row r="24" spans="1:20" ht="18" customHeight="1" thickBot="1">
      <c r="A24" s="245" t="s">
        <v>32</v>
      </c>
      <c r="B24" s="246"/>
      <c r="C24" s="226"/>
      <c r="D24" s="226"/>
      <c r="E24" s="226"/>
      <c r="F24" s="226"/>
      <c r="G24" s="226"/>
      <c r="H24" s="226"/>
      <c r="I24" s="226"/>
      <c r="J24" s="226"/>
      <c r="K24" s="226"/>
      <c r="L24" s="246"/>
      <c r="M24" s="46"/>
      <c r="N24" s="47"/>
      <c r="O24" s="37"/>
    </row>
    <row r="25" spans="1:20" ht="22.8" customHeight="1">
      <c r="A25" s="209" t="s">
        <v>3</v>
      </c>
      <c r="B25" s="211" t="s">
        <v>4</v>
      </c>
      <c r="C25" s="234" t="s">
        <v>5</v>
      </c>
      <c r="D25" s="234"/>
      <c r="E25" s="234"/>
      <c r="F25" s="234"/>
      <c r="G25" s="234"/>
      <c r="H25" s="235" t="s">
        <v>6</v>
      </c>
      <c r="I25" s="235"/>
      <c r="J25" s="235"/>
      <c r="K25" s="235"/>
      <c r="L25" s="48"/>
      <c r="M25" s="219" t="s">
        <v>7</v>
      </c>
      <c r="N25" s="194" t="s">
        <v>8</v>
      </c>
      <c r="O25" s="37"/>
      <c r="S25" s="51"/>
    </row>
    <row r="26" spans="1:20" ht="24" customHeight="1">
      <c r="A26" s="247"/>
      <c r="B26" s="248"/>
      <c r="C26" s="6" t="s">
        <v>11</v>
      </c>
      <c r="D26" s="6" t="s">
        <v>12</v>
      </c>
      <c r="E26" s="6" t="s">
        <v>13</v>
      </c>
      <c r="F26" s="6" t="s">
        <v>14</v>
      </c>
      <c r="G26" s="6" t="s">
        <v>8</v>
      </c>
      <c r="H26" s="6" t="s">
        <v>12</v>
      </c>
      <c r="I26" s="6" t="s">
        <v>13</v>
      </c>
      <c r="J26" s="6" t="s">
        <v>14</v>
      </c>
      <c r="K26" s="7" t="s">
        <v>8</v>
      </c>
      <c r="L26" s="73" t="s">
        <v>15</v>
      </c>
      <c r="M26" s="236"/>
      <c r="N26" s="237"/>
      <c r="O26" s="37"/>
      <c r="P26" s="74"/>
      <c r="S26" s="51"/>
      <c r="T26" s="75"/>
    </row>
    <row r="27" spans="1:20" ht="24" customHeight="1">
      <c r="A27" s="76">
        <v>1</v>
      </c>
      <c r="B27" s="31" t="s">
        <v>33</v>
      </c>
      <c r="C27" s="35">
        <v>21539.8</v>
      </c>
      <c r="D27" s="35">
        <v>21539.8</v>
      </c>
      <c r="E27" s="35">
        <f>D27-C27</f>
        <v>0</v>
      </c>
      <c r="F27" s="33">
        <v>0</v>
      </c>
      <c r="G27" s="10">
        <f t="shared" ref="G27:G31" si="10">IFERROR(F27/E27,0)</f>
        <v>0</v>
      </c>
      <c r="H27" s="35">
        <v>21539.8</v>
      </c>
      <c r="I27" s="56">
        <f>H27-D27</f>
        <v>0</v>
      </c>
      <c r="J27" s="33">
        <v>0</v>
      </c>
      <c r="K27" s="28">
        <f t="shared" ref="K27:K31" si="11">IFERROR(J27/I27,0)</f>
        <v>0</v>
      </c>
      <c r="L27" s="18">
        <f t="shared" ref="L27:M31" si="12">E27+I27</f>
        <v>0</v>
      </c>
      <c r="M27" s="22">
        <f t="shared" si="12"/>
        <v>0</v>
      </c>
      <c r="N27" s="23">
        <f>IFERROR(M27/L27,0)</f>
        <v>0</v>
      </c>
      <c r="O27" s="37"/>
    </row>
    <row r="28" spans="1:20" ht="24" customHeight="1">
      <c r="A28" s="76">
        <v>2</v>
      </c>
      <c r="B28" s="31" t="s">
        <v>34</v>
      </c>
      <c r="C28" s="35">
        <v>20945.099999999999</v>
      </c>
      <c r="D28" s="35">
        <v>20945.099999999999</v>
      </c>
      <c r="E28" s="35">
        <f>D28-C28</f>
        <v>0</v>
      </c>
      <c r="F28" s="33">
        <v>0</v>
      </c>
      <c r="G28" s="10">
        <f t="shared" si="10"/>
        <v>0</v>
      </c>
      <c r="H28" s="35">
        <v>20945.099999999999</v>
      </c>
      <c r="I28" s="56">
        <f>H28-D28</f>
        <v>0</v>
      </c>
      <c r="J28" s="33">
        <v>0</v>
      </c>
      <c r="K28" s="28">
        <f>IFERROR(J28/I28,0)</f>
        <v>0</v>
      </c>
      <c r="L28" s="18">
        <f t="shared" si="12"/>
        <v>0</v>
      </c>
      <c r="M28" s="22">
        <f t="shared" si="12"/>
        <v>0</v>
      </c>
      <c r="N28" s="23">
        <f>IFERROR(M28/L28,0)</f>
        <v>0</v>
      </c>
      <c r="O28" s="37"/>
    </row>
    <row r="29" spans="1:20" ht="24" customHeight="1">
      <c r="A29" s="76">
        <v>3</v>
      </c>
      <c r="B29" s="31" t="s">
        <v>35</v>
      </c>
      <c r="C29" s="35">
        <v>8871</v>
      </c>
      <c r="D29" s="35">
        <v>8871</v>
      </c>
      <c r="E29" s="17">
        <f t="shared" ref="E29:E31" si="13">D29-C29</f>
        <v>0</v>
      </c>
      <c r="F29" s="33">
        <v>0</v>
      </c>
      <c r="G29" s="10">
        <f t="shared" si="10"/>
        <v>0</v>
      </c>
      <c r="H29" s="35">
        <v>8871</v>
      </c>
      <c r="I29" s="19">
        <f>H29-D29</f>
        <v>0</v>
      </c>
      <c r="J29" s="33">
        <v>0</v>
      </c>
      <c r="K29" s="28">
        <f t="shared" si="11"/>
        <v>0</v>
      </c>
      <c r="L29" s="18">
        <f t="shared" si="12"/>
        <v>0</v>
      </c>
      <c r="M29" s="22">
        <f t="shared" si="12"/>
        <v>0</v>
      </c>
      <c r="N29" s="23">
        <f>IFERROR(M29/L29,0)</f>
        <v>0</v>
      </c>
      <c r="O29" s="77"/>
    </row>
    <row r="30" spans="1:20" ht="24.6" customHeight="1">
      <c r="A30" s="76">
        <v>4</v>
      </c>
      <c r="B30" s="31" t="s">
        <v>36</v>
      </c>
      <c r="C30" s="35">
        <v>3253.2</v>
      </c>
      <c r="D30" s="35">
        <v>3253.2</v>
      </c>
      <c r="E30" s="17">
        <f t="shared" si="13"/>
        <v>0</v>
      </c>
      <c r="F30" s="33">
        <v>0</v>
      </c>
      <c r="G30" s="78">
        <f t="shared" si="10"/>
        <v>0</v>
      </c>
      <c r="H30" s="35">
        <v>3253.2</v>
      </c>
      <c r="I30" s="19">
        <f t="shared" ref="I30:I31" si="14">H30-D30</f>
        <v>0</v>
      </c>
      <c r="J30" s="33">
        <v>0</v>
      </c>
      <c r="K30" s="28">
        <f t="shared" si="11"/>
        <v>0</v>
      </c>
      <c r="L30" s="18">
        <f t="shared" si="12"/>
        <v>0</v>
      </c>
      <c r="M30" s="79">
        <f t="shared" si="12"/>
        <v>0</v>
      </c>
      <c r="N30" s="23">
        <f>IFERROR(M30/L30,0)</f>
        <v>0</v>
      </c>
      <c r="O30" s="80"/>
    </row>
    <row r="31" spans="1:20" ht="24.6" customHeight="1">
      <c r="A31" s="76">
        <v>5</v>
      </c>
      <c r="B31" s="31" t="s">
        <v>37</v>
      </c>
      <c r="C31" s="35">
        <v>581.29999999999995</v>
      </c>
      <c r="D31" s="35">
        <v>581.29999999999995</v>
      </c>
      <c r="E31" s="17">
        <f t="shared" si="13"/>
        <v>0</v>
      </c>
      <c r="F31" s="33">
        <v>0</v>
      </c>
      <c r="G31" s="78">
        <f t="shared" si="10"/>
        <v>0</v>
      </c>
      <c r="H31" s="35">
        <v>581.29999999999995</v>
      </c>
      <c r="I31" s="19">
        <f t="shared" si="14"/>
        <v>0</v>
      </c>
      <c r="J31" s="33">
        <v>0</v>
      </c>
      <c r="K31" s="28">
        <f t="shared" si="11"/>
        <v>0</v>
      </c>
      <c r="L31" s="18">
        <f t="shared" si="12"/>
        <v>0</v>
      </c>
      <c r="M31" s="79">
        <f t="shared" si="12"/>
        <v>0</v>
      </c>
      <c r="N31" s="23">
        <f>IFERROR(M31/L31,0)</f>
        <v>0</v>
      </c>
      <c r="O31" s="80"/>
    </row>
    <row r="32" spans="1:20" ht="22.8" customHeight="1" thickBot="1">
      <c r="A32" s="238" t="s">
        <v>28</v>
      </c>
      <c r="B32" s="239"/>
      <c r="C32" s="66"/>
      <c r="D32" s="66"/>
      <c r="E32" s="67">
        <f>SUM(E27:E31)</f>
        <v>0</v>
      </c>
      <c r="F32" s="67">
        <f>SUM(F27:F31)</f>
        <v>0</v>
      </c>
      <c r="G32" s="68"/>
      <c r="H32" s="68"/>
      <c r="I32" s="67">
        <f>SUM(I27:I31)</f>
        <v>0</v>
      </c>
      <c r="J32" s="67">
        <f>SUM(J27:J31)</f>
        <v>0</v>
      </c>
      <c r="K32" s="69">
        <f>SUM(K27:K31)</f>
        <v>0</v>
      </c>
      <c r="L32" s="70">
        <f>SUM(L27:L31)</f>
        <v>0</v>
      </c>
      <c r="M32" s="43">
        <f>SUM(M27:M31)</f>
        <v>0</v>
      </c>
      <c r="N32" s="71">
        <f>IFERROR(M32/K32,0)</f>
        <v>0</v>
      </c>
      <c r="O32" s="37"/>
      <c r="P32" s="72"/>
      <c r="S32" s="51"/>
    </row>
    <row r="33" spans="1:26" ht="24" customHeight="1">
      <c r="A33" s="240" t="s">
        <v>38</v>
      </c>
      <c r="B33" s="241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46"/>
      <c r="N33" s="47"/>
      <c r="O33" s="61"/>
      <c r="S33" s="51"/>
    </row>
    <row r="34" spans="1:26" ht="24" customHeight="1">
      <c r="A34" s="243" t="s">
        <v>3</v>
      </c>
      <c r="B34" s="243" t="s">
        <v>4</v>
      </c>
      <c r="C34" s="213" t="s">
        <v>5</v>
      </c>
      <c r="D34" s="214"/>
      <c r="E34" s="214"/>
      <c r="F34" s="214"/>
      <c r="G34" s="215"/>
      <c r="H34" s="216" t="s">
        <v>6</v>
      </c>
      <c r="I34" s="217"/>
      <c r="J34" s="217"/>
      <c r="K34" s="218"/>
      <c r="L34" s="5"/>
      <c r="M34" s="221" t="s">
        <v>7</v>
      </c>
      <c r="N34" s="222" t="s">
        <v>8</v>
      </c>
      <c r="O34" s="37"/>
    </row>
    <row r="35" spans="1:26" ht="24" customHeight="1">
      <c r="A35" s="244"/>
      <c r="B35" s="244"/>
      <c r="C35" s="2" t="s">
        <v>11</v>
      </c>
      <c r="D35" s="2" t="s">
        <v>12</v>
      </c>
      <c r="E35" s="2" t="s">
        <v>13</v>
      </c>
      <c r="F35" s="2" t="s">
        <v>14</v>
      </c>
      <c r="G35" s="2" t="s">
        <v>8</v>
      </c>
      <c r="H35" s="2" t="s">
        <v>12</v>
      </c>
      <c r="I35" s="2" t="s">
        <v>13</v>
      </c>
      <c r="J35" s="2" t="s">
        <v>14</v>
      </c>
      <c r="K35" s="82" t="s">
        <v>8</v>
      </c>
      <c r="L35" s="12" t="s">
        <v>15</v>
      </c>
      <c r="M35" s="221"/>
      <c r="N35" s="222"/>
      <c r="O35" s="37"/>
    </row>
    <row r="36" spans="1:26" ht="24" customHeight="1">
      <c r="A36" s="76">
        <v>1</v>
      </c>
      <c r="B36" s="31" t="s">
        <v>39</v>
      </c>
      <c r="C36" s="83">
        <v>16479</v>
      </c>
      <c r="D36" s="83">
        <v>16479</v>
      </c>
      <c r="E36" s="35">
        <f>D36-C36</f>
        <v>0</v>
      </c>
      <c r="F36" s="33">
        <v>0</v>
      </c>
      <c r="G36" s="78">
        <f t="shared" ref="G36:G37" si="15">IFERROR(F36/E36,0)</f>
        <v>0</v>
      </c>
      <c r="H36" s="83">
        <v>16479</v>
      </c>
      <c r="I36" s="56">
        <f>H36-D36</f>
        <v>0</v>
      </c>
      <c r="J36" s="33">
        <v>0</v>
      </c>
      <c r="K36" s="28">
        <f>IFERROR(J36/I36,0)</f>
        <v>0</v>
      </c>
      <c r="L36" s="84">
        <f t="shared" ref="L36:L37" si="16">E36+I36</f>
        <v>0</v>
      </c>
      <c r="M36" s="79">
        <f>F36+J36</f>
        <v>0</v>
      </c>
      <c r="N36" s="34">
        <f>IFERROR(M36/L36,0)</f>
        <v>0</v>
      </c>
      <c r="O36" s="37"/>
    </row>
    <row r="37" spans="1:26" ht="27" customHeight="1">
      <c r="A37" s="76">
        <v>2</v>
      </c>
      <c r="B37" s="31" t="s">
        <v>40</v>
      </c>
      <c r="C37" s="35">
        <v>4276</v>
      </c>
      <c r="D37" s="35">
        <v>4276</v>
      </c>
      <c r="E37" s="17">
        <f>D37-C37</f>
        <v>0</v>
      </c>
      <c r="F37" s="33">
        <v>0</v>
      </c>
      <c r="G37" s="10">
        <f t="shared" si="15"/>
        <v>0</v>
      </c>
      <c r="H37" s="35">
        <v>4276</v>
      </c>
      <c r="I37" s="19">
        <f>H37-D37</f>
        <v>0</v>
      </c>
      <c r="J37" s="33">
        <v>0</v>
      </c>
      <c r="K37" s="28">
        <f>IFERROR(J37/I37,0)</f>
        <v>0</v>
      </c>
      <c r="L37" s="18">
        <f t="shared" si="16"/>
        <v>0</v>
      </c>
      <c r="M37" s="22">
        <f>F37+J37</f>
        <v>0</v>
      </c>
      <c r="N37" s="23">
        <f>IFERROR(M37/L37,0)</f>
        <v>0</v>
      </c>
      <c r="O37" s="37"/>
      <c r="S37" s="51"/>
    </row>
    <row r="38" spans="1:26" ht="22.8" customHeight="1" thickBot="1">
      <c r="A38" s="196" t="s">
        <v>28</v>
      </c>
      <c r="B38" s="233"/>
      <c r="C38" s="68"/>
      <c r="D38" s="66"/>
      <c r="E38" s="67">
        <f>SUM(E36:E37)</f>
        <v>0</v>
      </c>
      <c r="F38" s="67">
        <f>SUM(F36:F37:F37)</f>
        <v>0</v>
      </c>
      <c r="G38" s="68"/>
      <c r="H38" s="68"/>
      <c r="I38" s="67">
        <f>SUM(I36:I37)</f>
        <v>0</v>
      </c>
      <c r="J38" s="67">
        <f>SUM(J36:J37)</f>
        <v>0</v>
      </c>
      <c r="K38" s="69">
        <f>SUM(K36:K37)</f>
        <v>0</v>
      </c>
      <c r="L38" s="70">
        <f>SUM(L36:L37)</f>
        <v>0</v>
      </c>
      <c r="M38" s="43">
        <f>SUM(M36:M37)</f>
        <v>0</v>
      </c>
      <c r="N38" s="71">
        <f>IFERROR(M38/K38,0)</f>
        <v>0</v>
      </c>
      <c r="O38" s="37"/>
      <c r="P38" s="72"/>
      <c r="S38" s="51"/>
    </row>
    <row r="39" spans="1:26" ht="24" customHeight="1">
      <c r="A39" s="225" t="s">
        <v>41</v>
      </c>
      <c r="B39" s="226"/>
      <c r="C39" s="226"/>
      <c r="D39" s="226"/>
      <c r="E39" s="226"/>
      <c r="F39" s="226"/>
      <c r="G39" s="226"/>
      <c r="H39" s="226"/>
      <c r="I39" s="226"/>
      <c r="J39" s="226"/>
      <c r="K39" s="226"/>
      <c r="L39" s="226"/>
      <c r="M39" s="46"/>
      <c r="N39" s="47"/>
      <c r="O39" s="61"/>
    </row>
    <row r="40" spans="1:26" ht="24" customHeight="1">
      <c r="A40" s="222" t="s">
        <v>3</v>
      </c>
      <c r="B40" s="222" t="s">
        <v>4</v>
      </c>
      <c r="C40" s="234" t="s">
        <v>5</v>
      </c>
      <c r="D40" s="234"/>
      <c r="E40" s="234"/>
      <c r="F40" s="234"/>
      <c r="G40" s="234"/>
      <c r="H40" s="235" t="s">
        <v>6</v>
      </c>
      <c r="I40" s="235"/>
      <c r="J40" s="235"/>
      <c r="K40" s="235"/>
      <c r="L40" s="5"/>
      <c r="M40" s="221" t="s">
        <v>7</v>
      </c>
      <c r="N40" s="222" t="s">
        <v>8</v>
      </c>
      <c r="O40" s="37"/>
    </row>
    <row r="41" spans="1:26" ht="25.8" customHeight="1">
      <c r="A41" s="222"/>
      <c r="B41" s="222"/>
      <c r="C41" s="2" t="s">
        <v>11</v>
      </c>
      <c r="D41" s="2" t="s">
        <v>12</v>
      </c>
      <c r="E41" s="2" t="s">
        <v>13</v>
      </c>
      <c r="F41" s="2" t="s">
        <v>14</v>
      </c>
      <c r="G41" s="2" t="s">
        <v>8</v>
      </c>
      <c r="H41" s="2" t="s">
        <v>12</v>
      </c>
      <c r="I41" s="2" t="s">
        <v>13</v>
      </c>
      <c r="J41" s="2" t="s">
        <v>14</v>
      </c>
      <c r="K41" s="82" t="s">
        <v>8</v>
      </c>
      <c r="L41" s="12" t="s">
        <v>15</v>
      </c>
      <c r="M41" s="221"/>
      <c r="N41" s="222"/>
      <c r="O41" s="37"/>
    </row>
    <row r="42" spans="1:26" ht="24.6" customHeight="1">
      <c r="A42" s="76">
        <v>1</v>
      </c>
      <c r="B42" s="85" t="s">
        <v>42</v>
      </c>
      <c r="C42" s="33">
        <v>8580.4</v>
      </c>
      <c r="D42" s="33">
        <v>8580.4</v>
      </c>
      <c r="E42" s="20">
        <f>D42-C42</f>
        <v>0</v>
      </c>
      <c r="F42" s="33">
        <v>0</v>
      </c>
      <c r="G42" s="10">
        <f t="shared" ref="G42:G43" si="17">IFERROR(F42/E42,0)</f>
        <v>0</v>
      </c>
      <c r="H42" s="33">
        <v>8580.4</v>
      </c>
      <c r="I42" s="86">
        <f>H42-D42</f>
        <v>0</v>
      </c>
      <c r="J42" s="33">
        <v>0</v>
      </c>
      <c r="K42" s="28">
        <f>IFERROR(J42/I42,0)</f>
        <v>0</v>
      </c>
      <c r="L42" s="18">
        <f>E42+I42</f>
        <v>0</v>
      </c>
      <c r="M42" s="22">
        <f>F42+J42</f>
        <v>0</v>
      </c>
      <c r="N42" s="23">
        <f>IFERROR(M42/L42,0)</f>
        <v>0</v>
      </c>
      <c r="O42" s="87"/>
      <c r="S42" s="51"/>
    </row>
    <row r="43" spans="1:26" ht="22.8" customHeight="1">
      <c r="A43" s="76">
        <v>2</v>
      </c>
      <c r="B43" s="85" t="s">
        <v>43</v>
      </c>
      <c r="C43" s="33">
        <v>1572.8</v>
      </c>
      <c r="D43" s="33">
        <v>1572.8</v>
      </c>
      <c r="E43" s="20">
        <f>D43-C43</f>
        <v>0</v>
      </c>
      <c r="F43" s="33">
        <v>0</v>
      </c>
      <c r="G43" s="10">
        <f t="shared" si="17"/>
        <v>0</v>
      </c>
      <c r="H43" s="33">
        <v>1572.8</v>
      </c>
      <c r="I43" s="86">
        <f>H43-D43</f>
        <v>0</v>
      </c>
      <c r="J43" s="33">
        <v>0</v>
      </c>
      <c r="K43" s="28">
        <f>IFERROR(J43/I43,0)</f>
        <v>0</v>
      </c>
      <c r="L43" s="18">
        <f>E43+I43</f>
        <v>0</v>
      </c>
      <c r="M43" s="22">
        <f t="shared" ref="M43" si="18">F43+J43</f>
        <v>0</v>
      </c>
      <c r="N43" s="23">
        <f>IFERROR(M43/L43,0)</f>
        <v>0</v>
      </c>
      <c r="O43" s="87"/>
      <c r="P43" s="88"/>
      <c r="Q43" s="89"/>
    </row>
    <row r="44" spans="1:26" ht="24" customHeight="1" thickBot="1">
      <c r="A44" s="223" t="s">
        <v>28</v>
      </c>
      <c r="B44" s="224"/>
      <c r="C44" s="90"/>
      <c r="D44" s="90"/>
      <c r="E44" s="91">
        <f>SUM(E42:E43)</f>
        <v>0</v>
      </c>
      <c r="F44" s="91">
        <f>SUM(F42:F43)</f>
        <v>0</v>
      </c>
      <c r="G44" s="92"/>
      <c r="H44" s="92"/>
      <c r="I44" s="91">
        <f>SUM(I42:I43)</f>
        <v>0</v>
      </c>
      <c r="J44" s="91">
        <f>SUM(J42:J43)</f>
        <v>0</v>
      </c>
      <c r="K44" s="93">
        <f>SUM(K42:K43)</f>
        <v>0</v>
      </c>
      <c r="L44" s="94">
        <f>SUM(L42:L43)</f>
        <v>0</v>
      </c>
      <c r="M44" s="95">
        <f>SUM(M42:M43)</f>
        <v>0</v>
      </c>
      <c r="N44" s="96" t="e">
        <f>M44/L44</f>
        <v>#DIV/0!</v>
      </c>
      <c r="O44" s="37"/>
      <c r="P44" s="97"/>
      <c r="Q44" s="89"/>
    </row>
    <row r="45" spans="1:26" ht="24" customHeight="1">
      <c r="A45" s="225" t="s">
        <v>44</v>
      </c>
      <c r="B45" s="226"/>
      <c r="C45" s="226"/>
      <c r="D45" s="226"/>
      <c r="E45" s="226"/>
      <c r="F45" s="226"/>
      <c r="G45" s="226"/>
      <c r="H45" s="226"/>
      <c r="I45" s="226"/>
      <c r="J45" s="226"/>
      <c r="K45" s="226"/>
      <c r="L45" s="226"/>
      <c r="M45" s="98"/>
      <c r="N45" s="99"/>
      <c r="O45" s="37"/>
      <c r="P45" s="100"/>
      <c r="Q45" s="100"/>
    </row>
    <row r="46" spans="1:26" ht="24" customHeight="1">
      <c r="A46" s="222" t="s">
        <v>3</v>
      </c>
      <c r="B46" s="222" t="s">
        <v>4</v>
      </c>
      <c r="C46" s="227" t="s">
        <v>5</v>
      </c>
      <c r="D46" s="228"/>
      <c r="E46" s="228"/>
      <c r="F46" s="228"/>
      <c r="G46" s="228"/>
      <c r="H46" s="229"/>
      <c r="I46" s="230" t="s">
        <v>6</v>
      </c>
      <c r="J46" s="231"/>
      <c r="K46" s="231"/>
      <c r="L46" s="231"/>
      <c r="M46" s="231"/>
      <c r="N46" s="232"/>
      <c r="O46" s="201" t="s">
        <v>45</v>
      </c>
      <c r="P46" s="203" t="s">
        <v>46</v>
      </c>
      <c r="Q46" s="203" t="s">
        <v>47</v>
      </c>
      <c r="R46" s="205" t="s">
        <v>48</v>
      </c>
      <c r="Z46" s="101"/>
    </row>
    <row r="47" spans="1:26" ht="33" customHeight="1">
      <c r="A47" s="222"/>
      <c r="B47" s="222"/>
      <c r="C47" s="2" t="s">
        <v>49</v>
      </c>
      <c r="D47" s="2" t="s">
        <v>50</v>
      </c>
      <c r="E47" s="2" t="s">
        <v>51</v>
      </c>
      <c r="F47" s="102" t="s">
        <v>11</v>
      </c>
      <c r="G47" s="2" t="s">
        <v>14</v>
      </c>
      <c r="H47" s="2" t="s">
        <v>8</v>
      </c>
      <c r="I47" s="2" t="s">
        <v>50</v>
      </c>
      <c r="J47" s="2" t="s">
        <v>45</v>
      </c>
      <c r="K47" s="102" t="s">
        <v>12</v>
      </c>
      <c r="L47" s="102" t="s">
        <v>15</v>
      </c>
      <c r="M47" s="2" t="s">
        <v>14</v>
      </c>
      <c r="N47" s="82" t="s">
        <v>8</v>
      </c>
      <c r="O47" s="202"/>
      <c r="P47" s="204"/>
      <c r="Q47" s="204"/>
      <c r="R47" s="205"/>
    </row>
    <row r="48" spans="1:26" ht="21" customHeight="1">
      <c r="A48" s="81">
        <v>1</v>
      </c>
      <c r="B48" s="103" t="s">
        <v>52</v>
      </c>
      <c r="C48" s="2">
        <v>278630.7</v>
      </c>
      <c r="D48" s="2">
        <v>278630.7</v>
      </c>
      <c r="E48" s="104">
        <f>D48-C48</f>
        <v>0</v>
      </c>
      <c r="F48" s="105">
        <v>22041</v>
      </c>
      <c r="G48" s="49">
        <v>0</v>
      </c>
      <c r="H48" s="10">
        <f>IFERROR(E48/G48,0)</f>
        <v>0</v>
      </c>
      <c r="I48" s="2">
        <v>278630.7</v>
      </c>
      <c r="J48" s="106">
        <f t="shared" ref="J48:J104" si="19">I48-D48</f>
        <v>0</v>
      </c>
      <c r="K48" s="105">
        <v>22041</v>
      </c>
      <c r="L48" s="107">
        <f t="shared" ref="L48:L104" si="20">K48-F48</f>
        <v>0</v>
      </c>
      <c r="M48" s="2">
        <v>0</v>
      </c>
      <c r="N48" s="28">
        <f t="shared" ref="N48:N104" si="21">IFERROR(J48/M48,0)</f>
        <v>0</v>
      </c>
      <c r="O48" s="84">
        <f>J48+E48</f>
        <v>0</v>
      </c>
      <c r="P48" s="79">
        <f>G48+M48</f>
        <v>0</v>
      </c>
      <c r="Q48" s="34">
        <f>IFERROR(O48/P48,0)</f>
        <v>0</v>
      </c>
      <c r="R48" s="108">
        <v>0</v>
      </c>
    </row>
    <row r="49" spans="1:27" ht="24" customHeight="1">
      <c r="A49" s="109">
        <v>2</v>
      </c>
      <c r="B49" s="31" t="s">
        <v>53</v>
      </c>
      <c r="C49" s="35">
        <v>334306.5</v>
      </c>
      <c r="D49" s="35">
        <v>334306.5</v>
      </c>
      <c r="E49" s="104">
        <f>D49-C49</f>
        <v>0</v>
      </c>
      <c r="F49" s="110">
        <v>29835</v>
      </c>
      <c r="G49" s="111">
        <v>0</v>
      </c>
      <c r="H49" s="10">
        <f>IFERROR(E49/G49,0)</f>
        <v>0</v>
      </c>
      <c r="I49" s="35">
        <v>334306.5</v>
      </c>
      <c r="J49" s="106">
        <f t="shared" si="19"/>
        <v>0</v>
      </c>
      <c r="K49" s="110">
        <v>29835</v>
      </c>
      <c r="L49" s="107">
        <f t="shared" si="20"/>
        <v>0</v>
      </c>
      <c r="M49" s="112">
        <v>0</v>
      </c>
      <c r="N49" s="28">
        <f t="shared" si="21"/>
        <v>0</v>
      </c>
      <c r="O49" s="84">
        <f t="shared" ref="O49:O104" si="22">J49+E49</f>
        <v>0</v>
      </c>
      <c r="P49" s="79">
        <f t="shared" ref="P49:P104" si="23">G49+M49</f>
        <v>0</v>
      </c>
      <c r="Q49" s="34">
        <f t="shared" ref="Q49:Q104" si="24">IFERROR(O49/P49,0)</f>
        <v>0</v>
      </c>
      <c r="R49" s="1">
        <v>0</v>
      </c>
    </row>
    <row r="50" spans="1:27" ht="24" customHeight="1">
      <c r="A50" s="81">
        <v>3</v>
      </c>
      <c r="B50" s="31" t="s">
        <v>54</v>
      </c>
      <c r="C50" s="104">
        <v>291746.5</v>
      </c>
      <c r="D50" s="104">
        <v>291746.5</v>
      </c>
      <c r="E50" s="104">
        <f t="shared" ref="E50:E104" si="25">D50-C50</f>
        <v>0</v>
      </c>
      <c r="F50" s="110">
        <v>27949</v>
      </c>
      <c r="G50" s="111">
        <v>0</v>
      </c>
      <c r="H50" s="10">
        <f t="shared" ref="H50:H104" si="26">IFERROR(E50/G50,0)</f>
        <v>0</v>
      </c>
      <c r="I50" s="104">
        <v>291746.5</v>
      </c>
      <c r="J50" s="106">
        <f>I50-D50</f>
        <v>0</v>
      </c>
      <c r="K50" s="110">
        <v>27949</v>
      </c>
      <c r="L50" s="107">
        <f t="shared" si="20"/>
        <v>0</v>
      </c>
      <c r="M50" s="111">
        <v>0</v>
      </c>
      <c r="N50" s="28">
        <f t="shared" si="21"/>
        <v>0</v>
      </c>
      <c r="O50" s="84">
        <f t="shared" si="22"/>
        <v>0</v>
      </c>
      <c r="P50" s="79">
        <f t="shared" si="23"/>
        <v>0</v>
      </c>
      <c r="Q50" s="34">
        <f t="shared" si="24"/>
        <v>0</v>
      </c>
      <c r="R50" s="1">
        <v>0</v>
      </c>
      <c r="AA50" s="101"/>
    </row>
    <row r="51" spans="1:27" ht="24" customHeight="1">
      <c r="A51" s="81">
        <v>4</v>
      </c>
      <c r="B51" s="31" t="s">
        <v>55</v>
      </c>
      <c r="C51" s="104">
        <v>298907.40000000002</v>
      </c>
      <c r="D51" s="104">
        <v>298907.40000000002</v>
      </c>
      <c r="E51" s="104">
        <f t="shared" si="25"/>
        <v>0</v>
      </c>
      <c r="F51" s="110">
        <v>27086</v>
      </c>
      <c r="G51" s="111">
        <v>0</v>
      </c>
      <c r="H51" s="10">
        <f t="shared" si="26"/>
        <v>0</v>
      </c>
      <c r="I51" s="104">
        <v>298907.40000000002</v>
      </c>
      <c r="J51" s="106">
        <f>I51-D51</f>
        <v>0</v>
      </c>
      <c r="K51" s="110">
        <v>27086</v>
      </c>
      <c r="L51" s="107">
        <f t="shared" si="20"/>
        <v>0</v>
      </c>
      <c r="M51" s="111">
        <v>0</v>
      </c>
      <c r="N51" s="28">
        <f t="shared" si="21"/>
        <v>0</v>
      </c>
      <c r="O51" s="84">
        <f t="shared" si="22"/>
        <v>0</v>
      </c>
      <c r="P51" s="79">
        <f t="shared" si="23"/>
        <v>0</v>
      </c>
      <c r="Q51" s="34">
        <f t="shared" si="24"/>
        <v>0</v>
      </c>
      <c r="R51" s="1">
        <v>0</v>
      </c>
      <c r="AA51" s="101"/>
    </row>
    <row r="52" spans="1:27" ht="24" customHeight="1">
      <c r="A52" s="81">
        <v>5</v>
      </c>
      <c r="B52" s="31" t="s">
        <v>56</v>
      </c>
      <c r="C52" s="104">
        <v>339541.3</v>
      </c>
      <c r="D52" s="104">
        <v>339541.3</v>
      </c>
      <c r="E52" s="104">
        <f t="shared" si="25"/>
        <v>0</v>
      </c>
      <c r="F52" s="110">
        <v>26812</v>
      </c>
      <c r="G52" s="111">
        <v>0</v>
      </c>
      <c r="H52" s="10">
        <f t="shared" si="26"/>
        <v>0</v>
      </c>
      <c r="I52" s="104">
        <v>339541.3</v>
      </c>
      <c r="J52" s="106">
        <f>I52-D52</f>
        <v>0</v>
      </c>
      <c r="K52" s="110">
        <v>26812</v>
      </c>
      <c r="L52" s="107">
        <f t="shared" si="20"/>
        <v>0</v>
      </c>
      <c r="M52" s="111">
        <v>0</v>
      </c>
      <c r="N52" s="28">
        <f t="shared" si="21"/>
        <v>0</v>
      </c>
      <c r="O52" s="84">
        <f t="shared" si="22"/>
        <v>0</v>
      </c>
      <c r="P52" s="79">
        <f t="shared" si="23"/>
        <v>0</v>
      </c>
      <c r="Q52" s="34">
        <f t="shared" si="24"/>
        <v>0</v>
      </c>
      <c r="R52" s="1">
        <v>0</v>
      </c>
      <c r="AA52" s="101"/>
    </row>
    <row r="53" spans="1:27" ht="24" customHeight="1">
      <c r="A53" s="109">
        <v>6</v>
      </c>
      <c r="B53" s="31" t="s">
        <v>57</v>
      </c>
      <c r="C53" s="104">
        <v>342293.6</v>
      </c>
      <c r="D53" s="104">
        <v>342293.6</v>
      </c>
      <c r="E53" s="104">
        <f t="shared" si="25"/>
        <v>0</v>
      </c>
      <c r="F53" s="110">
        <v>26617</v>
      </c>
      <c r="G53" s="111">
        <v>0</v>
      </c>
      <c r="H53" s="10">
        <f t="shared" si="26"/>
        <v>0</v>
      </c>
      <c r="I53" s="104">
        <v>342293.6</v>
      </c>
      <c r="J53" s="106">
        <f>I53-D53</f>
        <v>0</v>
      </c>
      <c r="K53" s="110">
        <v>26617</v>
      </c>
      <c r="L53" s="107">
        <f t="shared" si="20"/>
        <v>0</v>
      </c>
      <c r="M53" s="111">
        <v>0</v>
      </c>
      <c r="N53" s="28">
        <f t="shared" si="21"/>
        <v>0</v>
      </c>
      <c r="O53" s="84">
        <f t="shared" si="22"/>
        <v>0</v>
      </c>
      <c r="P53" s="79">
        <f t="shared" si="23"/>
        <v>0</v>
      </c>
      <c r="Q53" s="34">
        <f t="shared" si="24"/>
        <v>0</v>
      </c>
      <c r="R53" s="1">
        <v>0</v>
      </c>
      <c r="AA53" s="101"/>
    </row>
    <row r="54" spans="1:27" ht="24" customHeight="1">
      <c r="A54" s="81">
        <v>7</v>
      </c>
      <c r="B54" s="31" t="s">
        <v>58</v>
      </c>
      <c r="C54" s="35">
        <v>299562.8</v>
      </c>
      <c r="D54" s="35">
        <v>299562.8</v>
      </c>
      <c r="E54" s="104">
        <f t="shared" si="25"/>
        <v>0</v>
      </c>
      <c r="F54" s="110">
        <v>26599.279999999999</v>
      </c>
      <c r="G54" s="111">
        <v>0</v>
      </c>
      <c r="H54" s="10">
        <f t="shared" si="26"/>
        <v>0</v>
      </c>
      <c r="I54" s="35">
        <v>299562.8</v>
      </c>
      <c r="J54" s="106">
        <f t="shared" si="19"/>
        <v>0</v>
      </c>
      <c r="K54" s="110">
        <v>26599.279999999999</v>
      </c>
      <c r="L54" s="107">
        <f t="shared" si="20"/>
        <v>0</v>
      </c>
      <c r="M54" s="112">
        <v>0</v>
      </c>
      <c r="N54" s="28">
        <f>IFERROR(J54/M54,0)</f>
        <v>0</v>
      </c>
      <c r="O54" s="84">
        <f t="shared" si="22"/>
        <v>0</v>
      </c>
      <c r="P54" s="79">
        <f t="shared" si="23"/>
        <v>0</v>
      </c>
      <c r="Q54" s="34">
        <f t="shared" si="24"/>
        <v>0</v>
      </c>
      <c r="R54" s="1">
        <v>0</v>
      </c>
      <c r="U54" s="113"/>
    </row>
    <row r="55" spans="1:27" ht="24" customHeight="1">
      <c r="A55" s="81">
        <v>8</v>
      </c>
      <c r="B55" s="31" t="s">
        <v>59</v>
      </c>
      <c r="C55" s="35">
        <v>271405.8</v>
      </c>
      <c r="D55" s="35">
        <v>271405.8</v>
      </c>
      <c r="E55" s="104">
        <f t="shared" si="25"/>
        <v>0</v>
      </c>
      <c r="F55" s="110">
        <v>25357.5</v>
      </c>
      <c r="G55" s="111">
        <v>0</v>
      </c>
      <c r="H55" s="10">
        <f t="shared" si="26"/>
        <v>0</v>
      </c>
      <c r="I55" s="35">
        <v>271405.8</v>
      </c>
      <c r="J55" s="106">
        <f>I55-D55</f>
        <v>0</v>
      </c>
      <c r="K55" s="110">
        <v>25357.5</v>
      </c>
      <c r="L55" s="107">
        <f t="shared" si="20"/>
        <v>0</v>
      </c>
      <c r="M55" s="111">
        <v>0</v>
      </c>
      <c r="N55" s="28">
        <f>IFERROR(J55/M55,0)</f>
        <v>0</v>
      </c>
      <c r="O55" s="84">
        <f t="shared" si="22"/>
        <v>0</v>
      </c>
      <c r="P55" s="79">
        <f t="shared" si="23"/>
        <v>0</v>
      </c>
      <c r="Q55" s="34">
        <f t="shared" si="24"/>
        <v>0</v>
      </c>
      <c r="R55" s="1">
        <v>0</v>
      </c>
      <c r="X55" t="s">
        <v>60</v>
      </c>
    </row>
    <row r="56" spans="1:27" ht="24" customHeight="1">
      <c r="A56" s="81">
        <v>9</v>
      </c>
      <c r="B56" s="31" t="s">
        <v>61</v>
      </c>
      <c r="C56" s="104">
        <v>284733.09999999998</v>
      </c>
      <c r="D56" s="104">
        <v>284733.09999999998</v>
      </c>
      <c r="E56" s="104">
        <f t="shared" si="25"/>
        <v>0</v>
      </c>
      <c r="F56" s="110">
        <v>26568</v>
      </c>
      <c r="G56" s="111">
        <v>0</v>
      </c>
      <c r="H56" s="10">
        <f t="shared" si="26"/>
        <v>0</v>
      </c>
      <c r="I56" s="104">
        <v>284733.09999999998</v>
      </c>
      <c r="J56" s="106">
        <f>I56-D56</f>
        <v>0</v>
      </c>
      <c r="K56" s="110">
        <v>26568</v>
      </c>
      <c r="L56" s="107">
        <f t="shared" si="20"/>
        <v>0</v>
      </c>
      <c r="M56" s="112">
        <v>0</v>
      </c>
      <c r="N56" s="28">
        <f t="shared" si="21"/>
        <v>0</v>
      </c>
      <c r="O56" s="84">
        <f t="shared" si="22"/>
        <v>0</v>
      </c>
      <c r="P56" s="79">
        <f t="shared" si="23"/>
        <v>0</v>
      </c>
      <c r="Q56" s="34">
        <f t="shared" si="24"/>
        <v>0</v>
      </c>
      <c r="R56" s="1">
        <v>0</v>
      </c>
    </row>
    <row r="57" spans="1:27" ht="24" customHeight="1">
      <c r="A57" s="109">
        <v>10</v>
      </c>
      <c r="B57" s="31" t="s">
        <v>62</v>
      </c>
      <c r="C57" s="35">
        <v>302852.5</v>
      </c>
      <c r="D57" s="35">
        <v>302852.5</v>
      </c>
      <c r="E57" s="104">
        <f t="shared" si="25"/>
        <v>0</v>
      </c>
      <c r="F57" s="110">
        <v>27212.01</v>
      </c>
      <c r="G57" s="111">
        <v>0</v>
      </c>
      <c r="H57" s="10">
        <f t="shared" si="26"/>
        <v>0</v>
      </c>
      <c r="I57" s="35">
        <v>302852.5</v>
      </c>
      <c r="J57" s="106">
        <f t="shared" si="19"/>
        <v>0</v>
      </c>
      <c r="K57" s="110">
        <v>27212.01</v>
      </c>
      <c r="L57" s="107">
        <f t="shared" si="20"/>
        <v>0</v>
      </c>
      <c r="M57" s="112">
        <v>0</v>
      </c>
      <c r="N57" s="28">
        <f t="shared" si="21"/>
        <v>0</v>
      </c>
      <c r="O57" s="84">
        <f t="shared" si="22"/>
        <v>0</v>
      </c>
      <c r="P57" s="79">
        <f t="shared" si="23"/>
        <v>0</v>
      </c>
      <c r="Q57" s="34">
        <f t="shared" si="24"/>
        <v>0</v>
      </c>
      <c r="R57" s="1">
        <v>0</v>
      </c>
    </row>
    <row r="58" spans="1:27" ht="24" customHeight="1">
      <c r="A58" s="81">
        <v>11</v>
      </c>
      <c r="B58" s="114" t="s">
        <v>63</v>
      </c>
      <c r="C58" s="17">
        <v>274791</v>
      </c>
      <c r="D58" s="17">
        <v>274791</v>
      </c>
      <c r="E58" s="104">
        <f t="shared" si="25"/>
        <v>0</v>
      </c>
      <c r="F58" s="110">
        <v>25063</v>
      </c>
      <c r="G58" s="111">
        <v>0</v>
      </c>
      <c r="H58" s="10">
        <f t="shared" si="26"/>
        <v>0</v>
      </c>
      <c r="I58" s="17">
        <v>274791</v>
      </c>
      <c r="J58" s="106">
        <f t="shared" si="19"/>
        <v>0</v>
      </c>
      <c r="K58" s="110">
        <v>25063</v>
      </c>
      <c r="L58" s="107">
        <f t="shared" si="20"/>
        <v>0</v>
      </c>
      <c r="M58" s="111">
        <v>0</v>
      </c>
      <c r="N58" s="28">
        <f t="shared" si="21"/>
        <v>0</v>
      </c>
      <c r="O58" s="84">
        <f t="shared" si="22"/>
        <v>0</v>
      </c>
      <c r="P58" s="79">
        <f t="shared" si="23"/>
        <v>0</v>
      </c>
      <c r="Q58" s="34">
        <f t="shared" si="24"/>
        <v>0</v>
      </c>
      <c r="R58" s="1">
        <v>0</v>
      </c>
    </row>
    <row r="59" spans="1:27" ht="24" customHeight="1">
      <c r="A59" s="81">
        <v>12</v>
      </c>
      <c r="B59" s="115" t="s">
        <v>64</v>
      </c>
      <c r="C59" s="17">
        <v>277907</v>
      </c>
      <c r="D59" s="17">
        <v>277907</v>
      </c>
      <c r="E59" s="104">
        <f t="shared" si="25"/>
        <v>0</v>
      </c>
      <c r="F59" s="110">
        <v>25896</v>
      </c>
      <c r="G59" s="111">
        <v>0</v>
      </c>
      <c r="H59" s="10">
        <f t="shared" si="26"/>
        <v>0</v>
      </c>
      <c r="I59" s="17">
        <v>277907</v>
      </c>
      <c r="J59" s="106">
        <f t="shared" si="19"/>
        <v>0</v>
      </c>
      <c r="K59" s="110">
        <v>25896</v>
      </c>
      <c r="L59" s="107">
        <f t="shared" si="20"/>
        <v>0</v>
      </c>
      <c r="M59" s="111">
        <v>0</v>
      </c>
      <c r="N59" s="28">
        <f t="shared" si="21"/>
        <v>0</v>
      </c>
      <c r="O59" s="84">
        <f t="shared" si="22"/>
        <v>0</v>
      </c>
      <c r="P59" s="79">
        <f t="shared" si="23"/>
        <v>0</v>
      </c>
      <c r="Q59" s="34">
        <f t="shared" si="24"/>
        <v>0</v>
      </c>
      <c r="R59" s="1">
        <v>0</v>
      </c>
    </row>
    <row r="60" spans="1:27" ht="24" customHeight="1">
      <c r="A60" s="81">
        <v>13</v>
      </c>
      <c r="B60" s="114" t="s">
        <v>65</v>
      </c>
      <c r="C60" s="17">
        <v>304994</v>
      </c>
      <c r="D60" s="17">
        <v>304994</v>
      </c>
      <c r="E60" s="104">
        <f t="shared" si="25"/>
        <v>0</v>
      </c>
      <c r="F60" s="110">
        <v>25082</v>
      </c>
      <c r="G60" s="111">
        <v>0</v>
      </c>
      <c r="H60" s="10">
        <f t="shared" si="26"/>
        <v>0</v>
      </c>
      <c r="I60" s="17">
        <v>304994</v>
      </c>
      <c r="J60" s="106">
        <f t="shared" si="19"/>
        <v>0</v>
      </c>
      <c r="K60" s="110">
        <v>25082</v>
      </c>
      <c r="L60" s="107">
        <f t="shared" si="20"/>
        <v>0</v>
      </c>
      <c r="M60" s="111">
        <v>0</v>
      </c>
      <c r="N60" s="28">
        <f t="shared" si="21"/>
        <v>0</v>
      </c>
      <c r="O60" s="84">
        <f t="shared" si="22"/>
        <v>0</v>
      </c>
      <c r="P60" s="79">
        <f t="shared" si="23"/>
        <v>0</v>
      </c>
      <c r="Q60" s="34">
        <f t="shared" si="24"/>
        <v>0</v>
      </c>
      <c r="R60" s="1">
        <v>0</v>
      </c>
    </row>
    <row r="61" spans="1:27" ht="24" customHeight="1">
      <c r="A61" s="109">
        <v>14</v>
      </c>
      <c r="B61" s="115" t="s">
        <v>66</v>
      </c>
      <c r="C61" s="17">
        <v>302969</v>
      </c>
      <c r="D61" s="17">
        <v>302969</v>
      </c>
      <c r="E61" s="104">
        <f t="shared" si="25"/>
        <v>0</v>
      </c>
      <c r="F61" s="110">
        <v>25305</v>
      </c>
      <c r="G61" s="116">
        <v>0</v>
      </c>
      <c r="H61" s="10">
        <f t="shared" si="26"/>
        <v>0</v>
      </c>
      <c r="I61" s="17">
        <v>302969</v>
      </c>
      <c r="J61" s="106">
        <f t="shared" si="19"/>
        <v>0</v>
      </c>
      <c r="K61" s="110">
        <v>25305</v>
      </c>
      <c r="L61" s="107">
        <f t="shared" si="20"/>
        <v>0</v>
      </c>
      <c r="M61" s="111">
        <v>0</v>
      </c>
      <c r="N61" s="28">
        <f t="shared" si="21"/>
        <v>0</v>
      </c>
      <c r="O61" s="84">
        <f t="shared" si="22"/>
        <v>0</v>
      </c>
      <c r="P61" s="79">
        <f t="shared" si="23"/>
        <v>0</v>
      </c>
      <c r="Q61" s="34">
        <f t="shared" si="24"/>
        <v>0</v>
      </c>
      <c r="R61" s="1">
        <v>0</v>
      </c>
    </row>
    <row r="62" spans="1:27" ht="24" customHeight="1">
      <c r="A62" s="81">
        <v>15</v>
      </c>
      <c r="B62" s="115" t="s">
        <v>67</v>
      </c>
      <c r="C62" s="17">
        <v>319817</v>
      </c>
      <c r="D62" s="17">
        <v>319817</v>
      </c>
      <c r="E62" s="104">
        <f t="shared" si="25"/>
        <v>0</v>
      </c>
      <c r="F62" s="110">
        <v>26510</v>
      </c>
      <c r="G62" s="111">
        <v>0</v>
      </c>
      <c r="H62" s="10">
        <f t="shared" si="26"/>
        <v>0</v>
      </c>
      <c r="I62" s="17">
        <v>319817</v>
      </c>
      <c r="J62" s="106">
        <f t="shared" si="19"/>
        <v>0</v>
      </c>
      <c r="K62" s="110">
        <v>26510</v>
      </c>
      <c r="L62" s="107">
        <f t="shared" si="20"/>
        <v>0</v>
      </c>
      <c r="M62" s="111">
        <v>0</v>
      </c>
      <c r="N62" s="28">
        <f t="shared" si="21"/>
        <v>0</v>
      </c>
      <c r="O62" s="84">
        <f t="shared" si="22"/>
        <v>0</v>
      </c>
      <c r="P62" s="79">
        <f t="shared" si="23"/>
        <v>0</v>
      </c>
      <c r="Q62" s="34">
        <f t="shared" si="24"/>
        <v>0</v>
      </c>
      <c r="R62" s="1">
        <v>0</v>
      </c>
    </row>
    <row r="63" spans="1:27" ht="24" customHeight="1">
      <c r="A63" s="81">
        <v>16</v>
      </c>
      <c r="B63" s="31" t="s">
        <v>68</v>
      </c>
      <c r="C63" s="17">
        <v>275477.90000000002</v>
      </c>
      <c r="D63" s="17">
        <v>275477.90000000002</v>
      </c>
      <c r="E63" s="104">
        <f t="shared" si="25"/>
        <v>0</v>
      </c>
      <c r="F63" s="110">
        <v>22344</v>
      </c>
      <c r="G63" s="111">
        <v>0</v>
      </c>
      <c r="H63" s="10">
        <f t="shared" si="26"/>
        <v>0</v>
      </c>
      <c r="I63" s="17">
        <v>275477.90000000002</v>
      </c>
      <c r="J63" s="106">
        <f t="shared" si="19"/>
        <v>0</v>
      </c>
      <c r="K63" s="110">
        <v>22344</v>
      </c>
      <c r="L63" s="107">
        <f t="shared" si="20"/>
        <v>0</v>
      </c>
      <c r="M63" s="112">
        <v>0</v>
      </c>
      <c r="N63" s="28">
        <f t="shared" si="21"/>
        <v>0</v>
      </c>
      <c r="O63" s="84">
        <f t="shared" si="22"/>
        <v>0</v>
      </c>
      <c r="P63" s="79">
        <f t="shared" si="23"/>
        <v>0</v>
      </c>
      <c r="Q63" s="34">
        <f t="shared" si="24"/>
        <v>0</v>
      </c>
      <c r="R63" s="1">
        <v>0</v>
      </c>
    </row>
    <row r="64" spans="1:27" ht="24" customHeight="1">
      <c r="A64" s="81">
        <v>17</v>
      </c>
      <c r="B64" s="31" t="s">
        <v>69</v>
      </c>
      <c r="C64" s="17">
        <v>257585.8</v>
      </c>
      <c r="D64" s="17">
        <v>257585.8</v>
      </c>
      <c r="E64" s="104">
        <f t="shared" si="25"/>
        <v>0</v>
      </c>
      <c r="F64" s="110">
        <v>19725</v>
      </c>
      <c r="G64" s="111">
        <v>0</v>
      </c>
      <c r="H64" s="10">
        <f t="shared" si="26"/>
        <v>0</v>
      </c>
      <c r="I64" s="17">
        <v>257585.8</v>
      </c>
      <c r="J64" s="106">
        <f t="shared" si="19"/>
        <v>0</v>
      </c>
      <c r="K64" s="110">
        <v>19725</v>
      </c>
      <c r="L64" s="107">
        <f t="shared" si="20"/>
        <v>0</v>
      </c>
      <c r="M64" s="112">
        <v>0</v>
      </c>
      <c r="N64" s="28">
        <f t="shared" si="21"/>
        <v>0</v>
      </c>
      <c r="O64" s="84">
        <f t="shared" si="22"/>
        <v>0</v>
      </c>
      <c r="P64" s="79">
        <f t="shared" si="23"/>
        <v>0</v>
      </c>
      <c r="Q64" s="34">
        <f t="shared" si="24"/>
        <v>0</v>
      </c>
      <c r="R64" s="1">
        <v>0</v>
      </c>
    </row>
    <row r="65" spans="1:18" ht="24" customHeight="1">
      <c r="A65" s="109">
        <v>18</v>
      </c>
      <c r="B65" s="31" t="s">
        <v>70</v>
      </c>
      <c r="C65" s="104">
        <v>302130.90000000002</v>
      </c>
      <c r="D65" s="104">
        <v>302130.90000000002</v>
      </c>
      <c r="E65" s="104">
        <f t="shared" si="25"/>
        <v>0</v>
      </c>
      <c r="F65" s="110">
        <v>4897</v>
      </c>
      <c r="G65" s="111">
        <v>0</v>
      </c>
      <c r="H65" s="10">
        <f t="shared" si="26"/>
        <v>0</v>
      </c>
      <c r="I65" s="104">
        <v>302130.90000000002</v>
      </c>
      <c r="J65" s="106">
        <f t="shared" si="19"/>
        <v>0</v>
      </c>
      <c r="K65" s="110">
        <v>4897</v>
      </c>
      <c r="L65" s="107">
        <f t="shared" si="20"/>
        <v>0</v>
      </c>
      <c r="M65" s="111">
        <v>0</v>
      </c>
      <c r="N65" s="28">
        <f t="shared" si="21"/>
        <v>0</v>
      </c>
      <c r="O65" s="84">
        <f t="shared" si="22"/>
        <v>0</v>
      </c>
      <c r="P65" s="79">
        <f t="shared" si="23"/>
        <v>0</v>
      </c>
      <c r="Q65" s="34">
        <f t="shared" si="24"/>
        <v>0</v>
      </c>
      <c r="R65" s="1">
        <v>0</v>
      </c>
    </row>
    <row r="66" spans="1:18" ht="24" customHeight="1">
      <c r="A66" s="81">
        <v>19</v>
      </c>
      <c r="B66" s="31" t="s">
        <v>71</v>
      </c>
      <c r="C66" s="35">
        <v>312119.8</v>
      </c>
      <c r="D66" s="35">
        <v>312119.8</v>
      </c>
      <c r="E66" s="104">
        <f t="shared" si="25"/>
        <v>0</v>
      </c>
      <c r="F66" s="110">
        <v>22791</v>
      </c>
      <c r="G66" s="111">
        <v>0</v>
      </c>
      <c r="H66" s="10">
        <f t="shared" si="26"/>
        <v>0</v>
      </c>
      <c r="I66" s="35">
        <v>312119.8</v>
      </c>
      <c r="J66" s="106">
        <f t="shared" si="19"/>
        <v>0</v>
      </c>
      <c r="K66" s="110">
        <v>22791</v>
      </c>
      <c r="L66" s="107">
        <f t="shared" si="20"/>
        <v>0</v>
      </c>
      <c r="M66" s="111">
        <v>0</v>
      </c>
      <c r="N66" s="28">
        <f>IFERROR(J66/M66,0)</f>
        <v>0</v>
      </c>
      <c r="O66" s="84">
        <f t="shared" si="22"/>
        <v>0</v>
      </c>
      <c r="P66" s="79">
        <f>G66+M66</f>
        <v>0</v>
      </c>
      <c r="Q66" s="34">
        <f t="shared" si="24"/>
        <v>0</v>
      </c>
      <c r="R66" s="1">
        <v>0</v>
      </c>
    </row>
    <row r="67" spans="1:18" ht="24" customHeight="1">
      <c r="A67" s="81">
        <v>20</v>
      </c>
      <c r="B67" s="31" t="s">
        <v>72</v>
      </c>
      <c r="C67" s="35">
        <v>282871.3</v>
      </c>
      <c r="D67" s="35">
        <v>282871.3</v>
      </c>
      <c r="E67" s="104">
        <f t="shared" si="25"/>
        <v>0</v>
      </c>
      <c r="F67" s="110">
        <v>20422</v>
      </c>
      <c r="G67" s="111">
        <v>0</v>
      </c>
      <c r="H67" s="10">
        <f t="shared" si="26"/>
        <v>0</v>
      </c>
      <c r="I67" s="35">
        <v>282871.3</v>
      </c>
      <c r="J67" s="106">
        <f t="shared" si="19"/>
        <v>0</v>
      </c>
      <c r="K67" s="110">
        <v>20422</v>
      </c>
      <c r="L67" s="107">
        <f t="shared" si="20"/>
        <v>0</v>
      </c>
      <c r="M67" s="112">
        <v>0</v>
      </c>
      <c r="N67" s="28">
        <f t="shared" si="21"/>
        <v>0</v>
      </c>
      <c r="O67" s="84">
        <f t="shared" si="22"/>
        <v>0</v>
      </c>
      <c r="P67" s="79">
        <f t="shared" si="23"/>
        <v>0</v>
      </c>
      <c r="Q67" s="34">
        <f t="shared" si="24"/>
        <v>0</v>
      </c>
      <c r="R67" s="1">
        <v>0</v>
      </c>
    </row>
    <row r="68" spans="1:18" ht="24" customHeight="1">
      <c r="A68" s="81">
        <v>21</v>
      </c>
      <c r="B68" s="31" t="s">
        <v>73</v>
      </c>
      <c r="C68" s="104">
        <v>310561</v>
      </c>
      <c r="D68" s="104">
        <v>310561</v>
      </c>
      <c r="E68" s="104">
        <f t="shared" si="25"/>
        <v>0</v>
      </c>
      <c r="F68" s="110">
        <v>22515</v>
      </c>
      <c r="G68" s="111">
        <v>0</v>
      </c>
      <c r="H68" s="10">
        <f t="shared" si="26"/>
        <v>0</v>
      </c>
      <c r="I68" s="104">
        <v>310561</v>
      </c>
      <c r="J68" s="106">
        <f t="shared" si="19"/>
        <v>0</v>
      </c>
      <c r="K68" s="110">
        <v>22515</v>
      </c>
      <c r="L68" s="107">
        <f t="shared" si="20"/>
        <v>0</v>
      </c>
      <c r="M68" s="112">
        <v>0</v>
      </c>
      <c r="N68" s="28">
        <f t="shared" si="21"/>
        <v>0</v>
      </c>
      <c r="O68" s="84">
        <f t="shared" si="22"/>
        <v>0</v>
      </c>
      <c r="P68" s="79">
        <f t="shared" si="23"/>
        <v>0</v>
      </c>
      <c r="Q68" s="34">
        <f t="shared" si="24"/>
        <v>0</v>
      </c>
      <c r="R68" s="1">
        <v>0</v>
      </c>
    </row>
    <row r="69" spans="1:18" ht="24" customHeight="1">
      <c r="A69" s="109">
        <v>22</v>
      </c>
      <c r="B69" s="31" t="s">
        <v>74</v>
      </c>
      <c r="C69" s="35">
        <v>280947.59999999998</v>
      </c>
      <c r="D69" s="35">
        <v>280947.59999999998</v>
      </c>
      <c r="E69" s="104">
        <f t="shared" si="25"/>
        <v>0</v>
      </c>
      <c r="F69" s="110">
        <v>4047</v>
      </c>
      <c r="G69" s="111">
        <v>0</v>
      </c>
      <c r="H69" s="10">
        <f t="shared" si="26"/>
        <v>0</v>
      </c>
      <c r="I69" s="35">
        <v>280947.59999999998</v>
      </c>
      <c r="J69" s="106">
        <f t="shared" si="19"/>
        <v>0</v>
      </c>
      <c r="K69" s="110">
        <v>4047</v>
      </c>
      <c r="L69" s="107">
        <f>K69-F69</f>
        <v>0</v>
      </c>
      <c r="M69" s="111">
        <v>0</v>
      </c>
      <c r="N69" s="28">
        <f t="shared" si="21"/>
        <v>0</v>
      </c>
      <c r="O69" s="84">
        <f t="shared" si="22"/>
        <v>0</v>
      </c>
      <c r="P69" s="79">
        <f t="shared" si="23"/>
        <v>0</v>
      </c>
      <c r="Q69" s="34">
        <f t="shared" si="24"/>
        <v>0</v>
      </c>
      <c r="R69" s="1">
        <v>0</v>
      </c>
    </row>
    <row r="70" spans="1:18" ht="24" customHeight="1">
      <c r="A70" s="81">
        <v>23</v>
      </c>
      <c r="B70" s="31" t="s">
        <v>75</v>
      </c>
      <c r="C70" s="104">
        <v>298676.7</v>
      </c>
      <c r="D70" s="104">
        <v>298676.7</v>
      </c>
      <c r="E70" s="104">
        <f t="shared" si="25"/>
        <v>0</v>
      </c>
      <c r="F70" s="110">
        <v>21467</v>
      </c>
      <c r="G70" s="111">
        <v>0</v>
      </c>
      <c r="H70" s="10">
        <f t="shared" si="26"/>
        <v>0</v>
      </c>
      <c r="I70" s="104">
        <v>298676.7</v>
      </c>
      <c r="J70" s="106">
        <f t="shared" si="19"/>
        <v>0</v>
      </c>
      <c r="K70" s="110">
        <v>21467</v>
      </c>
      <c r="L70" s="107">
        <f t="shared" si="20"/>
        <v>0</v>
      </c>
      <c r="M70" s="112">
        <v>0</v>
      </c>
      <c r="N70" s="28">
        <f t="shared" si="21"/>
        <v>0</v>
      </c>
      <c r="O70" s="84">
        <f t="shared" si="22"/>
        <v>0</v>
      </c>
      <c r="P70" s="79">
        <f t="shared" si="23"/>
        <v>0</v>
      </c>
      <c r="Q70" s="34">
        <f t="shared" si="24"/>
        <v>0</v>
      </c>
      <c r="R70" s="1">
        <v>0</v>
      </c>
    </row>
    <row r="71" spans="1:18" ht="24" customHeight="1">
      <c r="A71" s="81">
        <v>24</v>
      </c>
      <c r="B71" s="31" t="s">
        <v>76</v>
      </c>
      <c r="C71" s="104">
        <v>263594.40000000002</v>
      </c>
      <c r="D71" s="104">
        <v>263594.40000000002</v>
      </c>
      <c r="E71" s="104">
        <f t="shared" si="25"/>
        <v>0</v>
      </c>
      <c r="F71" s="110">
        <v>19413</v>
      </c>
      <c r="G71" s="111">
        <v>0</v>
      </c>
      <c r="H71" s="10">
        <f t="shared" si="26"/>
        <v>0</v>
      </c>
      <c r="I71" s="104">
        <v>263594.40000000002</v>
      </c>
      <c r="J71" s="106">
        <f t="shared" si="19"/>
        <v>0</v>
      </c>
      <c r="K71" s="110">
        <v>19413</v>
      </c>
      <c r="L71" s="107">
        <f t="shared" si="20"/>
        <v>0</v>
      </c>
      <c r="M71" s="111">
        <v>0</v>
      </c>
      <c r="N71" s="28">
        <f t="shared" si="21"/>
        <v>0</v>
      </c>
      <c r="O71" s="84">
        <f t="shared" si="22"/>
        <v>0</v>
      </c>
      <c r="P71" s="79">
        <f t="shared" si="23"/>
        <v>0</v>
      </c>
      <c r="Q71" s="34">
        <f t="shared" si="24"/>
        <v>0</v>
      </c>
      <c r="R71" s="1">
        <v>0</v>
      </c>
    </row>
    <row r="72" spans="1:18" ht="24" customHeight="1">
      <c r="A72" s="81">
        <v>25</v>
      </c>
      <c r="B72" s="31" t="s">
        <v>77</v>
      </c>
      <c r="C72" s="83">
        <v>261723.3</v>
      </c>
      <c r="D72" s="83">
        <v>261723.3</v>
      </c>
      <c r="E72" s="104">
        <f t="shared" si="25"/>
        <v>0</v>
      </c>
      <c r="F72" s="110">
        <v>19131</v>
      </c>
      <c r="G72" s="111">
        <v>0</v>
      </c>
      <c r="H72" s="10">
        <f t="shared" si="26"/>
        <v>0</v>
      </c>
      <c r="I72" s="83">
        <v>261723.3</v>
      </c>
      <c r="J72" s="106">
        <f t="shared" si="19"/>
        <v>0</v>
      </c>
      <c r="K72" s="110">
        <v>19131</v>
      </c>
      <c r="L72" s="107">
        <f>K72-F72</f>
        <v>0</v>
      </c>
      <c r="M72" s="111">
        <v>0</v>
      </c>
      <c r="N72" s="28">
        <f t="shared" si="21"/>
        <v>0</v>
      </c>
      <c r="O72" s="84">
        <f t="shared" si="22"/>
        <v>0</v>
      </c>
      <c r="P72" s="79">
        <f t="shared" si="23"/>
        <v>0</v>
      </c>
      <c r="Q72" s="34">
        <f t="shared" si="24"/>
        <v>0</v>
      </c>
      <c r="R72" s="1">
        <v>0</v>
      </c>
    </row>
    <row r="73" spans="1:18" ht="24" customHeight="1">
      <c r="A73" s="109">
        <v>26</v>
      </c>
      <c r="B73" s="31" t="s">
        <v>78</v>
      </c>
      <c r="C73" s="104">
        <v>287364.2</v>
      </c>
      <c r="D73" s="104">
        <v>287364.2</v>
      </c>
      <c r="E73" s="104">
        <f t="shared" si="25"/>
        <v>0</v>
      </c>
      <c r="F73" s="110">
        <v>20701</v>
      </c>
      <c r="G73" s="111">
        <v>0</v>
      </c>
      <c r="H73" s="10">
        <f t="shared" si="26"/>
        <v>0</v>
      </c>
      <c r="I73" s="104">
        <v>287364.2</v>
      </c>
      <c r="J73" s="106">
        <f t="shared" si="19"/>
        <v>0</v>
      </c>
      <c r="K73" s="110">
        <v>20701</v>
      </c>
      <c r="L73" s="107">
        <f t="shared" si="20"/>
        <v>0</v>
      </c>
      <c r="M73" s="111">
        <v>0</v>
      </c>
      <c r="N73" s="28">
        <f t="shared" si="21"/>
        <v>0</v>
      </c>
      <c r="O73" s="84">
        <f t="shared" si="22"/>
        <v>0</v>
      </c>
      <c r="P73" s="79">
        <f t="shared" si="23"/>
        <v>0</v>
      </c>
      <c r="Q73" s="34">
        <f t="shared" si="24"/>
        <v>0</v>
      </c>
      <c r="R73" s="1">
        <v>0</v>
      </c>
    </row>
    <row r="74" spans="1:18" ht="24" customHeight="1">
      <c r="A74" s="81">
        <v>27</v>
      </c>
      <c r="B74" s="31" t="s">
        <v>79</v>
      </c>
      <c r="C74" s="104">
        <v>302181.2</v>
      </c>
      <c r="D74" s="104">
        <v>302181.2</v>
      </c>
      <c r="E74" s="104">
        <f t="shared" si="25"/>
        <v>0</v>
      </c>
      <c r="F74" s="110">
        <v>21434</v>
      </c>
      <c r="G74" s="111">
        <v>0</v>
      </c>
      <c r="H74" s="10">
        <f t="shared" si="26"/>
        <v>0</v>
      </c>
      <c r="I74" s="104">
        <v>302181.2</v>
      </c>
      <c r="J74" s="106">
        <f t="shared" si="19"/>
        <v>0</v>
      </c>
      <c r="K74" s="110">
        <v>21434</v>
      </c>
      <c r="L74" s="107">
        <f t="shared" si="20"/>
        <v>0</v>
      </c>
      <c r="M74" s="111">
        <v>0</v>
      </c>
      <c r="N74" s="28">
        <f t="shared" si="21"/>
        <v>0</v>
      </c>
      <c r="O74" s="84">
        <f t="shared" si="22"/>
        <v>0</v>
      </c>
      <c r="P74" s="79">
        <f t="shared" si="23"/>
        <v>0</v>
      </c>
      <c r="Q74" s="34">
        <f t="shared" si="24"/>
        <v>0</v>
      </c>
      <c r="R74" s="1">
        <v>0</v>
      </c>
    </row>
    <row r="75" spans="1:18" ht="24" customHeight="1">
      <c r="A75" s="81">
        <v>28</v>
      </c>
      <c r="B75" s="114" t="s">
        <v>80</v>
      </c>
      <c r="C75" s="104">
        <v>243134.9</v>
      </c>
      <c r="D75" s="104">
        <v>243134.9</v>
      </c>
      <c r="E75" s="104">
        <f t="shared" si="25"/>
        <v>0</v>
      </c>
      <c r="F75" s="110">
        <v>18126</v>
      </c>
      <c r="G75" s="111">
        <v>0</v>
      </c>
      <c r="H75" s="10">
        <f t="shared" si="26"/>
        <v>0</v>
      </c>
      <c r="I75" s="104">
        <v>243134.9</v>
      </c>
      <c r="J75" s="106">
        <f t="shared" si="19"/>
        <v>0</v>
      </c>
      <c r="K75" s="110">
        <v>18126</v>
      </c>
      <c r="L75" s="107">
        <f t="shared" si="20"/>
        <v>0</v>
      </c>
      <c r="M75" s="111">
        <v>0</v>
      </c>
      <c r="N75" s="28">
        <f t="shared" si="21"/>
        <v>0</v>
      </c>
      <c r="O75" s="84">
        <f t="shared" si="22"/>
        <v>0</v>
      </c>
      <c r="P75" s="79">
        <f t="shared" si="23"/>
        <v>0</v>
      </c>
      <c r="Q75" s="34">
        <f t="shared" si="24"/>
        <v>0</v>
      </c>
      <c r="R75" s="1">
        <v>0</v>
      </c>
    </row>
    <row r="76" spans="1:18" ht="24" customHeight="1">
      <c r="A76" s="81">
        <v>29</v>
      </c>
      <c r="B76" s="114" t="s">
        <v>81</v>
      </c>
      <c r="C76" s="104">
        <v>242568.7</v>
      </c>
      <c r="D76" s="104">
        <v>242568.7</v>
      </c>
      <c r="E76" s="104">
        <f t="shared" si="25"/>
        <v>0</v>
      </c>
      <c r="F76" s="110">
        <v>18093</v>
      </c>
      <c r="G76" s="111">
        <v>0</v>
      </c>
      <c r="H76" s="10">
        <f t="shared" si="26"/>
        <v>0</v>
      </c>
      <c r="I76" s="104">
        <v>242568.7</v>
      </c>
      <c r="J76" s="106">
        <f t="shared" si="19"/>
        <v>0</v>
      </c>
      <c r="K76" s="110">
        <v>18093</v>
      </c>
      <c r="L76" s="107">
        <f t="shared" si="20"/>
        <v>0</v>
      </c>
      <c r="M76" s="111">
        <v>0</v>
      </c>
      <c r="N76" s="28">
        <f t="shared" si="21"/>
        <v>0</v>
      </c>
      <c r="O76" s="84">
        <f t="shared" si="22"/>
        <v>0</v>
      </c>
      <c r="P76" s="79">
        <f t="shared" si="23"/>
        <v>0</v>
      </c>
      <c r="Q76" s="34">
        <f t="shared" si="24"/>
        <v>0</v>
      </c>
      <c r="R76" s="1">
        <v>0</v>
      </c>
    </row>
    <row r="77" spans="1:18" ht="24" customHeight="1">
      <c r="A77" s="109">
        <v>30</v>
      </c>
      <c r="B77" s="114" t="s">
        <v>82</v>
      </c>
      <c r="C77" s="104">
        <v>249389.7</v>
      </c>
      <c r="D77" s="104">
        <v>249389.7</v>
      </c>
      <c r="E77" s="104">
        <f t="shared" si="25"/>
        <v>0</v>
      </c>
      <c r="F77" s="110">
        <v>17720</v>
      </c>
      <c r="G77" s="111">
        <v>0</v>
      </c>
      <c r="H77" s="10">
        <f t="shared" si="26"/>
        <v>0</v>
      </c>
      <c r="I77" s="104">
        <v>249389.7</v>
      </c>
      <c r="J77" s="106">
        <f t="shared" si="19"/>
        <v>0</v>
      </c>
      <c r="K77" s="110">
        <v>17720</v>
      </c>
      <c r="L77" s="107">
        <f t="shared" si="20"/>
        <v>0</v>
      </c>
      <c r="M77" s="112">
        <v>0</v>
      </c>
      <c r="N77" s="28">
        <f t="shared" si="21"/>
        <v>0</v>
      </c>
      <c r="O77" s="84">
        <f t="shared" si="22"/>
        <v>0</v>
      </c>
      <c r="P77" s="79">
        <f t="shared" si="23"/>
        <v>0</v>
      </c>
      <c r="Q77" s="34">
        <f t="shared" si="24"/>
        <v>0</v>
      </c>
      <c r="R77" s="1">
        <v>0</v>
      </c>
    </row>
    <row r="78" spans="1:18" ht="24" customHeight="1">
      <c r="A78" s="81">
        <v>31</v>
      </c>
      <c r="B78" s="31" t="s">
        <v>83</v>
      </c>
      <c r="C78" s="104">
        <v>258181.9</v>
      </c>
      <c r="D78" s="104">
        <v>258181.9</v>
      </c>
      <c r="E78" s="104">
        <f t="shared" si="25"/>
        <v>0</v>
      </c>
      <c r="F78" s="110">
        <v>18285</v>
      </c>
      <c r="G78" s="111">
        <v>0</v>
      </c>
      <c r="H78" s="10">
        <f t="shared" si="26"/>
        <v>0</v>
      </c>
      <c r="I78" s="104">
        <v>258181.9</v>
      </c>
      <c r="J78" s="106">
        <f t="shared" si="19"/>
        <v>0</v>
      </c>
      <c r="K78" s="110">
        <v>18285</v>
      </c>
      <c r="L78" s="107">
        <f t="shared" si="20"/>
        <v>0</v>
      </c>
      <c r="M78" s="112">
        <v>0</v>
      </c>
      <c r="N78" s="28">
        <f t="shared" si="21"/>
        <v>0</v>
      </c>
      <c r="O78" s="84">
        <f t="shared" si="22"/>
        <v>0</v>
      </c>
      <c r="P78" s="79">
        <f t="shared" si="23"/>
        <v>0</v>
      </c>
      <c r="Q78" s="34">
        <f t="shared" si="24"/>
        <v>0</v>
      </c>
      <c r="R78" s="1">
        <v>0</v>
      </c>
    </row>
    <row r="79" spans="1:18" ht="24" customHeight="1">
      <c r="A79" s="81">
        <v>32</v>
      </c>
      <c r="B79" s="31" t="s">
        <v>84</v>
      </c>
      <c r="C79" s="104">
        <v>269216.59999999998</v>
      </c>
      <c r="D79" s="104">
        <v>269216.59999999998</v>
      </c>
      <c r="E79" s="104">
        <f t="shared" si="25"/>
        <v>0</v>
      </c>
      <c r="F79" s="110">
        <v>17611</v>
      </c>
      <c r="G79" s="111">
        <v>0</v>
      </c>
      <c r="H79" s="10">
        <f t="shared" si="26"/>
        <v>0</v>
      </c>
      <c r="I79" s="104">
        <v>269216.59999999998</v>
      </c>
      <c r="J79" s="106">
        <f t="shared" si="19"/>
        <v>0</v>
      </c>
      <c r="K79" s="110">
        <v>17611</v>
      </c>
      <c r="L79" s="107">
        <f t="shared" si="20"/>
        <v>0</v>
      </c>
      <c r="M79" s="112">
        <v>0</v>
      </c>
      <c r="N79" s="28">
        <f t="shared" si="21"/>
        <v>0</v>
      </c>
      <c r="O79" s="84">
        <f t="shared" si="22"/>
        <v>0</v>
      </c>
      <c r="P79" s="79">
        <f t="shared" si="23"/>
        <v>0</v>
      </c>
      <c r="Q79" s="34">
        <f t="shared" si="24"/>
        <v>0</v>
      </c>
      <c r="R79" s="1">
        <v>0</v>
      </c>
    </row>
    <row r="80" spans="1:18" ht="24" customHeight="1">
      <c r="A80" s="81">
        <v>33</v>
      </c>
      <c r="B80" s="31" t="s">
        <v>85</v>
      </c>
      <c r="C80" s="35">
        <v>277369.59999999998</v>
      </c>
      <c r="D80" s="35">
        <v>277369.59999999998</v>
      </c>
      <c r="E80" s="104">
        <f t="shared" si="25"/>
        <v>0</v>
      </c>
      <c r="F80" s="110">
        <v>19532</v>
      </c>
      <c r="G80" s="111">
        <v>0</v>
      </c>
      <c r="H80" s="10">
        <f t="shared" si="26"/>
        <v>0</v>
      </c>
      <c r="I80" s="35">
        <v>277369.59999999998</v>
      </c>
      <c r="J80" s="106">
        <f t="shared" si="19"/>
        <v>0</v>
      </c>
      <c r="K80" s="110">
        <v>19532</v>
      </c>
      <c r="L80" s="107">
        <f t="shared" si="20"/>
        <v>0</v>
      </c>
      <c r="M80" s="112">
        <v>0</v>
      </c>
      <c r="N80" s="28">
        <f t="shared" si="21"/>
        <v>0</v>
      </c>
      <c r="O80" s="84">
        <f t="shared" si="22"/>
        <v>0</v>
      </c>
      <c r="P80" s="79">
        <f t="shared" si="23"/>
        <v>0</v>
      </c>
      <c r="Q80" s="34">
        <f t="shared" si="24"/>
        <v>0</v>
      </c>
      <c r="R80" s="1">
        <v>0</v>
      </c>
    </row>
    <row r="81" spans="1:19" ht="24" customHeight="1">
      <c r="A81" s="109">
        <v>34</v>
      </c>
      <c r="B81" s="31" t="s">
        <v>86</v>
      </c>
      <c r="C81" s="104">
        <v>248328.8</v>
      </c>
      <c r="D81" s="104">
        <v>248328.8</v>
      </c>
      <c r="E81" s="104">
        <f t="shared" si="25"/>
        <v>0</v>
      </c>
      <c r="F81" s="110">
        <v>17614</v>
      </c>
      <c r="G81" s="111">
        <v>0</v>
      </c>
      <c r="H81" s="10">
        <f t="shared" si="26"/>
        <v>0</v>
      </c>
      <c r="I81" s="104">
        <v>248328.8</v>
      </c>
      <c r="J81" s="106">
        <f t="shared" si="19"/>
        <v>0</v>
      </c>
      <c r="K81" s="110">
        <v>17614</v>
      </c>
      <c r="L81" s="107">
        <f t="shared" si="20"/>
        <v>0</v>
      </c>
      <c r="M81" s="112">
        <v>0</v>
      </c>
      <c r="N81" s="28">
        <f t="shared" si="21"/>
        <v>0</v>
      </c>
      <c r="O81" s="84">
        <f t="shared" si="22"/>
        <v>0</v>
      </c>
      <c r="P81" s="79">
        <f t="shared" si="23"/>
        <v>0</v>
      </c>
      <c r="Q81" s="34">
        <f t="shared" si="24"/>
        <v>0</v>
      </c>
      <c r="R81" s="1">
        <v>0</v>
      </c>
    </row>
    <row r="82" spans="1:19" ht="24" customHeight="1">
      <c r="A82" s="81">
        <v>35</v>
      </c>
      <c r="B82" s="31" t="s">
        <v>87</v>
      </c>
      <c r="C82" s="104">
        <v>277313.8</v>
      </c>
      <c r="D82" s="104">
        <v>277313.8</v>
      </c>
      <c r="E82" s="104">
        <f t="shared" si="25"/>
        <v>0</v>
      </c>
      <c r="F82" s="110">
        <v>19116</v>
      </c>
      <c r="G82" s="111">
        <v>0</v>
      </c>
      <c r="H82" s="10">
        <f t="shared" si="26"/>
        <v>0</v>
      </c>
      <c r="I82" s="104">
        <v>277313.8</v>
      </c>
      <c r="J82" s="106">
        <f t="shared" si="19"/>
        <v>0</v>
      </c>
      <c r="K82" s="110">
        <v>19116</v>
      </c>
      <c r="L82" s="107">
        <f t="shared" si="20"/>
        <v>0</v>
      </c>
      <c r="M82" s="111">
        <v>0</v>
      </c>
      <c r="N82" s="28">
        <f t="shared" si="21"/>
        <v>0</v>
      </c>
      <c r="O82" s="84">
        <f t="shared" si="22"/>
        <v>0</v>
      </c>
      <c r="P82" s="79">
        <f t="shared" si="23"/>
        <v>0</v>
      </c>
      <c r="Q82" s="34">
        <f t="shared" si="24"/>
        <v>0</v>
      </c>
      <c r="R82" s="1">
        <v>0</v>
      </c>
    </row>
    <row r="83" spans="1:19" ht="24" customHeight="1">
      <c r="A83" s="81">
        <v>36</v>
      </c>
      <c r="B83" s="31" t="s">
        <v>88</v>
      </c>
      <c r="C83" s="104">
        <v>272980.09999999998</v>
      </c>
      <c r="D83" s="104">
        <v>272980.09999999998</v>
      </c>
      <c r="E83" s="104">
        <f t="shared" si="25"/>
        <v>0</v>
      </c>
      <c r="F83" s="110">
        <v>18477</v>
      </c>
      <c r="G83" s="111">
        <v>0</v>
      </c>
      <c r="H83" s="10">
        <f t="shared" si="26"/>
        <v>0</v>
      </c>
      <c r="I83" s="104">
        <v>272980.09999999998</v>
      </c>
      <c r="J83" s="106">
        <f t="shared" si="19"/>
        <v>0</v>
      </c>
      <c r="K83" s="110">
        <v>18477</v>
      </c>
      <c r="L83" s="107">
        <f t="shared" si="20"/>
        <v>0</v>
      </c>
      <c r="M83" s="111">
        <v>0</v>
      </c>
      <c r="N83" s="28">
        <f t="shared" si="21"/>
        <v>0</v>
      </c>
      <c r="O83" s="84">
        <f t="shared" si="22"/>
        <v>0</v>
      </c>
      <c r="P83" s="79">
        <f t="shared" si="23"/>
        <v>0</v>
      </c>
      <c r="Q83" s="34">
        <f t="shared" si="24"/>
        <v>0</v>
      </c>
      <c r="R83" s="1">
        <v>0</v>
      </c>
    </row>
    <row r="84" spans="1:19" ht="24" customHeight="1">
      <c r="A84" s="81">
        <v>37</v>
      </c>
      <c r="B84" s="31" t="s">
        <v>89</v>
      </c>
      <c r="C84" s="35">
        <v>265455.5</v>
      </c>
      <c r="D84" s="35">
        <v>265455.5</v>
      </c>
      <c r="E84" s="104">
        <f t="shared" si="25"/>
        <v>0</v>
      </c>
      <c r="F84" s="110">
        <v>18146</v>
      </c>
      <c r="G84" s="111">
        <v>0</v>
      </c>
      <c r="H84" s="10">
        <f t="shared" si="26"/>
        <v>0</v>
      </c>
      <c r="I84" s="35">
        <v>265455.5</v>
      </c>
      <c r="J84" s="106">
        <f t="shared" si="19"/>
        <v>0</v>
      </c>
      <c r="K84" s="110">
        <v>18146</v>
      </c>
      <c r="L84" s="107">
        <f t="shared" si="20"/>
        <v>0</v>
      </c>
      <c r="M84" s="111">
        <v>0</v>
      </c>
      <c r="N84" s="28">
        <f t="shared" si="21"/>
        <v>0</v>
      </c>
      <c r="O84" s="84">
        <f t="shared" si="22"/>
        <v>0</v>
      </c>
      <c r="P84" s="79">
        <f t="shared" si="23"/>
        <v>0</v>
      </c>
      <c r="Q84" s="34">
        <f t="shared" si="24"/>
        <v>0</v>
      </c>
      <c r="R84" s="1">
        <v>0</v>
      </c>
    </row>
    <row r="85" spans="1:19" ht="24" customHeight="1">
      <c r="A85" s="109">
        <v>38</v>
      </c>
      <c r="B85" s="31" t="s">
        <v>90</v>
      </c>
      <c r="C85" s="104">
        <v>242873.5</v>
      </c>
      <c r="D85" s="104">
        <v>242873.5</v>
      </c>
      <c r="E85" s="104">
        <f t="shared" si="25"/>
        <v>0</v>
      </c>
      <c r="F85" s="110">
        <v>17467</v>
      </c>
      <c r="G85" s="111">
        <v>0</v>
      </c>
      <c r="H85" s="10">
        <f>IFERROR(E85/G85,0)</f>
        <v>0</v>
      </c>
      <c r="I85" s="104">
        <v>242873.5</v>
      </c>
      <c r="J85" s="106">
        <f t="shared" si="19"/>
        <v>0</v>
      </c>
      <c r="K85" s="110">
        <v>17467</v>
      </c>
      <c r="L85" s="107">
        <f t="shared" si="20"/>
        <v>0</v>
      </c>
      <c r="M85" s="111">
        <v>0</v>
      </c>
      <c r="N85" s="28">
        <f t="shared" si="21"/>
        <v>0</v>
      </c>
      <c r="O85" s="84">
        <f t="shared" si="22"/>
        <v>0</v>
      </c>
      <c r="P85" s="79">
        <f t="shared" si="23"/>
        <v>0</v>
      </c>
      <c r="Q85" s="34">
        <f t="shared" si="24"/>
        <v>0</v>
      </c>
      <c r="R85" s="1">
        <v>0</v>
      </c>
    </row>
    <row r="86" spans="1:19" ht="24" customHeight="1">
      <c r="A86" s="81">
        <v>39</v>
      </c>
      <c r="B86" s="31" t="s">
        <v>91</v>
      </c>
      <c r="C86" s="104">
        <v>254153.9</v>
      </c>
      <c r="D86" s="104">
        <v>254153.9</v>
      </c>
      <c r="E86" s="104">
        <f t="shared" si="25"/>
        <v>0</v>
      </c>
      <c r="F86" s="110">
        <v>17731</v>
      </c>
      <c r="G86" s="111">
        <v>0</v>
      </c>
      <c r="H86" s="10">
        <f t="shared" si="26"/>
        <v>0</v>
      </c>
      <c r="I86" s="104">
        <v>254153.9</v>
      </c>
      <c r="J86" s="106">
        <f t="shared" si="19"/>
        <v>0</v>
      </c>
      <c r="K86" s="110">
        <v>17731</v>
      </c>
      <c r="L86" s="107">
        <f t="shared" si="20"/>
        <v>0</v>
      </c>
      <c r="M86" s="111">
        <v>0</v>
      </c>
      <c r="N86" s="28">
        <f t="shared" si="21"/>
        <v>0</v>
      </c>
      <c r="O86" s="84">
        <f t="shared" si="22"/>
        <v>0</v>
      </c>
      <c r="P86" s="79">
        <f t="shared" si="23"/>
        <v>0</v>
      </c>
      <c r="Q86" s="34">
        <f t="shared" si="24"/>
        <v>0</v>
      </c>
      <c r="R86" s="1">
        <v>0</v>
      </c>
    </row>
    <row r="87" spans="1:19" ht="24" customHeight="1">
      <c r="A87" s="81">
        <v>40</v>
      </c>
      <c r="B87" s="31" t="s">
        <v>92</v>
      </c>
      <c r="C87" s="35">
        <v>236734.6</v>
      </c>
      <c r="D87" s="35">
        <v>236734.6</v>
      </c>
      <c r="E87" s="104">
        <f>D87-C87</f>
        <v>0</v>
      </c>
      <c r="F87" s="110">
        <v>17104</v>
      </c>
      <c r="G87" s="111">
        <v>0</v>
      </c>
      <c r="H87" s="10">
        <f t="shared" si="26"/>
        <v>0</v>
      </c>
      <c r="I87" s="35">
        <v>236734.6</v>
      </c>
      <c r="J87" s="106">
        <f>I87-D87</f>
        <v>0</v>
      </c>
      <c r="K87" s="110">
        <v>17104</v>
      </c>
      <c r="L87" s="107">
        <f t="shared" si="20"/>
        <v>0</v>
      </c>
      <c r="M87" s="111">
        <v>0</v>
      </c>
      <c r="N87" s="28">
        <f t="shared" si="21"/>
        <v>0</v>
      </c>
      <c r="O87" s="84">
        <f t="shared" si="22"/>
        <v>0</v>
      </c>
      <c r="P87" s="79">
        <f>G87+M87</f>
        <v>0</v>
      </c>
      <c r="Q87" s="34">
        <f t="shared" si="24"/>
        <v>0</v>
      </c>
      <c r="R87" s="1">
        <v>0</v>
      </c>
    </row>
    <row r="88" spans="1:19" ht="24" customHeight="1">
      <c r="A88" s="81">
        <v>41</v>
      </c>
      <c r="B88" s="31" t="s">
        <v>93</v>
      </c>
      <c r="C88" s="104">
        <v>245069.3</v>
      </c>
      <c r="D88" s="104">
        <v>245069.3</v>
      </c>
      <c r="E88" s="104">
        <f>D88-C88</f>
        <v>0</v>
      </c>
      <c r="F88" s="110">
        <v>16590</v>
      </c>
      <c r="G88" s="111">
        <v>0</v>
      </c>
      <c r="H88" s="10">
        <f t="shared" si="26"/>
        <v>0</v>
      </c>
      <c r="I88" s="104">
        <v>245069.3</v>
      </c>
      <c r="J88" s="106">
        <f>I88-D88</f>
        <v>0</v>
      </c>
      <c r="K88" s="110">
        <v>16590</v>
      </c>
      <c r="L88" s="107">
        <f t="shared" si="20"/>
        <v>0</v>
      </c>
      <c r="M88" s="111">
        <v>0</v>
      </c>
      <c r="N88" s="28">
        <f t="shared" si="21"/>
        <v>0</v>
      </c>
      <c r="O88" s="84">
        <f t="shared" si="22"/>
        <v>0</v>
      </c>
      <c r="P88" s="79">
        <f t="shared" si="23"/>
        <v>0</v>
      </c>
      <c r="Q88" s="34">
        <f t="shared" si="24"/>
        <v>0</v>
      </c>
      <c r="R88" s="1">
        <v>0</v>
      </c>
      <c r="S88" t="s">
        <v>94</v>
      </c>
    </row>
    <row r="89" spans="1:19" ht="24" customHeight="1">
      <c r="A89" s="109">
        <v>42</v>
      </c>
      <c r="B89" s="31" t="s">
        <v>95</v>
      </c>
      <c r="C89" s="104">
        <v>242247.6</v>
      </c>
      <c r="D89" s="104">
        <v>242247.6</v>
      </c>
      <c r="E89" s="104">
        <f t="shared" si="25"/>
        <v>0</v>
      </c>
      <c r="F89" s="110">
        <v>18040</v>
      </c>
      <c r="G89" s="111">
        <v>0</v>
      </c>
      <c r="H89" s="10">
        <f t="shared" si="26"/>
        <v>0</v>
      </c>
      <c r="I89" s="104">
        <v>242247.6</v>
      </c>
      <c r="J89" s="106">
        <f t="shared" si="19"/>
        <v>0</v>
      </c>
      <c r="K89" s="110">
        <v>18040</v>
      </c>
      <c r="L89" s="107">
        <f t="shared" si="20"/>
        <v>0</v>
      </c>
      <c r="M89" s="111">
        <v>0</v>
      </c>
      <c r="N89" s="28">
        <f t="shared" si="21"/>
        <v>0</v>
      </c>
      <c r="O89" s="84">
        <f t="shared" si="22"/>
        <v>0</v>
      </c>
      <c r="P89" s="79">
        <f t="shared" si="23"/>
        <v>0</v>
      </c>
      <c r="Q89" s="34">
        <f t="shared" si="24"/>
        <v>0</v>
      </c>
      <c r="R89" s="1">
        <v>0</v>
      </c>
    </row>
    <row r="90" spans="1:19" ht="24" customHeight="1">
      <c r="A90" s="81">
        <v>43</v>
      </c>
      <c r="B90" s="31" t="s">
        <v>96</v>
      </c>
      <c r="C90" s="35">
        <v>246890</v>
      </c>
      <c r="D90" s="35">
        <v>246890</v>
      </c>
      <c r="E90" s="104">
        <f t="shared" si="25"/>
        <v>0</v>
      </c>
      <c r="F90" s="110">
        <v>17724</v>
      </c>
      <c r="G90" s="111">
        <v>0</v>
      </c>
      <c r="H90" s="10">
        <f>IFERROR(E90/G90,0)</f>
        <v>0</v>
      </c>
      <c r="I90" s="35">
        <v>246890</v>
      </c>
      <c r="J90" s="106">
        <f t="shared" si="19"/>
        <v>0</v>
      </c>
      <c r="K90" s="110">
        <v>17724</v>
      </c>
      <c r="L90" s="107">
        <f t="shared" si="20"/>
        <v>0</v>
      </c>
      <c r="M90" s="111">
        <v>0</v>
      </c>
      <c r="N90" s="28">
        <f t="shared" si="21"/>
        <v>0</v>
      </c>
      <c r="O90" s="84">
        <f t="shared" si="22"/>
        <v>0</v>
      </c>
      <c r="P90" s="79">
        <f t="shared" si="23"/>
        <v>0</v>
      </c>
      <c r="Q90" s="34">
        <f t="shared" si="24"/>
        <v>0</v>
      </c>
      <c r="R90" s="1">
        <v>0</v>
      </c>
    </row>
    <row r="91" spans="1:19" ht="24" customHeight="1">
      <c r="A91" s="81">
        <v>44</v>
      </c>
      <c r="B91" s="31" t="s">
        <v>97</v>
      </c>
      <c r="C91" s="104">
        <v>235262.5</v>
      </c>
      <c r="D91" s="104">
        <v>235262.5</v>
      </c>
      <c r="E91" s="104">
        <f t="shared" si="25"/>
        <v>0</v>
      </c>
      <c r="F91" s="110">
        <v>16240</v>
      </c>
      <c r="G91" s="111">
        <v>0</v>
      </c>
      <c r="H91" s="10">
        <f t="shared" si="26"/>
        <v>0</v>
      </c>
      <c r="I91" s="104">
        <v>235262.5</v>
      </c>
      <c r="J91" s="106">
        <f t="shared" si="19"/>
        <v>0</v>
      </c>
      <c r="K91" s="110">
        <v>16240</v>
      </c>
      <c r="L91" s="107">
        <f t="shared" si="20"/>
        <v>0</v>
      </c>
      <c r="M91" s="111">
        <v>0</v>
      </c>
      <c r="N91" s="28">
        <f t="shared" si="21"/>
        <v>0</v>
      </c>
      <c r="O91" s="84">
        <f t="shared" si="22"/>
        <v>0</v>
      </c>
      <c r="P91" s="79">
        <f t="shared" si="23"/>
        <v>0</v>
      </c>
      <c r="Q91" s="34">
        <f t="shared" si="24"/>
        <v>0</v>
      </c>
      <c r="R91" s="1">
        <v>0</v>
      </c>
    </row>
    <row r="92" spans="1:19" ht="24" customHeight="1">
      <c r="A92" s="81">
        <v>45</v>
      </c>
      <c r="B92" s="117" t="s">
        <v>98</v>
      </c>
      <c r="C92" s="104">
        <v>204372</v>
      </c>
      <c r="D92" s="104">
        <v>204372</v>
      </c>
      <c r="E92" s="118">
        <f t="shared" si="25"/>
        <v>0</v>
      </c>
      <c r="F92" s="110">
        <v>17402</v>
      </c>
      <c r="G92" s="111">
        <v>0</v>
      </c>
      <c r="H92" s="55">
        <f t="shared" si="26"/>
        <v>0</v>
      </c>
      <c r="I92" s="104">
        <v>204372</v>
      </c>
      <c r="J92" s="119">
        <f t="shared" si="19"/>
        <v>0</v>
      </c>
      <c r="K92" s="110">
        <v>17402</v>
      </c>
      <c r="L92" s="120">
        <f t="shared" si="20"/>
        <v>0</v>
      </c>
      <c r="M92" s="111">
        <v>0</v>
      </c>
      <c r="N92" s="28">
        <f t="shared" si="21"/>
        <v>0</v>
      </c>
      <c r="O92" s="58">
        <f t="shared" si="22"/>
        <v>0</v>
      </c>
      <c r="P92" s="79">
        <f t="shared" si="23"/>
        <v>0</v>
      </c>
      <c r="Q92" s="34">
        <f t="shared" si="24"/>
        <v>0</v>
      </c>
      <c r="R92" s="1">
        <v>0</v>
      </c>
    </row>
    <row r="93" spans="1:19" ht="24" customHeight="1">
      <c r="A93" s="109">
        <v>46</v>
      </c>
      <c r="B93" s="117" t="s">
        <v>99</v>
      </c>
      <c r="C93" s="104">
        <v>186406</v>
      </c>
      <c r="D93" s="104">
        <v>186406</v>
      </c>
      <c r="E93" s="118">
        <f t="shared" si="25"/>
        <v>0</v>
      </c>
      <c r="F93" s="110">
        <v>16317</v>
      </c>
      <c r="G93" s="111">
        <v>0</v>
      </c>
      <c r="H93" s="55">
        <f t="shared" si="26"/>
        <v>0</v>
      </c>
      <c r="I93" s="104">
        <v>186406</v>
      </c>
      <c r="J93" s="119">
        <f t="shared" si="19"/>
        <v>0</v>
      </c>
      <c r="K93" s="110">
        <v>16317</v>
      </c>
      <c r="L93" s="120">
        <f t="shared" si="20"/>
        <v>0</v>
      </c>
      <c r="M93" s="111">
        <v>0</v>
      </c>
      <c r="N93" s="28">
        <f t="shared" si="21"/>
        <v>0</v>
      </c>
      <c r="O93" s="58">
        <f t="shared" si="22"/>
        <v>0</v>
      </c>
      <c r="P93" s="79">
        <f t="shared" si="23"/>
        <v>0</v>
      </c>
      <c r="Q93" s="34">
        <f t="shared" si="24"/>
        <v>0</v>
      </c>
      <c r="R93" s="1"/>
    </row>
    <row r="94" spans="1:19" ht="24" customHeight="1">
      <c r="A94" s="81">
        <v>47</v>
      </c>
      <c r="B94" s="117" t="s">
        <v>100</v>
      </c>
      <c r="C94" s="104">
        <v>190156</v>
      </c>
      <c r="D94" s="104">
        <v>190156</v>
      </c>
      <c r="E94" s="118">
        <f t="shared" si="25"/>
        <v>0</v>
      </c>
      <c r="F94" s="110">
        <v>16975</v>
      </c>
      <c r="G94" s="111">
        <v>0</v>
      </c>
      <c r="H94" s="55">
        <f t="shared" si="26"/>
        <v>0</v>
      </c>
      <c r="I94" s="104">
        <v>190156</v>
      </c>
      <c r="J94" s="119">
        <f t="shared" si="19"/>
        <v>0</v>
      </c>
      <c r="K94" s="110">
        <v>16975</v>
      </c>
      <c r="L94" s="120">
        <f t="shared" si="20"/>
        <v>0</v>
      </c>
      <c r="M94" s="111">
        <v>0</v>
      </c>
      <c r="N94" s="28">
        <f t="shared" si="21"/>
        <v>0</v>
      </c>
      <c r="O94" s="58">
        <f t="shared" si="22"/>
        <v>0</v>
      </c>
      <c r="P94" s="79">
        <f t="shared" si="23"/>
        <v>0</v>
      </c>
      <c r="Q94" s="34">
        <f t="shared" si="24"/>
        <v>0</v>
      </c>
      <c r="R94" s="1"/>
    </row>
    <row r="95" spans="1:19" ht="24" customHeight="1">
      <c r="A95" s="81">
        <v>51</v>
      </c>
      <c r="B95" s="117" t="s">
        <v>101</v>
      </c>
      <c r="C95" s="104">
        <v>194366</v>
      </c>
      <c r="D95" s="104">
        <v>194366</v>
      </c>
      <c r="E95" s="118">
        <f t="shared" si="25"/>
        <v>0</v>
      </c>
      <c r="F95" s="110">
        <v>16465</v>
      </c>
      <c r="G95" s="111">
        <v>0</v>
      </c>
      <c r="H95" s="55">
        <f t="shared" si="26"/>
        <v>0</v>
      </c>
      <c r="I95" s="104">
        <v>194366</v>
      </c>
      <c r="J95" s="119">
        <f t="shared" si="19"/>
        <v>0</v>
      </c>
      <c r="K95" s="110">
        <v>16465</v>
      </c>
      <c r="L95" s="120">
        <f t="shared" si="20"/>
        <v>0</v>
      </c>
      <c r="M95" s="111">
        <v>0</v>
      </c>
      <c r="N95" s="28">
        <f t="shared" si="21"/>
        <v>0</v>
      </c>
      <c r="O95" s="58">
        <f t="shared" si="22"/>
        <v>0</v>
      </c>
      <c r="P95" s="79">
        <f t="shared" si="23"/>
        <v>0</v>
      </c>
      <c r="Q95" s="34">
        <f t="shared" si="24"/>
        <v>0</v>
      </c>
      <c r="R95" s="1"/>
    </row>
    <row r="96" spans="1:19" ht="24" customHeight="1">
      <c r="A96" s="81">
        <v>52</v>
      </c>
      <c r="B96" s="121" t="s">
        <v>102</v>
      </c>
      <c r="C96" s="104">
        <v>191283</v>
      </c>
      <c r="D96" s="104">
        <v>191283</v>
      </c>
      <c r="E96" s="118">
        <f t="shared" si="25"/>
        <v>0</v>
      </c>
      <c r="F96" s="110">
        <v>16253</v>
      </c>
      <c r="G96" s="111">
        <v>0</v>
      </c>
      <c r="H96" s="55">
        <f t="shared" si="26"/>
        <v>0</v>
      </c>
      <c r="I96" s="104">
        <v>191283</v>
      </c>
      <c r="J96" s="119">
        <f t="shared" si="19"/>
        <v>0</v>
      </c>
      <c r="K96" s="110">
        <v>16253</v>
      </c>
      <c r="L96" s="120">
        <f t="shared" si="20"/>
        <v>0</v>
      </c>
      <c r="M96" s="111">
        <v>0</v>
      </c>
      <c r="N96" s="28">
        <f t="shared" si="21"/>
        <v>0</v>
      </c>
      <c r="O96" s="58">
        <f t="shared" si="22"/>
        <v>0</v>
      </c>
      <c r="P96" s="79">
        <f t="shared" si="23"/>
        <v>0</v>
      </c>
      <c r="Q96" s="34">
        <f t="shared" si="24"/>
        <v>0</v>
      </c>
      <c r="R96" s="1">
        <v>0</v>
      </c>
    </row>
    <row r="97" spans="1:18" ht="24" customHeight="1">
      <c r="A97" s="81">
        <v>53</v>
      </c>
      <c r="B97" s="121" t="s">
        <v>103</v>
      </c>
      <c r="C97" s="104">
        <v>178752</v>
      </c>
      <c r="D97" s="104">
        <v>178752</v>
      </c>
      <c r="E97" s="118">
        <f t="shared" si="25"/>
        <v>0</v>
      </c>
      <c r="F97" s="110">
        <v>15140</v>
      </c>
      <c r="G97" s="111">
        <v>0</v>
      </c>
      <c r="H97" s="55">
        <f t="shared" si="26"/>
        <v>0</v>
      </c>
      <c r="I97" s="104">
        <v>178752</v>
      </c>
      <c r="J97" s="119">
        <f t="shared" si="19"/>
        <v>0</v>
      </c>
      <c r="K97" s="110">
        <v>15140</v>
      </c>
      <c r="L97" s="120">
        <f t="shared" si="20"/>
        <v>0</v>
      </c>
      <c r="M97" s="111">
        <v>0</v>
      </c>
      <c r="N97" s="28">
        <f t="shared" si="21"/>
        <v>0</v>
      </c>
      <c r="O97" s="58">
        <f t="shared" si="22"/>
        <v>0</v>
      </c>
      <c r="P97" s="79">
        <f t="shared" si="23"/>
        <v>0</v>
      </c>
      <c r="Q97" s="34">
        <f t="shared" si="24"/>
        <v>0</v>
      </c>
      <c r="R97" s="1">
        <v>0</v>
      </c>
    </row>
    <row r="98" spans="1:18" ht="24" customHeight="1">
      <c r="A98" s="109">
        <v>54</v>
      </c>
      <c r="B98" s="121" t="s">
        <v>104</v>
      </c>
      <c r="C98" s="104">
        <v>69242.2</v>
      </c>
      <c r="D98" s="104">
        <v>69242.2</v>
      </c>
      <c r="E98" s="122">
        <f t="shared" si="25"/>
        <v>0</v>
      </c>
      <c r="F98" s="110">
        <v>4667</v>
      </c>
      <c r="G98" s="111">
        <v>0</v>
      </c>
      <c r="H98" s="78">
        <f t="shared" si="26"/>
        <v>0</v>
      </c>
      <c r="I98" s="104">
        <v>69242.2</v>
      </c>
      <c r="J98" s="112">
        <f t="shared" si="19"/>
        <v>0</v>
      </c>
      <c r="K98" s="110">
        <v>4667</v>
      </c>
      <c r="L98" s="107">
        <f t="shared" si="20"/>
        <v>0</v>
      </c>
      <c r="M98" s="111">
        <v>0</v>
      </c>
      <c r="N98" s="28">
        <f t="shared" si="21"/>
        <v>0</v>
      </c>
      <c r="O98" s="58">
        <f t="shared" si="22"/>
        <v>0</v>
      </c>
      <c r="P98" s="79">
        <f t="shared" si="23"/>
        <v>0</v>
      </c>
      <c r="Q98" s="34">
        <f t="shared" si="24"/>
        <v>0</v>
      </c>
      <c r="R98" s="1">
        <v>0</v>
      </c>
    </row>
    <row r="99" spans="1:18" ht="24" customHeight="1">
      <c r="A99" s="81">
        <v>55</v>
      </c>
      <c r="B99" s="121" t="s">
        <v>105</v>
      </c>
      <c r="C99" s="35">
        <v>67824.399999999994</v>
      </c>
      <c r="D99" s="35">
        <v>67824.399999999994</v>
      </c>
      <c r="E99" s="122">
        <f t="shared" si="25"/>
        <v>0</v>
      </c>
      <c r="F99" s="110">
        <v>4667</v>
      </c>
      <c r="G99" s="111">
        <v>0</v>
      </c>
      <c r="H99" s="78">
        <f t="shared" si="26"/>
        <v>0</v>
      </c>
      <c r="I99" s="35">
        <v>67824.399999999994</v>
      </c>
      <c r="J99" s="112">
        <f t="shared" si="19"/>
        <v>0</v>
      </c>
      <c r="K99" s="110">
        <v>4667</v>
      </c>
      <c r="L99" s="107">
        <f t="shared" si="20"/>
        <v>0</v>
      </c>
      <c r="M99" s="111">
        <v>0</v>
      </c>
      <c r="N99" s="28">
        <f t="shared" si="21"/>
        <v>0</v>
      </c>
      <c r="O99" s="58">
        <f t="shared" si="22"/>
        <v>0</v>
      </c>
      <c r="P99" s="79">
        <f t="shared" si="23"/>
        <v>0</v>
      </c>
      <c r="Q99" s="34">
        <f t="shared" si="24"/>
        <v>0</v>
      </c>
      <c r="R99" s="1">
        <v>0</v>
      </c>
    </row>
    <row r="100" spans="1:18" ht="24" customHeight="1">
      <c r="A100" s="81">
        <v>56</v>
      </c>
      <c r="B100" s="121" t="s">
        <v>106</v>
      </c>
      <c r="C100" s="104">
        <v>65871.399999999994</v>
      </c>
      <c r="D100" s="104">
        <v>65871.399999999994</v>
      </c>
      <c r="E100" s="122">
        <f t="shared" si="25"/>
        <v>0</v>
      </c>
      <c r="F100" s="110">
        <v>4692</v>
      </c>
      <c r="G100" s="111">
        <v>0</v>
      </c>
      <c r="H100" s="78">
        <f t="shared" si="26"/>
        <v>0</v>
      </c>
      <c r="I100" s="104">
        <v>65871.399999999994</v>
      </c>
      <c r="J100" s="112">
        <f t="shared" si="19"/>
        <v>0</v>
      </c>
      <c r="K100" s="110">
        <v>4692</v>
      </c>
      <c r="L100" s="107">
        <f t="shared" si="20"/>
        <v>0</v>
      </c>
      <c r="M100" s="111">
        <v>0</v>
      </c>
      <c r="N100" s="28">
        <f t="shared" si="21"/>
        <v>0</v>
      </c>
      <c r="O100" s="58">
        <f t="shared" si="22"/>
        <v>0</v>
      </c>
      <c r="P100" s="79">
        <f t="shared" si="23"/>
        <v>0</v>
      </c>
      <c r="Q100" s="34">
        <f t="shared" si="24"/>
        <v>0</v>
      </c>
      <c r="R100" s="1">
        <v>0</v>
      </c>
    </row>
    <row r="101" spans="1:18" ht="24" customHeight="1">
      <c r="A101" s="81">
        <v>57</v>
      </c>
      <c r="B101" s="121" t="s">
        <v>107</v>
      </c>
      <c r="C101" s="104">
        <v>68036.5</v>
      </c>
      <c r="D101" s="104">
        <v>68036.5</v>
      </c>
      <c r="E101" s="122">
        <f t="shared" si="25"/>
        <v>0</v>
      </c>
      <c r="F101" s="110">
        <v>4690</v>
      </c>
      <c r="G101" s="111">
        <v>0</v>
      </c>
      <c r="H101" s="78">
        <f t="shared" si="26"/>
        <v>0</v>
      </c>
      <c r="I101" s="104">
        <v>68036.5</v>
      </c>
      <c r="J101" s="112">
        <f t="shared" si="19"/>
        <v>0</v>
      </c>
      <c r="K101" s="110">
        <v>4690</v>
      </c>
      <c r="L101" s="107">
        <f t="shared" si="20"/>
        <v>0</v>
      </c>
      <c r="M101" s="111">
        <v>0</v>
      </c>
      <c r="N101" s="28">
        <f t="shared" si="21"/>
        <v>0</v>
      </c>
      <c r="O101" s="58">
        <f t="shared" si="22"/>
        <v>0</v>
      </c>
      <c r="P101" s="79">
        <f t="shared" si="23"/>
        <v>0</v>
      </c>
      <c r="Q101" s="34">
        <f t="shared" si="24"/>
        <v>0</v>
      </c>
      <c r="R101" s="1">
        <v>0</v>
      </c>
    </row>
    <row r="102" spans="1:18" ht="24" customHeight="1">
      <c r="A102" s="109">
        <v>58</v>
      </c>
      <c r="B102" s="121" t="s">
        <v>108</v>
      </c>
      <c r="C102" s="104">
        <v>67064.3</v>
      </c>
      <c r="D102" s="104">
        <v>67064.3</v>
      </c>
      <c r="E102" s="122">
        <f t="shared" si="25"/>
        <v>0</v>
      </c>
      <c r="F102" s="110">
        <v>4656</v>
      </c>
      <c r="G102" s="111">
        <v>0</v>
      </c>
      <c r="H102" s="78">
        <f t="shared" si="26"/>
        <v>0</v>
      </c>
      <c r="I102" s="104">
        <v>67064.3</v>
      </c>
      <c r="J102" s="112">
        <f t="shared" si="19"/>
        <v>0</v>
      </c>
      <c r="K102" s="110">
        <v>4656</v>
      </c>
      <c r="L102" s="107">
        <f t="shared" si="20"/>
        <v>0</v>
      </c>
      <c r="M102" s="111">
        <v>0</v>
      </c>
      <c r="N102" s="28">
        <f t="shared" si="21"/>
        <v>0</v>
      </c>
      <c r="O102" s="58">
        <f t="shared" si="22"/>
        <v>0</v>
      </c>
      <c r="P102" s="79">
        <f t="shared" si="23"/>
        <v>0</v>
      </c>
      <c r="Q102" s="34">
        <f t="shared" si="24"/>
        <v>0</v>
      </c>
      <c r="R102" s="1">
        <v>0</v>
      </c>
    </row>
    <row r="103" spans="1:18" ht="24" customHeight="1">
      <c r="A103" s="81">
        <v>59</v>
      </c>
      <c r="B103" s="121" t="s">
        <v>109</v>
      </c>
      <c r="C103" s="104">
        <v>69036.100000000006</v>
      </c>
      <c r="D103" s="104">
        <v>69036.100000000006</v>
      </c>
      <c r="E103" s="118">
        <f t="shared" si="25"/>
        <v>0</v>
      </c>
      <c r="F103" s="110">
        <v>4756</v>
      </c>
      <c r="G103" s="111">
        <v>0</v>
      </c>
      <c r="H103" s="55">
        <f t="shared" si="26"/>
        <v>0</v>
      </c>
      <c r="I103" s="104">
        <v>69036.100000000006</v>
      </c>
      <c r="J103" s="119">
        <f t="shared" si="19"/>
        <v>0</v>
      </c>
      <c r="K103" s="110">
        <v>4756</v>
      </c>
      <c r="L103" s="120">
        <f t="shared" si="20"/>
        <v>0</v>
      </c>
      <c r="M103" s="111">
        <v>0</v>
      </c>
      <c r="N103" s="28">
        <f t="shared" si="21"/>
        <v>0</v>
      </c>
      <c r="O103" s="58">
        <f t="shared" si="22"/>
        <v>0</v>
      </c>
      <c r="P103" s="79">
        <f t="shared" si="23"/>
        <v>0</v>
      </c>
      <c r="Q103" s="34">
        <f t="shared" si="24"/>
        <v>0</v>
      </c>
      <c r="R103" s="1">
        <v>0</v>
      </c>
    </row>
    <row r="104" spans="1:18" ht="24" customHeight="1">
      <c r="A104" s="109">
        <v>60</v>
      </c>
      <c r="B104" s="121" t="s">
        <v>110</v>
      </c>
      <c r="C104" s="104">
        <v>33050.6</v>
      </c>
      <c r="D104" s="104">
        <v>33050.6</v>
      </c>
      <c r="E104" s="118">
        <f t="shared" si="25"/>
        <v>0</v>
      </c>
      <c r="F104" s="110">
        <v>2672</v>
      </c>
      <c r="G104" s="111">
        <v>0</v>
      </c>
      <c r="H104" s="55">
        <f t="shared" si="26"/>
        <v>0</v>
      </c>
      <c r="I104" s="104">
        <v>33050.6</v>
      </c>
      <c r="J104" s="119">
        <f t="shared" si="19"/>
        <v>0</v>
      </c>
      <c r="K104" s="110">
        <v>2672</v>
      </c>
      <c r="L104" s="120">
        <f t="shared" si="20"/>
        <v>0</v>
      </c>
      <c r="M104" s="111">
        <v>0</v>
      </c>
      <c r="N104" s="28">
        <f t="shared" si="21"/>
        <v>0</v>
      </c>
      <c r="O104" s="58">
        <f t="shared" si="22"/>
        <v>0</v>
      </c>
      <c r="P104" s="79">
        <f t="shared" si="23"/>
        <v>0</v>
      </c>
      <c r="Q104" s="34">
        <f t="shared" si="24"/>
        <v>0</v>
      </c>
      <c r="R104" s="1">
        <v>0</v>
      </c>
    </row>
    <row r="105" spans="1:18" ht="22.2" customHeight="1">
      <c r="A105" s="123" t="s">
        <v>28</v>
      </c>
      <c r="B105" s="123"/>
      <c r="C105" s="40"/>
      <c r="D105" s="123"/>
      <c r="E105" s="124">
        <f>SUM(E48:E104)</f>
        <v>0</v>
      </c>
      <c r="F105" s="125"/>
      <c r="G105" s="126">
        <f>SUM(G48:G104)</f>
        <v>0</v>
      </c>
      <c r="H105" s="39"/>
      <c r="I105" s="40"/>
      <c r="J105" s="40">
        <f>SUM(J48:J104)</f>
        <v>0</v>
      </c>
      <c r="K105" s="127"/>
      <c r="L105" s="128">
        <f>SUM(L48:L104)</f>
        <v>0</v>
      </c>
      <c r="M105" s="128">
        <f>SUM(M48:M104)</f>
        <v>0</v>
      </c>
      <c r="N105" s="28">
        <f>IFERROR(J105/M105,0)</f>
        <v>0</v>
      </c>
      <c r="O105" s="129">
        <f>SUM(O48:O104)</f>
        <v>0</v>
      </c>
      <c r="P105" s="79">
        <f>G105+M105</f>
        <v>0</v>
      </c>
      <c r="Q105" s="34">
        <f>IFERROR(O105/P105,0)</f>
        <v>0</v>
      </c>
      <c r="R105" s="130">
        <f>SUM(R48:R104)</f>
        <v>0</v>
      </c>
    </row>
    <row r="106" spans="1:18" ht="22.2" customHeight="1" thickBot="1">
      <c r="A106" s="206" t="s">
        <v>111</v>
      </c>
      <c r="B106" s="207"/>
      <c r="C106" s="207"/>
      <c r="D106" s="207"/>
      <c r="E106" s="207"/>
      <c r="F106" s="207"/>
      <c r="G106" s="207"/>
      <c r="H106" s="207"/>
      <c r="I106" s="207"/>
      <c r="J106" s="207"/>
      <c r="K106" s="207"/>
      <c r="L106" s="208"/>
      <c r="M106" s="131"/>
      <c r="N106" s="132"/>
      <c r="O106" s="133"/>
    </row>
    <row r="107" spans="1:18" ht="22.2" customHeight="1">
      <c r="A107" s="209" t="s">
        <v>3</v>
      </c>
      <c r="B107" s="211" t="s">
        <v>4</v>
      </c>
      <c r="C107" s="213" t="s">
        <v>5</v>
      </c>
      <c r="D107" s="214"/>
      <c r="E107" s="214"/>
      <c r="F107" s="214"/>
      <c r="G107" s="215"/>
      <c r="H107" s="216" t="s">
        <v>6</v>
      </c>
      <c r="I107" s="217"/>
      <c r="J107" s="217"/>
      <c r="K107" s="218"/>
      <c r="L107" s="48"/>
      <c r="M107" s="219" t="s">
        <v>7</v>
      </c>
      <c r="N107" s="194" t="s">
        <v>8</v>
      </c>
      <c r="O107" s="37"/>
    </row>
    <row r="108" spans="1:18" ht="27.6" customHeight="1" thickBot="1">
      <c r="A108" s="210"/>
      <c r="B108" s="212"/>
      <c r="C108" s="49" t="s">
        <v>11</v>
      </c>
      <c r="D108" s="49" t="s">
        <v>12</v>
      </c>
      <c r="E108" s="49" t="s">
        <v>13</v>
      </c>
      <c r="F108" s="6" t="s">
        <v>14</v>
      </c>
      <c r="G108" s="6" t="s">
        <v>8</v>
      </c>
      <c r="H108" s="49" t="s">
        <v>12</v>
      </c>
      <c r="I108" s="49" t="s">
        <v>13</v>
      </c>
      <c r="J108" s="49" t="s">
        <v>14</v>
      </c>
      <c r="K108" s="7" t="s">
        <v>8</v>
      </c>
      <c r="L108" s="50" t="s">
        <v>15</v>
      </c>
      <c r="M108" s="220"/>
      <c r="N108" s="195"/>
      <c r="O108" s="37"/>
    </row>
    <row r="109" spans="1:18" ht="22.2" customHeight="1">
      <c r="A109" s="76">
        <v>1</v>
      </c>
      <c r="B109" s="31" t="s">
        <v>112</v>
      </c>
      <c r="C109" s="35">
        <v>121295</v>
      </c>
      <c r="D109" s="35">
        <v>121295</v>
      </c>
      <c r="E109" s="17">
        <f>D109-C109</f>
        <v>0</v>
      </c>
      <c r="F109" s="33">
        <v>0</v>
      </c>
      <c r="G109" s="10">
        <f>IFERROR(F109/E109,0)</f>
        <v>0</v>
      </c>
      <c r="H109" s="35">
        <v>121512</v>
      </c>
      <c r="I109" s="19">
        <f>H109-D109</f>
        <v>217</v>
      </c>
      <c r="J109" s="33">
        <v>38</v>
      </c>
      <c r="K109" s="28">
        <f t="shared" ref="K109:K135" si="27">IFERROR(J109/I109,0)</f>
        <v>0.17511520737327188</v>
      </c>
      <c r="L109" s="18">
        <f t="shared" ref="L109:M125" si="28">E109+I109</f>
        <v>217</v>
      </c>
      <c r="M109" s="22">
        <f>F109+J109</f>
        <v>38</v>
      </c>
      <c r="N109" s="71">
        <f>IFERROR(L109/M109,0)</f>
        <v>5.7105263157894735</v>
      </c>
      <c r="O109" s="37"/>
    </row>
    <row r="110" spans="1:18" ht="22.2" customHeight="1">
      <c r="A110" s="76">
        <v>2</v>
      </c>
      <c r="B110" s="31" t="s">
        <v>113</v>
      </c>
      <c r="C110" s="35">
        <v>4193.53</v>
      </c>
      <c r="D110" s="35">
        <v>4193.53</v>
      </c>
      <c r="E110" s="17">
        <f t="shared" ref="E110:E135" si="29">D110-C110</f>
        <v>0</v>
      </c>
      <c r="F110" s="33">
        <v>0</v>
      </c>
      <c r="G110" s="10">
        <f t="shared" ref="G110:G135" si="30">IFERROR(F110/E110,0)</f>
        <v>0</v>
      </c>
      <c r="H110" s="35">
        <v>4229.1099999999997</v>
      </c>
      <c r="I110" s="19">
        <f>H110-D110</f>
        <v>35.579999999999927</v>
      </c>
      <c r="J110" s="33">
        <v>255</v>
      </c>
      <c r="K110" s="28">
        <f t="shared" si="27"/>
        <v>7.16694772344015</v>
      </c>
      <c r="L110" s="18">
        <f t="shared" si="28"/>
        <v>35.579999999999927</v>
      </c>
      <c r="M110" s="22">
        <f t="shared" si="28"/>
        <v>255</v>
      </c>
      <c r="N110" s="71">
        <f t="shared" ref="N110:N135" si="31">IFERROR(L110/M110,0)</f>
        <v>0.1395294117647056</v>
      </c>
      <c r="O110" s="134"/>
    </row>
    <row r="111" spans="1:18" ht="22.2" customHeight="1">
      <c r="A111" s="76">
        <v>3</v>
      </c>
      <c r="B111" s="31" t="s">
        <v>114</v>
      </c>
      <c r="C111" s="135">
        <v>126.47</v>
      </c>
      <c r="D111" s="135">
        <v>126.47</v>
      </c>
      <c r="E111" s="17">
        <f t="shared" si="29"/>
        <v>0</v>
      </c>
      <c r="F111" s="33">
        <v>0</v>
      </c>
      <c r="G111" s="10">
        <f t="shared" si="30"/>
        <v>0</v>
      </c>
      <c r="H111" s="135">
        <v>126.47</v>
      </c>
      <c r="I111" s="19">
        <f t="shared" ref="I111:I135" si="32">H111-D111</f>
        <v>0</v>
      </c>
      <c r="J111" s="33">
        <v>0</v>
      </c>
      <c r="K111" s="28">
        <f t="shared" si="27"/>
        <v>0</v>
      </c>
      <c r="L111" s="18">
        <f t="shared" si="28"/>
        <v>0</v>
      </c>
      <c r="M111" s="22">
        <f t="shared" si="28"/>
        <v>0</v>
      </c>
      <c r="N111" s="71">
        <f t="shared" si="31"/>
        <v>0</v>
      </c>
      <c r="O111" s="37"/>
    </row>
    <row r="112" spans="1:18" ht="22.2" customHeight="1">
      <c r="A112" s="76">
        <v>4</v>
      </c>
      <c r="B112" s="31" t="s">
        <v>115</v>
      </c>
      <c r="C112" s="136">
        <v>138938</v>
      </c>
      <c r="D112" s="136">
        <v>138938</v>
      </c>
      <c r="E112" s="17">
        <f t="shared" si="29"/>
        <v>0</v>
      </c>
      <c r="F112" s="33">
        <v>0</v>
      </c>
      <c r="G112" s="10">
        <f t="shared" si="30"/>
        <v>0</v>
      </c>
      <c r="H112" s="136">
        <v>138938</v>
      </c>
      <c r="I112" s="19">
        <f t="shared" si="32"/>
        <v>0</v>
      </c>
      <c r="J112" s="33">
        <v>0</v>
      </c>
      <c r="K112" s="28">
        <f t="shared" si="27"/>
        <v>0</v>
      </c>
      <c r="L112" s="18">
        <f t="shared" si="28"/>
        <v>0</v>
      </c>
      <c r="M112" s="22">
        <f t="shared" si="28"/>
        <v>0</v>
      </c>
      <c r="N112" s="71">
        <f t="shared" si="31"/>
        <v>0</v>
      </c>
      <c r="O112" s="137"/>
    </row>
    <row r="113" spans="1:17" ht="22.2" customHeight="1">
      <c r="A113" s="76">
        <v>5</v>
      </c>
      <c r="B113" s="31" t="s">
        <v>116</v>
      </c>
      <c r="C113" s="35">
        <v>44558.9</v>
      </c>
      <c r="D113" s="35">
        <v>44558.9</v>
      </c>
      <c r="E113" s="17">
        <f t="shared" si="29"/>
        <v>0</v>
      </c>
      <c r="F113" s="33">
        <v>0</v>
      </c>
      <c r="G113" s="10">
        <f t="shared" si="30"/>
        <v>0</v>
      </c>
      <c r="H113" s="35">
        <v>44558.9</v>
      </c>
      <c r="I113" s="19">
        <f t="shared" si="32"/>
        <v>0</v>
      </c>
      <c r="J113" s="33">
        <v>0</v>
      </c>
      <c r="K113" s="28">
        <f t="shared" si="27"/>
        <v>0</v>
      </c>
      <c r="L113" s="18">
        <f t="shared" si="28"/>
        <v>0</v>
      </c>
      <c r="M113" s="22">
        <f t="shared" si="28"/>
        <v>0</v>
      </c>
      <c r="N113" s="71">
        <f t="shared" si="31"/>
        <v>0</v>
      </c>
      <c r="O113" s="77"/>
    </row>
    <row r="114" spans="1:17" ht="22.2" customHeight="1">
      <c r="A114" s="76">
        <v>6</v>
      </c>
      <c r="B114" s="31" t="s">
        <v>117</v>
      </c>
      <c r="C114" s="35">
        <v>100316.9</v>
      </c>
      <c r="D114" s="35">
        <v>100316.9</v>
      </c>
      <c r="E114" s="17">
        <f t="shared" si="29"/>
        <v>0</v>
      </c>
      <c r="F114" s="33">
        <v>0</v>
      </c>
      <c r="G114" s="10">
        <f t="shared" si="30"/>
        <v>0</v>
      </c>
      <c r="H114" s="35">
        <v>100316.9</v>
      </c>
      <c r="I114" s="19">
        <f t="shared" si="32"/>
        <v>0</v>
      </c>
      <c r="J114" s="33">
        <v>0</v>
      </c>
      <c r="K114" s="28">
        <f t="shared" si="27"/>
        <v>0</v>
      </c>
      <c r="L114" s="18">
        <f t="shared" si="28"/>
        <v>0</v>
      </c>
      <c r="M114" s="22">
        <f t="shared" si="28"/>
        <v>0</v>
      </c>
      <c r="N114" s="71">
        <f t="shared" si="31"/>
        <v>0</v>
      </c>
      <c r="O114" s="37"/>
    </row>
    <row r="115" spans="1:17" ht="22.2" customHeight="1">
      <c r="A115" s="76">
        <v>7</v>
      </c>
      <c r="B115" s="31" t="s">
        <v>118</v>
      </c>
      <c r="C115" s="35">
        <v>152067.5</v>
      </c>
      <c r="D115" s="35">
        <v>152067.5</v>
      </c>
      <c r="E115" s="17">
        <f t="shared" si="29"/>
        <v>0</v>
      </c>
      <c r="F115" s="33">
        <v>0</v>
      </c>
      <c r="G115" s="10">
        <f t="shared" si="30"/>
        <v>0</v>
      </c>
      <c r="H115" s="35">
        <v>152067.5</v>
      </c>
      <c r="I115" s="19">
        <f t="shared" si="32"/>
        <v>0</v>
      </c>
      <c r="J115" s="33">
        <v>0</v>
      </c>
      <c r="K115" s="28">
        <f t="shared" si="27"/>
        <v>0</v>
      </c>
      <c r="L115" s="18">
        <f t="shared" si="28"/>
        <v>0</v>
      </c>
      <c r="M115" s="22">
        <f>F115+J115</f>
        <v>0</v>
      </c>
      <c r="N115" s="71">
        <f t="shared" si="31"/>
        <v>0</v>
      </c>
      <c r="O115" s="37"/>
    </row>
    <row r="116" spans="1:17" ht="22.2" customHeight="1">
      <c r="A116" s="76">
        <v>8</v>
      </c>
      <c r="B116" s="138" t="s">
        <v>119</v>
      </c>
      <c r="C116" s="136">
        <v>40493.800000000003</v>
      </c>
      <c r="D116" s="136">
        <v>40493.800000000003</v>
      </c>
      <c r="E116" s="17">
        <f t="shared" si="29"/>
        <v>0</v>
      </c>
      <c r="F116" s="33">
        <v>0</v>
      </c>
      <c r="G116" s="10">
        <f t="shared" si="30"/>
        <v>0</v>
      </c>
      <c r="H116" s="136">
        <v>40493.800000000003</v>
      </c>
      <c r="I116" s="19">
        <f t="shared" si="32"/>
        <v>0</v>
      </c>
      <c r="J116" s="33">
        <v>0</v>
      </c>
      <c r="K116" s="28">
        <f t="shared" si="27"/>
        <v>0</v>
      </c>
      <c r="L116" s="18">
        <f t="shared" si="28"/>
        <v>0</v>
      </c>
      <c r="M116" s="22">
        <f>F116+J116</f>
        <v>0</v>
      </c>
      <c r="N116" s="71">
        <f t="shared" si="31"/>
        <v>0</v>
      </c>
      <c r="O116" s="37"/>
    </row>
    <row r="117" spans="1:17" ht="22.2" customHeight="1">
      <c r="A117" s="76">
        <v>9</v>
      </c>
      <c r="B117" s="138" t="s">
        <v>120</v>
      </c>
      <c r="C117" s="35">
        <v>33478</v>
      </c>
      <c r="D117" s="35">
        <v>33478</v>
      </c>
      <c r="E117" s="17">
        <f t="shared" si="29"/>
        <v>0</v>
      </c>
      <c r="F117" s="33">
        <v>0</v>
      </c>
      <c r="G117" s="10">
        <f t="shared" si="30"/>
        <v>0</v>
      </c>
      <c r="H117" s="35">
        <v>33478</v>
      </c>
      <c r="I117" s="19">
        <f t="shared" si="32"/>
        <v>0</v>
      </c>
      <c r="J117" s="33">
        <v>0</v>
      </c>
      <c r="K117" s="28">
        <f t="shared" si="27"/>
        <v>0</v>
      </c>
      <c r="L117" s="18">
        <f t="shared" si="28"/>
        <v>0</v>
      </c>
      <c r="M117" s="22">
        <f t="shared" si="28"/>
        <v>0</v>
      </c>
      <c r="N117" s="71">
        <f t="shared" si="31"/>
        <v>0</v>
      </c>
      <c r="O117" s="37"/>
    </row>
    <row r="118" spans="1:17" ht="22.2" customHeight="1">
      <c r="A118" s="76">
        <v>10</v>
      </c>
      <c r="B118" s="31" t="s">
        <v>121</v>
      </c>
      <c r="C118" s="35">
        <v>154354</v>
      </c>
      <c r="D118" s="35">
        <v>154354</v>
      </c>
      <c r="E118" s="17">
        <f t="shared" si="29"/>
        <v>0</v>
      </c>
      <c r="F118" s="33">
        <v>0</v>
      </c>
      <c r="G118" s="10">
        <f t="shared" si="30"/>
        <v>0</v>
      </c>
      <c r="H118" s="35">
        <v>154569</v>
      </c>
      <c r="I118" s="19">
        <f t="shared" si="32"/>
        <v>215</v>
      </c>
      <c r="J118" s="33">
        <v>40</v>
      </c>
      <c r="K118" s="28">
        <f t="shared" si="27"/>
        <v>0.18604651162790697</v>
      </c>
      <c r="L118" s="18">
        <f t="shared" si="28"/>
        <v>215</v>
      </c>
      <c r="M118" s="22">
        <f t="shared" si="28"/>
        <v>40</v>
      </c>
      <c r="N118" s="71">
        <f t="shared" si="31"/>
        <v>5.375</v>
      </c>
      <c r="O118" s="137"/>
    </row>
    <row r="119" spans="1:17" ht="23.4" customHeight="1">
      <c r="A119" s="76">
        <v>11</v>
      </c>
      <c r="B119" s="139" t="s">
        <v>122</v>
      </c>
      <c r="C119" s="35">
        <v>36223</v>
      </c>
      <c r="D119" s="35">
        <v>36223</v>
      </c>
      <c r="E119" s="17">
        <f t="shared" si="29"/>
        <v>0</v>
      </c>
      <c r="F119" s="33">
        <v>0</v>
      </c>
      <c r="G119" s="10">
        <f t="shared" si="30"/>
        <v>0</v>
      </c>
      <c r="H119" s="35">
        <v>36223</v>
      </c>
      <c r="I119" s="19">
        <f t="shared" si="32"/>
        <v>0</v>
      </c>
      <c r="J119" s="33">
        <v>0</v>
      </c>
      <c r="K119" s="28">
        <f t="shared" si="27"/>
        <v>0</v>
      </c>
      <c r="L119" s="18">
        <f t="shared" si="28"/>
        <v>0</v>
      </c>
      <c r="M119" s="22">
        <f t="shared" si="28"/>
        <v>0</v>
      </c>
      <c r="N119" s="71">
        <f t="shared" si="31"/>
        <v>0</v>
      </c>
      <c r="O119" s="37"/>
      <c r="Q119" s="38"/>
    </row>
    <row r="120" spans="1:17" ht="22.2" customHeight="1">
      <c r="A120" s="76">
        <v>12</v>
      </c>
      <c r="B120" s="139" t="s">
        <v>123</v>
      </c>
      <c r="C120" s="35">
        <v>15392</v>
      </c>
      <c r="D120" s="35">
        <v>15392</v>
      </c>
      <c r="E120" s="17">
        <f t="shared" si="29"/>
        <v>0</v>
      </c>
      <c r="F120" s="33">
        <v>0</v>
      </c>
      <c r="G120" s="78">
        <f t="shared" si="30"/>
        <v>0</v>
      </c>
      <c r="H120" s="35">
        <v>15392</v>
      </c>
      <c r="I120" s="19">
        <f t="shared" si="32"/>
        <v>0</v>
      </c>
      <c r="J120" s="33">
        <v>0</v>
      </c>
      <c r="K120" s="28">
        <f t="shared" si="27"/>
        <v>0</v>
      </c>
      <c r="L120" s="18">
        <f t="shared" si="28"/>
        <v>0</v>
      </c>
      <c r="M120" s="79">
        <f t="shared" si="28"/>
        <v>0</v>
      </c>
      <c r="N120" s="71">
        <f t="shared" si="31"/>
        <v>0</v>
      </c>
      <c r="O120" s="37"/>
      <c r="Q120" s="45"/>
    </row>
    <row r="121" spans="1:17" ht="21.6" customHeight="1">
      <c r="A121" s="76">
        <v>13</v>
      </c>
      <c r="B121" s="140" t="s">
        <v>124</v>
      </c>
      <c r="C121" s="35">
        <v>890.2</v>
      </c>
      <c r="D121" s="35">
        <v>890.2</v>
      </c>
      <c r="E121" s="17">
        <f t="shared" si="29"/>
        <v>0</v>
      </c>
      <c r="F121" s="35">
        <v>0</v>
      </c>
      <c r="G121" s="78">
        <f t="shared" si="30"/>
        <v>0</v>
      </c>
      <c r="H121" s="35">
        <v>890.2</v>
      </c>
      <c r="I121" s="19">
        <f t="shared" si="32"/>
        <v>0</v>
      </c>
      <c r="J121" s="35">
        <v>0</v>
      </c>
      <c r="K121" s="28">
        <f t="shared" si="27"/>
        <v>0</v>
      </c>
      <c r="L121" s="18">
        <f t="shared" si="28"/>
        <v>0</v>
      </c>
      <c r="M121" s="79">
        <f t="shared" si="28"/>
        <v>0</v>
      </c>
      <c r="N121" s="71">
        <f t="shared" si="31"/>
        <v>0</v>
      </c>
      <c r="O121" s="37"/>
      <c r="Q121" s="45"/>
    </row>
    <row r="122" spans="1:17" ht="21.6" customHeight="1">
      <c r="A122" s="76">
        <v>14</v>
      </c>
      <c r="B122" s="140" t="s">
        <v>125</v>
      </c>
      <c r="C122" s="35">
        <v>1676</v>
      </c>
      <c r="D122" s="35">
        <v>1676</v>
      </c>
      <c r="E122" s="17">
        <f t="shared" si="29"/>
        <v>0</v>
      </c>
      <c r="F122" s="35">
        <v>0</v>
      </c>
      <c r="G122" s="78">
        <f t="shared" si="30"/>
        <v>0</v>
      </c>
      <c r="H122" s="35">
        <v>1676</v>
      </c>
      <c r="I122" s="19">
        <f t="shared" si="32"/>
        <v>0</v>
      </c>
      <c r="J122" s="141">
        <v>0</v>
      </c>
      <c r="K122" s="28">
        <f t="shared" si="27"/>
        <v>0</v>
      </c>
      <c r="L122" s="18">
        <f t="shared" si="28"/>
        <v>0</v>
      </c>
      <c r="M122" s="79">
        <f t="shared" si="28"/>
        <v>0</v>
      </c>
      <c r="N122" s="71">
        <f t="shared" si="31"/>
        <v>0</v>
      </c>
      <c r="O122" s="37"/>
      <c r="Q122" s="45"/>
    </row>
    <row r="123" spans="1:17" ht="26.4" customHeight="1">
      <c r="A123" s="76">
        <v>15</v>
      </c>
      <c r="B123" s="142" t="s">
        <v>126</v>
      </c>
      <c r="C123" s="35">
        <v>6128.1</v>
      </c>
      <c r="D123" s="35">
        <v>6128.1</v>
      </c>
      <c r="E123" s="17">
        <f>D123-C123</f>
        <v>0</v>
      </c>
      <c r="F123" s="33">
        <v>0</v>
      </c>
      <c r="G123" s="78">
        <f>IFERROR(F123/E123,0)</f>
        <v>0</v>
      </c>
      <c r="H123" s="35">
        <v>6128.1</v>
      </c>
      <c r="I123" s="19">
        <f>H123-D123</f>
        <v>0</v>
      </c>
      <c r="J123" s="33">
        <v>0</v>
      </c>
      <c r="K123" s="28">
        <f>IFERROR(J123/I123,0)</f>
        <v>0</v>
      </c>
      <c r="L123" s="18">
        <f>E123+I123</f>
        <v>0</v>
      </c>
      <c r="M123" s="79">
        <f>F123+J123</f>
        <v>0</v>
      </c>
      <c r="N123" s="71">
        <f>IFERROR(L123/M123,0)</f>
        <v>0</v>
      </c>
      <c r="O123" s="37"/>
      <c r="Q123" s="45"/>
    </row>
    <row r="124" spans="1:17" ht="25.2" customHeight="1">
      <c r="A124" s="76">
        <v>16</v>
      </c>
      <c r="B124" s="138" t="s">
        <v>127</v>
      </c>
      <c r="C124" s="35">
        <v>0</v>
      </c>
      <c r="D124" s="35">
        <v>0</v>
      </c>
      <c r="E124" s="17">
        <f t="shared" si="29"/>
        <v>0</v>
      </c>
      <c r="F124" s="33">
        <v>0</v>
      </c>
      <c r="G124" s="78">
        <f t="shared" si="30"/>
        <v>0</v>
      </c>
      <c r="H124" s="35">
        <v>0</v>
      </c>
      <c r="I124" s="19">
        <f t="shared" si="32"/>
        <v>0</v>
      </c>
      <c r="J124" s="33">
        <v>0</v>
      </c>
      <c r="K124" s="28">
        <f t="shared" si="27"/>
        <v>0</v>
      </c>
      <c r="L124" s="18">
        <f t="shared" si="28"/>
        <v>0</v>
      </c>
      <c r="M124" s="79">
        <f t="shared" si="28"/>
        <v>0</v>
      </c>
      <c r="N124" s="71">
        <f t="shared" si="31"/>
        <v>0</v>
      </c>
      <c r="O124" s="77"/>
      <c r="Q124" s="45"/>
    </row>
    <row r="125" spans="1:17" ht="25.2" customHeight="1">
      <c r="A125" s="76">
        <v>17</v>
      </c>
      <c r="B125" s="138" t="s">
        <v>128</v>
      </c>
      <c r="C125" s="35">
        <v>75621.2</v>
      </c>
      <c r="D125" s="35">
        <v>75621.2</v>
      </c>
      <c r="E125" s="17">
        <f t="shared" si="29"/>
        <v>0</v>
      </c>
      <c r="F125" s="33">
        <v>0</v>
      </c>
      <c r="G125" s="78">
        <f t="shared" si="30"/>
        <v>0</v>
      </c>
      <c r="H125" s="35">
        <v>75621.2</v>
      </c>
      <c r="I125" s="19">
        <f t="shared" si="32"/>
        <v>0</v>
      </c>
      <c r="J125" s="33">
        <v>0</v>
      </c>
      <c r="K125" s="28">
        <f t="shared" si="27"/>
        <v>0</v>
      </c>
      <c r="L125" s="18">
        <f t="shared" si="28"/>
        <v>0</v>
      </c>
      <c r="M125" s="79">
        <f t="shared" si="28"/>
        <v>0</v>
      </c>
      <c r="N125" s="71">
        <f t="shared" si="31"/>
        <v>0</v>
      </c>
      <c r="O125" s="77"/>
      <c r="Q125" s="45"/>
    </row>
    <row r="126" spans="1:17" ht="25.2" customHeight="1">
      <c r="A126" s="76">
        <v>18</v>
      </c>
      <c r="B126" s="138" t="s">
        <v>129</v>
      </c>
      <c r="C126" s="35">
        <v>2407.9499999999998</v>
      </c>
      <c r="D126" s="35">
        <v>2407.9499999999998</v>
      </c>
      <c r="E126" s="17">
        <f t="shared" si="29"/>
        <v>0</v>
      </c>
      <c r="F126" s="33">
        <v>0</v>
      </c>
      <c r="G126" s="78">
        <f t="shared" si="30"/>
        <v>0</v>
      </c>
      <c r="H126" s="35">
        <v>2407.9499999999998</v>
      </c>
      <c r="I126" s="19">
        <f t="shared" si="32"/>
        <v>0</v>
      </c>
      <c r="J126" s="33">
        <v>0</v>
      </c>
      <c r="K126" s="28">
        <f t="shared" si="27"/>
        <v>0</v>
      </c>
      <c r="L126" s="18">
        <f t="shared" ref="L126:M135" si="33">E126+I126</f>
        <v>0</v>
      </c>
      <c r="M126" s="79">
        <f t="shared" si="33"/>
        <v>0</v>
      </c>
      <c r="N126" s="71">
        <f t="shared" si="31"/>
        <v>0</v>
      </c>
      <c r="O126" s="77"/>
      <c r="Q126" s="45"/>
    </row>
    <row r="127" spans="1:17" ht="25.2" customHeight="1">
      <c r="A127" s="76">
        <v>19</v>
      </c>
      <c r="B127" s="138" t="s">
        <v>130</v>
      </c>
      <c r="C127" s="35">
        <v>37357</v>
      </c>
      <c r="D127" s="35">
        <v>37357</v>
      </c>
      <c r="E127" s="17">
        <f t="shared" si="29"/>
        <v>0</v>
      </c>
      <c r="F127" s="33">
        <v>0</v>
      </c>
      <c r="G127" s="78">
        <f t="shared" si="30"/>
        <v>0</v>
      </c>
      <c r="H127" s="35">
        <v>37357</v>
      </c>
      <c r="I127" s="19">
        <f t="shared" si="32"/>
        <v>0</v>
      </c>
      <c r="J127" s="33">
        <v>0</v>
      </c>
      <c r="K127" s="28">
        <f t="shared" si="27"/>
        <v>0</v>
      </c>
      <c r="L127" s="18">
        <f t="shared" si="33"/>
        <v>0</v>
      </c>
      <c r="M127" s="79">
        <f t="shared" si="33"/>
        <v>0</v>
      </c>
      <c r="N127" s="71">
        <f t="shared" si="31"/>
        <v>0</v>
      </c>
      <c r="O127" s="77"/>
      <c r="Q127" s="45"/>
    </row>
    <row r="128" spans="1:17" ht="25.2" customHeight="1">
      <c r="A128" s="76">
        <v>20</v>
      </c>
      <c r="B128" s="138" t="s">
        <v>131</v>
      </c>
      <c r="C128" s="35">
        <v>77883.600000000006</v>
      </c>
      <c r="D128" s="35">
        <v>77883.600000000006</v>
      </c>
      <c r="E128" s="17">
        <f t="shared" si="29"/>
        <v>0</v>
      </c>
      <c r="F128" s="33">
        <v>0</v>
      </c>
      <c r="G128" s="78">
        <f t="shared" si="30"/>
        <v>0</v>
      </c>
      <c r="H128" s="35">
        <v>77883.600000000006</v>
      </c>
      <c r="I128" s="19">
        <f t="shared" si="32"/>
        <v>0</v>
      </c>
      <c r="J128" s="33">
        <v>0</v>
      </c>
      <c r="K128" s="28">
        <f t="shared" si="27"/>
        <v>0</v>
      </c>
      <c r="L128" s="18">
        <f t="shared" si="33"/>
        <v>0</v>
      </c>
      <c r="M128" s="79">
        <f t="shared" si="33"/>
        <v>0</v>
      </c>
      <c r="N128" s="71">
        <f t="shared" si="31"/>
        <v>0</v>
      </c>
      <c r="O128" s="77"/>
      <c r="Q128" s="45"/>
    </row>
    <row r="129" spans="1:17" ht="25.2" customHeight="1">
      <c r="A129" s="76">
        <v>21</v>
      </c>
      <c r="B129" s="138" t="s">
        <v>132</v>
      </c>
      <c r="C129" s="35">
        <v>45740.2</v>
      </c>
      <c r="D129" s="35">
        <v>45740.2</v>
      </c>
      <c r="E129" s="17">
        <f t="shared" si="29"/>
        <v>0</v>
      </c>
      <c r="F129" s="33">
        <v>0</v>
      </c>
      <c r="G129" s="78">
        <f t="shared" si="30"/>
        <v>0</v>
      </c>
      <c r="H129" s="35">
        <v>45740.2</v>
      </c>
      <c r="I129" s="19">
        <f t="shared" si="32"/>
        <v>0</v>
      </c>
      <c r="J129" s="33">
        <v>0</v>
      </c>
      <c r="K129" s="28">
        <f t="shared" si="27"/>
        <v>0</v>
      </c>
      <c r="L129" s="18">
        <f t="shared" si="33"/>
        <v>0</v>
      </c>
      <c r="M129" s="79">
        <f t="shared" si="33"/>
        <v>0</v>
      </c>
      <c r="N129" s="71">
        <f t="shared" si="31"/>
        <v>0</v>
      </c>
      <c r="O129" s="77"/>
      <c r="Q129" s="45"/>
    </row>
    <row r="130" spans="1:17" ht="25.2" customHeight="1">
      <c r="A130" s="76">
        <v>22</v>
      </c>
      <c r="B130" s="138" t="s">
        <v>133</v>
      </c>
      <c r="C130" s="35">
        <v>41291.5</v>
      </c>
      <c r="D130" s="35">
        <v>41291.5</v>
      </c>
      <c r="E130" s="17">
        <f t="shared" si="29"/>
        <v>0</v>
      </c>
      <c r="F130" s="33">
        <v>0</v>
      </c>
      <c r="G130" s="78">
        <f t="shared" si="30"/>
        <v>0</v>
      </c>
      <c r="H130" s="35">
        <v>41291.5</v>
      </c>
      <c r="I130" s="19">
        <f t="shared" si="32"/>
        <v>0</v>
      </c>
      <c r="J130" s="33">
        <v>0</v>
      </c>
      <c r="K130" s="28">
        <f t="shared" si="27"/>
        <v>0</v>
      </c>
      <c r="L130" s="18">
        <f t="shared" si="33"/>
        <v>0</v>
      </c>
      <c r="M130" s="79">
        <f t="shared" si="33"/>
        <v>0</v>
      </c>
      <c r="N130" s="71">
        <f t="shared" si="31"/>
        <v>0</v>
      </c>
      <c r="O130" s="77"/>
      <c r="Q130" s="45"/>
    </row>
    <row r="131" spans="1:17" ht="25.2" customHeight="1">
      <c r="A131" s="76">
        <v>23</v>
      </c>
      <c r="B131" s="138" t="s">
        <v>134</v>
      </c>
      <c r="C131" s="35">
        <v>41688</v>
      </c>
      <c r="D131" s="35">
        <v>41688</v>
      </c>
      <c r="E131" s="17">
        <f t="shared" si="29"/>
        <v>0</v>
      </c>
      <c r="F131" s="33">
        <v>0</v>
      </c>
      <c r="G131" s="78">
        <f t="shared" si="30"/>
        <v>0</v>
      </c>
      <c r="H131" s="35">
        <v>41688</v>
      </c>
      <c r="I131" s="19">
        <f t="shared" si="32"/>
        <v>0</v>
      </c>
      <c r="J131" s="33">
        <v>0</v>
      </c>
      <c r="K131" s="28">
        <f t="shared" si="27"/>
        <v>0</v>
      </c>
      <c r="L131" s="18">
        <f t="shared" si="33"/>
        <v>0</v>
      </c>
      <c r="M131" s="79">
        <f t="shared" si="33"/>
        <v>0</v>
      </c>
      <c r="N131" s="71">
        <f t="shared" si="31"/>
        <v>0</v>
      </c>
      <c r="O131" s="77"/>
      <c r="Q131" s="45"/>
    </row>
    <row r="132" spans="1:17" ht="25.2" customHeight="1">
      <c r="A132" s="76">
        <v>24</v>
      </c>
      <c r="B132" s="138" t="s">
        <v>135</v>
      </c>
      <c r="C132" s="35">
        <v>53754.8</v>
      </c>
      <c r="D132" s="35">
        <v>53754.8</v>
      </c>
      <c r="E132" s="17">
        <f t="shared" si="29"/>
        <v>0</v>
      </c>
      <c r="F132" s="33">
        <v>0</v>
      </c>
      <c r="G132" s="78">
        <f t="shared" si="30"/>
        <v>0</v>
      </c>
      <c r="H132" s="35">
        <v>53754.8</v>
      </c>
      <c r="I132" s="19">
        <f t="shared" si="32"/>
        <v>0</v>
      </c>
      <c r="J132" s="33">
        <v>0</v>
      </c>
      <c r="K132" s="28">
        <f t="shared" si="27"/>
        <v>0</v>
      </c>
      <c r="L132" s="18">
        <f t="shared" si="33"/>
        <v>0</v>
      </c>
      <c r="M132" s="79">
        <f t="shared" si="33"/>
        <v>0</v>
      </c>
      <c r="N132" s="71">
        <f t="shared" si="31"/>
        <v>0</v>
      </c>
      <c r="O132" s="77"/>
      <c r="Q132" s="45"/>
    </row>
    <row r="133" spans="1:17" ht="25.2" customHeight="1">
      <c r="A133" s="76">
        <v>25</v>
      </c>
      <c r="B133" s="143" t="s">
        <v>136</v>
      </c>
      <c r="C133" s="35">
        <v>48443.199999999997</v>
      </c>
      <c r="D133" s="35">
        <v>48443.199999999997</v>
      </c>
      <c r="E133" s="17">
        <f t="shared" si="29"/>
        <v>0</v>
      </c>
      <c r="F133" s="33">
        <v>0</v>
      </c>
      <c r="G133" s="78">
        <f t="shared" si="30"/>
        <v>0</v>
      </c>
      <c r="H133" s="35">
        <v>48443.199999999997</v>
      </c>
      <c r="I133" s="19">
        <f t="shared" si="32"/>
        <v>0</v>
      </c>
      <c r="J133" s="33">
        <v>0</v>
      </c>
      <c r="K133" s="28">
        <f t="shared" si="27"/>
        <v>0</v>
      </c>
      <c r="L133" s="18">
        <f t="shared" si="33"/>
        <v>0</v>
      </c>
      <c r="M133" s="79">
        <f t="shared" si="33"/>
        <v>0</v>
      </c>
      <c r="N133" s="71">
        <f t="shared" si="31"/>
        <v>0</v>
      </c>
      <c r="O133" s="77"/>
      <c r="Q133" s="45"/>
    </row>
    <row r="134" spans="1:17" ht="25.2" customHeight="1">
      <c r="A134" s="76">
        <v>26</v>
      </c>
      <c r="B134" s="143" t="s">
        <v>137</v>
      </c>
      <c r="C134" s="35">
        <v>103518.8</v>
      </c>
      <c r="D134" s="35">
        <v>103518.8</v>
      </c>
      <c r="E134" s="17">
        <f t="shared" si="29"/>
        <v>0</v>
      </c>
      <c r="F134" s="33">
        <v>0</v>
      </c>
      <c r="G134" s="78">
        <f t="shared" si="30"/>
        <v>0</v>
      </c>
      <c r="H134" s="35">
        <v>103518.8</v>
      </c>
      <c r="I134" s="19">
        <f t="shared" si="32"/>
        <v>0</v>
      </c>
      <c r="J134" s="33">
        <v>0</v>
      </c>
      <c r="K134" s="28">
        <f t="shared" si="27"/>
        <v>0</v>
      </c>
      <c r="L134" s="18">
        <f t="shared" si="33"/>
        <v>0</v>
      </c>
      <c r="M134" s="79">
        <f t="shared" si="33"/>
        <v>0</v>
      </c>
      <c r="N134" s="71">
        <f t="shared" si="31"/>
        <v>0</v>
      </c>
      <c r="O134" s="77"/>
      <c r="Q134" s="45"/>
    </row>
    <row r="135" spans="1:17" ht="25.2" customHeight="1">
      <c r="A135" s="144">
        <v>27</v>
      </c>
      <c r="B135" s="143" t="s">
        <v>138</v>
      </c>
      <c r="C135" s="35">
        <v>110466.2</v>
      </c>
      <c r="D135" s="35">
        <v>110466.2</v>
      </c>
      <c r="E135" s="35">
        <f t="shared" si="29"/>
        <v>0</v>
      </c>
      <c r="F135" s="33">
        <v>0</v>
      </c>
      <c r="G135" s="78">
        <f t="shared" si="30"/>
        <v>0</v>
      </c>
      <c r="H135" s="35">
        <v>110466.2</v>
      </c>
      <c r="I135" s="19">
        <f t="shared" si="32"/>
        <v>0</v>
      </c>
      <c r="J135" s="33">
        <v>0</v>
      </c>
      <c r="K135" s="28">
        <f t="shared" si="27"/>
        <v>0</v>
      </c>
      <c r="L135" s="18">
        <f t="shared" si="33"/>
        <v>0</v>
      </c>
      <c r="M135" s="79">
        <f t="shared" si="33"/>
        <v>0</v>
      </c>
      <c r="N135" s="71">
        <f t="shared" si="31"/>
        <v>0</v>
      </c>
      <c r="O135" s="77"/>
      <c r="Q135" s="45"/>
    </row>
    <row r="136" spans="1:17" ht="18">
      <c r="A136" s="196" t="s">
        <v>28</v>
      </c>
      <c r="B136" s="197"/>
      <c r="C136" s="123"/>
      <c r="D136" s="123"/>
      <c r="E136" s="40">
        <f>SUM(E109:E135)</f>
        <v>0</v>
      </c>
      <c r="F136" s="40">
        <f>SUM(F109:F135)</f>
        <v>0</v>
      </c>
      <c r="G136" s="39"/>
      <c r="H136" s="39"/>
      <c r="I136" s="40">
        <f>SUM(I109:I135)</f>
        <v>467.57999999999993</v>
      </c>
      <c r="J136" s="40">
        <f>SUM(J109:J135)</f>
        <v>333</v>
      </c>
      <c r="K136" s="145"/>
      <c r="L136" s="146">
        <f>SUM(L109:L135)</f>
        <v>467.57999999999993</v>
      </c>
      <c r="M136" s="147">
        <f>SUM(M109:M135)</f>
        <v>333</v>
      </c>
      <c r="N136" s="34"/>
      <c r="O136" s="37"/>
      <c r="P136" s="72"/>
    </row>
    <row r="137" spans="1:17" ht="21.6" thickBot="1">
      <c r="A137" s="148"/>
      <c r="B137" s="149"/>
      <c r="C137" s="149"/>
      <c r="D137" s="149"/>
      <c r="E137" s="149" t="s">
        <v>139</v>
      </c>
      <c r="F137" s="150">
        <f>F17+F23+F32+F38+F44+G105+F136</f>
        <v>0</v>
      </c>
      <c r="G137" s="149"/>
      <c r="H137" s="149"/>
      <c r="I137" s="151" t="s">
        <v>140</v>
      </c>
      <c r="J137" s="150">
        <f>J17+J23+J32+J38+J44+M105+J136</f>
        <v>333</v>
      </c>
      <c r="K137" s="198" t="s">
        <v>141</v>
      </c>
      <c r="L137" s="198"/>
      <c r="M137" s="198"/>
      <c r="N137" s="198"/>
      <c r="O137" s="152"/>
    </row>
    <row r="138" spans="1:17" ht="15">
      <c r="B138" s="153"/>
      <c r="C138" s="152"/>
      <c r="D138" s="152"/>
      <c r="E138" s="152"/>
      <c r="F138" s="152"/>
      <c r="G138" s="152"/>
      <c r="H138" s="152"/>
      <c r="I138" s="152"/>
      <c r="J138" s="154"/>
      <c r="K138" s="155" t="s">
        <v>142</v>
      </c>
      <c r="L138" s="199">
        <f>N2</f>
        <v>46205</v>
      </c>
      <c r="M138" s="200"/>
      <c r="N138" s="156"/>
      <c r="O138" s="157">
        <f>M136-N144</f>
        <v>333</v>
      </c>
    </row>
    <row r="139" spans="1:17" ht="18">
      <c r="B139" s="158" t="s">
        <v>143</v>
      </c>
      <c r="C139" s="159">
        <f>F137</f>
        <v>0</v>
      </c>
      <c r="D139" s="160"/>
      <c r="E139" s="160"/>
      <c r="F139" s="159"/>
      <c r="G139" s="160"/>
      <c r="H139" s="160"/>
      <c r="I139" s="160"/>
      <c r="J139" s="45"/>
      <c r="K139" s="188" t="s">
        <v>144</v>
      </c>
      <c r="L139" s="189"/>
      <c r="M139" s="190"/>
      <c r="N139" s="161">
        <f>P105</f>
        <v>0</v>
      </c>
      <c r="O139" s="152"/>
    </row>
    <row r="140" spans="1:17" ht="18">
      <c r="B140" s="158" t="s">
        <v>145</v>
      </c>
      <c r="C140" s="159">
        <f>J137</f>
        <v>333</v>
      </c>
      <c r="D140" s="160"/>
      <c r="E140" s="160"/>
      <c r="F140" s="159"/>
      <c r="G140" s="159"/>
      <c r="H140" s="160"/>
      <c r="I140" s="160"/>
      <c r="J140" s="45"/>
      <c r="K140" s="188" t="s">
        <v>146</v>
      </c>
      <c r="L140" s="189"/>
      <c r="M140" s="190"/>
      <c r="N140" s="161">
        <f>M17</f>
        <v>0</v>
      </c>
      <c r="O140" s="152"/>
    </row>
    <row r="141" spans="1:17" ht="18">
      <c r="B141" s="158" t="s">
        <v>28</v>
      </c>
      <c r="C141" s="159">
        <f>C139+C140</f>
        <v>333</v>
      </c>
      <c r="D141" s="160"/>
      <c r="E141" s="160"/>
      <c r="F141" s="160"/>
      <c r="G141" s="159"/>
      <c r="H141" s="160"/>
      <c r="I141" s="160"/>
      <c r="K141" s="188" t="s">
        <v>147</v>
      </c>
      <c r="L141" s="189"/>
      <c r="M141" s="190"/>
      <c r="N141" s="161">
        <f>M32</f>
        <v>0</v>
      </c>
    </row>
    <row r="142" spans="1:17" ht="18">
      <c r="C142" s="45"/>
      <c r="D142" s="45"/>
      <c r="E142" s="45"/>
      <c r="F142" s="45"/>
      <c r="G142" s="45"/>
      <c r="H142" s="160" t="s">
        <v>94</v>
      </c>
      <c r="I142" s="45"/>
      <c r="K142" s="188" t="s">
        <v>148</v>
      </c>
      <c r="L142" s="189"/>
      <c r="M142" s="190"/>
      <c r="N142" s="161">
        <f>M38</f>
        <v>0</v>
      </c>
    </row>
    <row r="143" spans="1:17" ht="25.2" customHeight="1">
      <c r="B143" s="162" t="s">
        <v>149</v>
      </c>
      <c r="C143" s="193"/>
      <c r="D143" s="193"/>
      <c r="E143" s="193"/>
      <c r="F143" s="193"/>
      <c r="G143" s="193"/>
      <c r="H143" s="193"/>
      <c r="I143" s="193"/>
      <c r="J143" s="193"/>
      <c r="K143" s="188" t="s">
        <v>150</v>
      </c>
      <c r="L143" s="189"/>
      <c r="M143" s="190"/>
      <c r="N143" s="161">
        <f>M44</f>
        <v>0</v>
      </c>
    </row>
    <row r="144" spans="1:17" ht="18">
      <c r="C144" s="45"/>
      <c r="D144" s="45"/>
      <c r="E144" s="26"/>
      <c r="F144" s="26"/>
      <c r="G144" s="45"/>
      <c r="H144" s="160"/>
      <c r="I144" s="45"/>
      <c r="K144" s="188" t="s">
        <v>151</v>
      </c>
      <c r="L144" s="189"/>
      <c r="M144" s="190"/>
      <c r="N144" s="161">
        <f>M113+M114+M115+M116</f>
        <v>0</v>
      </c>
    </row>
    <row r="145" spans="1:16" ht="18">
      <c r="E145" s="38"/>
      <c r="F145" s="45"/>
      <c r="G145" s="45"/>
      <c r="H145" s="160"/>
      <c r="I145" s="45"/>
      <c r="K145" s="188" t="s">
        <v>152</v>
      </c>
      <c r="L145" s="189"/>
      <c r="M145" s="190"/>
      <c r="N145" s="161">
        <f>O138</f>
        <v>333</v>
      </c>
    </row>
    <row r="146" spans="1:16" ht="18.600000000000001" thickBot="1">
      <c r="C146" s="38"/>
      <c r="D146" s="38"/>
      <c r="G146" s="163"/>
      <c r="H146" s="160"/>
      <c r="K146" s="188" t="s">
        <v>153</v>
      </c>
      <c r="L146" s="189"/>
      <c r="M146" s="190"/>
      <c r="N146" s="164">
        <f>M23</f>
        <v>0</v>
      </c>
      <c r="P146" s="38"/>
    </row>
    <row r="147" spans="1:16" ht="16.8" thickBot="1">
      <c r="C147" s="38"/>
      <c r="D147" s="38"/>
      <c r="E147" s="38"/>
      <c r="F147" s="38"/>
      <c r="H147" s="38"/>
      <c r="K147" s="191" t="s">
        <v>154</v>
      </c>
      <c r="L147" s="192"/>
      <c r="M147" s="192"/>
      <c r="N147" s="165">
        <f>SUM(N139:N146)</f>
        <v>333</v>
      </c>
    </row>
    <row r="148" spans="1:16">
      <c r="C148" s="38"/>
      <c r="D148" s="38"/>
      <c r="E148" s="159"/>
      <c r="F148" s="159"/>
      <c r="H148" s="38"/>
      <c r="I148" s="38"/>
    </row>
    <row r="149" spans="1:16">
      <c r="C149" s="38"/>
      <c r="D149" s="38"/>
      <c r="E149" s="38"/>
      <c r="F149" s="38"/>
      <c r="H149" s="160"/>
    </row>
    <row r="150" spans="1:16">
      <c r="A150" s="159"/>
      <c r="B150" s="159"/>
      <c r="C150" s="159"/>
      <c r="D150" s="159"/>
      <c r="E150" s="159"/>
      <c r="F150" s="159"/>
      <c r="G150" s="38"/>
      <c r="H150" s="38"/>
      <c r="N150" s="45"/>
    </row>
    <row r="151" spans="1:16">
      <c r="A151" s="159"/>
    </row>
  </sheetData>
  <mergeCells count="72">
    <mergeCell ref="K146:M146"/>
    <mergeCell ref="K147:M147"/>
    <mergeCell ref="K141:M141"/>
    <mergeCell ref="K142:M142"/>
    <mergeCell ref="C143:J143"/>
    <mergeCell ref="K143:M143"/>
    <mergeCell ref="K144:M144"/>
    <mergeCell ref="K145:M145"/>
    <mergeCell ref="K140:M140"/>
    <mergeCell ref="O46:O47"/>
    <mergeCell ref="P46:P47"/>
    <mergeCell ref="Q46:Q47"/>
    <mergeCell ref="R46:R47"/>
    <mergeCell ref="A106:L106"/>
    <mergeCell ref="A107:A108"/>
    <mergeCell ref="B107:B108"/>
    <mergeCell ref="C107:G107"/>
    <mergeCell ref="H107:K107"/>
    <mergeCell ref="M107:M108"/>
    <mergeCell ref="N107:N108"/>
    <mergeCell ref="A136:B136"/>
    <mergeCell ref="K137:N137"/>
    <mergeCell ref="L138:M138"/>
    <mergeCell ref="K139:M139"/>
    <mergeCell ref="M40:M41"/>
    <mergeCell ref="N40:N41"/>
    <mergeCell ref="A44:B44"/>
    <mergeCell ref="A45:L45"/>
    <mergeCell ref="A46:A47"/>
    <mergeCell ref="B46:B47"/>
    <mergeCell ref="C46:H46"/>
    <mergeCell ref="I46:N46"/>
    <mergeCell ref="A38:B38"/>
    <mergeCell ref="A39:L39"/>
    <mergeCell ref="A40:A41"/>
    <mergeCell ref="B40:B41"/>
    <mergeCell ref="C40:G40"/>
    <mergeCell ref="H40:K40"/>
    <mergeCell ref="M25:M26"/>
    <mergeCell ref="N25:N26"/>
    <mergeCell ref="A32:B32"/>
    <mergeCell ref="A33:L33"/>
    <mergeCell ref="A34:A35"/>
    <mergeCell ref="B34:B35"/>
    <mergeCell ref="C34:G34"/>
    <mergeCell ref="H34:K34"/>
    <mergeCell ref="M34:M35"/>
    <mergeCell ref="N34:N35"/>
    <mergeCell ref="A23:B23"/>
    <mergeCell ref="A24:L24"/>
    <mergeCell ref="A25:A26"/>
    <mergeCell ref="B25:B26"/>
    <mergeCell ref="C25:G25"/>
    <mergeCell ref="H25:K25"/>
    <mergeCell ref="O3:O4"/>
    <mergeCell ref="P3:P4"/>
    <mergeCell ref="A17:B17"/>
    <mergeCell ref="A18:L18"/>
    <mergeCell ref="A19:A20"/>
    <mergeCell ref="B19:B20"/>
    <mergeCell ref="C19:G19"/>
    <mergeCell ref="H19:K19"/>
    <mergeCell ref="M19:M20"/>
    <mergeCell ref="N19:N20"/>
    <mergeCell ref="A1:N1"/>
    <mergeCell ref="A2:L2"/>
    <mergeCell ref="A3:A4"/>
    <mergeCell ref="B3:B4"/>
    <mergeCell ref="C3:G3"/>
    <mergeCell ref="H3:L3"/>
    <mergeCell ref="M3:M4"/>
    <mergeCell ref="N3:N4"/>
  </mergeCells>
  <conditionalFormatting sqref="N6:N14 N15:O15 N16:N18 N21:N22 N27:N31 N36:N37 N42:N43">
    <cfRule type="cellIs" dxfId="49" priority="2" operator="greaterThan">
      <formula>40</formula>
    </cfRule>
  </conditionalFormatting>
  <conditionalFormatting sqref="Q48:Q105">
    <cfRule type="cellIs" dxfId="48" priority="1" operator="lessThan">
      <formula>0.5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30265-2567-4517-9AA1-0261057C3E93}">
  <dimension ref="A1:AA151"/>
  <sheetViews>
    <sheetView zoomScale="74" zoomScaleNormal="74" workbookViewId="0">
      <pane ySplit="1" topLeftCell="A56" activePane="bottomLeft" state="frozen"/>
      <selection pane="bottomLeft" activeCell="N12" sqref="N12"/>
    </sheetView>
  </sheetViews>
  <sheetFormatPr defaultColWidth="9" defaultRowHeight="14.4"/>
  <cols>
    <col min="1" max="1" width="8.5546875" customWidth="1"/>
    <col min="2" max="2" width="29.44140625" bestFit="1" customWidth="1"/>
    <col min="3" max="3" width="11.6640625" customWidth="1"/>
    <col min="4" max="4" width="8.77734375" customWidth="1"/>
    <col min="5" max="5" width="9.77734375" customWidth="1"/>
    <col min="6" max="6" width="13.6640625" customWidth="1"/>
    <col min="7" max="7" width="10" customWidth="1"/>
    <col min="8" max="8" width="9.77734375" customWidth="1"/>
    <col min="9" max="9" width="12.77734375" bestFit="1" customWidth="1"/>
    <col min="10" max="10" width="10.6640625" bestFit="1" customWidth="1"/>
    <col min="11" max="11" width="15.77734375" customWidth="1"/>
    <col min="12" max="12" width="10.77734375" customWidth="1"/>
    <col min="13" max="13" width="12.5546875" customWidth="1"/>
    <col min="14" max="14" width="17.88671875" customWidth="1"/>
    <col min="15" max="15" width="12" customWidth="1"/>
    <col min="16" max="16" width="10.44140625" customWidth="1"/>
    <col min="17" max="17" width="11.109375" bestFit="1" customWidth="1"/>
    <col min="19" max="19" width="9.21875" bestFit="1" customWidth="1"/>
    <col min="20" max="20" width="8.21875" bestFit="1" customWidth="1"/>
    <col min="21" max="22" width="11.21875" customWidth="1"/>
  </cols>
  <sheetData>
    <row r="1" spans="1:22" ht="18.600000000000001" thickBot="1">
      <c r="A1" s="249" t="s">
        <v>0</v>
      </c>
      <c r="B1" s="249"/>
      <c r="C1" s="249"/>
      <c r="D1" s="249"/>
      <c r="E1" s="249"/>
      <c r="F1" s="249"/>
      <c r="G1" s="249"/>
      <c r="H1" s="249"/>
      <c r="I1" s="249"/>
      <c r="J1" s="249"/>
      <c r="K1" s="249"/>
      <c r="L1" s="249"/>
      <c r="M1" s="249"/>
      <c r="N1" s="249"/>
      <c r="O1" s="1"/>
      <c r="V1" s="2"/>
    </row>
    <row r="2" spans="1:22" ht="19.8" customHeight="1" thickBot="1">
      <c r="A2" s="250" t="s">
        <v>1</v>
      </c>
      <c r="B2" s="251"/>
      <c r="C2" s="252"/>
      <c r="D2" s="252"/>
      <c r="E2" s="252"/>
      <c r="F2" s="252"/>
      <c r="G2" s="252"/>
      <c r="H2" s="252"/>
      <c r="I2" s="252"/>
      <c r="J2" s="252"/>
      <c r="K2" s="252"/>
      <c r="L2" s="251"/>
      <c r="M2" s="3" t="s">
        <v>2</v>
      </c>
      <c r="N2" s="4">
        <v>46206</v>
      </c>
      <c r="O2" s="1"/>
    </row>
    <row r="3" spans="1:22" ht="18" customHeight="1">
      <c r="A3" s="209" t="s">
        <v>3</v>
      </c>
      <c r="B3" s="211" t="s">
        <v>4</v>
      </c>
      <c r="C3" s="213" t="s">
        <v>5</v>
      </c>
      <c r="D3" s="214"/>
      <c r="E3" s="214"/>
      <c r="F3" s="214"/>
      <c r="G3" s="215"/>
      <c r="H3" s="253" t="s">
        <v>6</v>
      </c>
      <c r="I3" s="254"/>
      <c r="J3" s="254"/>
      <c r="K3" s="254"/>
      <c r="L3" s="255"/>
      <c r="M3" s="219" t="s">
        <v>7</v>
      </c>
      <c r="N3" s="194" t="s">
        <v>8</v>
      </c>
      <c r="O3" s="243" t="s">
        <v>9</v>
      </c>
      <c r="P3" s="222" t="s">
        <v>10</v>
      </c>
    </row>
    <row r="4" spans="1:22" ht="22.8" customHeight="1">
      <c r="A4" s="247"/>
      <c r="B4" s="248"/>
      <c r="C4" s="6" t="s">
        <v>11</v>
      </c>
      <c r="D4" s="6" t="s">
        <v>12</v>
      </c>
      <c r="E4" s="6" t="s">
        <v>13</v>
      </c>
      <c r="F4" s="6" t="s">
        <v>14</v>
      </c>
      <c r="G4" s="6" t="s">
        <v>8</v>
      </c>
      <c r="H4" s="6" t="s">
        <v>12</v>
      </c>
      <c r="I4" s="6" t="s">
        <v>13</v>
      </c>
      <c r="J4" s="6" t="s">
        <v>14</v>
      </c>
      <c r="K4" s="7" t="s">
        <v>8</v>
      </c>
      <c r="L4" s="8" t="s">
        <v>15</v>
      </c>
      <c r="M4" s="236"/>
      <c r="N4" s="237"/>
      <c r="O4" s="248"/>
      <c r="P4" s="243"/>
    </row>
    <row r="5" spans="1:22" ht="22.8" customHeight="1">
      <c r="A5" s="5">
        <v>1</v>
      </c>
      <c r="B5" s="9" t="s">
        <v>16</v>
      </c>
      <c r="C5" s="2">
        <v>31926.9</v>
      </c>
      <c r="D5" s="2">
        <v>31926.9</v>
      </c>
      <c r="E5" s="2">
        <f>D5-C5</f>
        <v>0</v>
      </c>
      <c r="F5" s="2">
        <v>0</v>
      </c>
      <c r="G5" s="10">
        <f>IFERROR(F5/E5,0)</f>
        <v>0</v>
      </c>
      <c r="H5" s="2">
        <v>31943.4</v>
      </c>
      <c r="I5" s="167">
        <f>H5-D5</f>
        <v>16.5</v>
      </c>
      <c r="J5" s="2">
        <v>478</v>
      </c>
      <c r="K5" s="11">
        <f>IFERROR(J5/I5,0)</f>
        <v>28.969696969696969</v>
      </c>
      <c r="L5" s="12">
        <f>E5+I5</f>
        <v>16.5</v>
      </c>
      <c r="M5" s="13">
        <f>F5+J5</f>
        <v>478</v>
      </c>
      <c r="N5" s="14">
        <f>IFERROR(M5/L5,0)</f>
        <v>28.969696969696969</v>
      </c>
      <c r="O5" s="2">
        <v>0</v>
      </c>
      <c r="P5" s="5"/>
    </row>
    <row r="6" spans="1:22" ht="24" customHeight="1">
      <c r="A6" s="15">
        <v>2</v>
      </c>
      <c r="B6" s="16" t="s">
        <v>17</v>
      </c>
      <c r="C6" s="17">
        <v>32493.3</v>
      </c>
      <c r="D6" s="17">
        <v>32493.3</v>
      </c>
      <c r="E6" s="17">
        <f t="shared" ref="E6:E16" si="0">D6-C6</f>
        <v>0</v>
      </c>
      <c r="F6" s="18">
        <v>0</v>
      </c>
      <c r="G6" s="10">
        <f>IFERROR(F6/E6,0)</f>
        <v>0</v>
      </c>
      <c r="H6" s="17">
        <v>32493.3</v>
      </c>
      <c r="I6" s="19">
        <f t="shared" ref="I6:I13" si="1">H6-D6</f>
        <v>0</v>
      </c>
      <c r="J6" s="20">
        <v>0</v>
      </c>
      <c r="K6" s="21">
        <f>IFERROR(J6/I6,0)</f>
        <v>0</v>
      </c>
      <c r="L6" s="18">
        <f>E6+I6</f>
        <v>0</v>
      </c>
      <c r="M6" s="22">
        <f>F6+J6</f>
        <v>0</v>
      </c>
      <c r="N6" s="23">
        <f>IFERROR(M6/L6,0)</f>
        <v>0</v>
      </c>
      <c r="O6" s="24">
        <v>0</v>
      </c>
      <c r="P6" s="25"/>
      <c r="Q6" s="26"/>
    </row>
    <row r="7" spans="1:22" ht="25.8" customHeight="1">
      <c r="A7" s="27">
        <v>3</v>
      </c>
      <c r="B7" s="16" t="s">
        <v>18</v>
      </c>
      <c r="C7" s="17">
        <v>24509</v>
      </c>
      <c r="D7" s="17">
        <v>24509</v>
      </c>
      <c r="E7" s="17">
        <f t="shared" si="0"/>
        <v>0</v>
      </c>
      <c r="F7" s="18">
        <v>0</v>
      </c>
      <c r="G7" s="10">
        <f t="shared" ref="G7:G12" si="2">IFERROR(F7/E7,0)</f>
        <v>0</v>
      </c>
      <c r="H7" s="17">
        <v>24509</v>
      </c>
      <c r="I7" s="19">
        <f t="shared" si="1"/>
        <v>0</v>
      </c>
      <c r="J7" s="20">
        <v>0</v>
      </c>
      <c r="K7" s="28">
        <f t="shared" ref="K7:K13" si="3">IFERROR(J7/I7,0)</f>
        <v>0</v>
      </c>
      <c r="L7" s="18">
        <f t="shared" ref="L7:M15" si="4">E7+I7</f>
        <v>0</v>
      </c>
      <c r="M7" s="22">
        <f t="shared" si="4"/>
        <v>0</v>
      </c>
      <c r="N7" s="23">
        <f t="shared" ref="N7:N16" si="5">IFERROR(M7/L7,0)</f>
        <v>0</v>
      </c>
      <c r="O7" s="29">
        <v>0</v>
      </c>
      <c r="P7" s="30"/>
      <c r="Q7" s="26"/>
      <c r="S7" s="26"/>
    </row>
    <row r="8" spans="1:22" ht="25.8" customHeight="1">
      <c r="A8" s="15">
        <v>4</v>
      </c>
      <c r="B8" s="31" t="s">
        <v>19</v>
      </c>
      <c r="C8" s="17">
        <v>32463.4</v>
      </c>
      <c r="D8" s="17">
        <v>32463.4</v>
      </c>
      <c r="E8" s="17">
        <f t="shared" si="0"/>
        <v>0</v>
      </c>
      <c r="F8" s="32">
        <v>0</v>
      </c>
      <c r="G8" s="10">
        <f t="shared" si="2"/>
        <v>0</v>
      </c>
      <c r="H8" s="17">
        <v>32463.4</v>
      </c>
      <c r="I8" s="19">
        <f t="shared" si="1"/>
        <v>0</v>
      </c>
      <c r="J8" s="33">
        <v>0</v>
      </c>
      <c r="K8" s="28">
        <f t="shared" si="3"/>
        <v>0</v>
      </c>
      <c r="L8" s="18">
        <f t="shared" si="4"/>
        <v>0</v>
      </c>
      <c r="M8" s="22">
        <f t="shared" si="4"/>
        <v>0</v>
      </c>
      <c r="N8" s="23">
        <f t="shared" si="5"/>
        <v>0</v>
      </c>
      <c r="O8" s="29">
        <v>0</v>
      </c>
      <c r="P8" s="30"/>
      <c r="Q8" s="26"/>
      <c r="S8" s="26"/>
    </row>
    <row r="9" spans="1:22" ht="25.8" customHeight="1">
      <c r="A9" s="27">
        <v>5</v>
      </c>
      <c r="B9" s="16" t="s">
        <v>20</v>
      </c>
      <c r="C9" s="17">
        <v>33398.199999999997</v>
      </c>
      <c r="D9" s="17">
        <v>33398.199999999997</v>
      </c>
      <c r="E9" s="17">
        <f t="shared" si="0"/>
        <v>0</v>
      </c>
      <c r="F9" s="34">
        <v>0</v>
      </c>
      <c r="G9" s="10">
        <f t="shared" si="2"/>
        <v>0</v>
      </c>
      <c r="H9" s="17">
        <v>33398.199999999997</v>
      </c>
      <c r="I9" s="19">
        <f t="shared" si="1"/>
        <v>0</v>
      </c>
      <c r="J9" s="33">
        <v>0</v>
      </c>
      <c r="K9" s="28">
        <f t="shared" si="3"/>
        <v>0</v>
      </c>
      <c r="L9" s="18">
        <f t="shared" si="4"/>
        <v>0</v>
      </c>
      <c r="M9" s="22">
        <f t="shared" si="4"/>
        <v>0</v>
      </c>
      <c r="N9" s="23">
        <f t="shared" si="5"/>
        <v>0</v>
      </c>
      <c r="O9" s="29">
        <v>0</v>
      </c>
      <c r="P9" s="30"/>
      <c r="Q9" s="26"/>
      <c r="S9" s="26"/>
    </row>
    <row r="10" spans="1:22" ht="22.8" customHeight="1">
      <c r="A10" s="15">
        <v>6</v>
      </c>
      <c r="B10" s="16" t="s">
        <v>21</v>
      </c>
      <c r="C10" s="17">
        <v>27893.1</v>
      </c>
      <c r="D10" s="17">
        <v>27893.1</v>
      </c>
      <c r="E10" s="17">
        <f t="shared" si="0"/>
        <v>0</v>
      </c>
      <c r="F10" s="32">
        <v>0</v>
      </c>
      <c r="G10" s="10">
        <f t="shared" si="2"/>
        <v>0</v>
      </c>
      <c r="H10" s="17">
        <v>27893.1</v>
      </c>
      <c r="I10" s="19">
        <f t="shared" si="1"/>
        <v>0</v>
      </c>
      <c r="J10" s="20">
        <v>0</v>
      </c>
      <c r="K10" s="28">
        <f t="shared" si="3"/>
        <v>0</v>
      </c>
      <c r="L10" s="18">
        <f t="shared" si="4"/>
        <v>0</v>
      </c>
      <c r="M10" s="22">
        <f t="shared" si="4"/>
        <v>0</v>
      </c>
      <c r="N10" s="23">
        <f t="shared" si="5"/>
        <v>0</v>
      </c>
      <c r="O10" s="29">
        <v>0</v>
      </c>
      <c r="P10" s="30"/>
      <c r="Q10" s="26"/>
      <c r="S10" s="26"/>
    </row>
    <row r="11" spans="1:22" ht="22.8" customHeight="1">
      <c r="A11" s="27">
        <v>7</v>
      </c>
      <c r="B11" s="31" t="s">
        <v>22</v>
      </c>
      <c r="C11" s="35">
        <v>27281.200000000001</v>
      </c>
      <c r="D11" s="35">
        <v>27281.200000000001</v>
      </c>
      <c r="E11" s="17">
        <f t="shared" si="0"/>
        <v>0</v>
      </c>
      <c r="F11" s="32">
        <v>0</v>
      </c>
      <c r="G11" s="10">
        <f t="shared" si="2"/>
        <v>0</v>
      </c>
      <c r="H11" s="35">
        <v>27281.200000000001</v>
      </c>
      <c r="I11" s="19">
        <f t="shared" si="1"/>
        <v>0</v>
      </c>
      <c r="J11" s="33">
        <v>0</v>
      </c>
      <c r="K11" s="28">
        <f t="shared" si="3"/>
        <v>0</v>
      </c>
      <c r="L11" s="18">
        <f t="shared" si="4"/>
        <v>0</v>
      </c>
      <c r="M11" s="22">
        <f t="shared" si="4"/>
        <v>0</v>
      </c>
      <c r="N11" s="23">
        <f t="shared" si="5"/>
        <v>0</v>
      </c>
      <c r="O11" s="29">
        <v>0</v>
      </c>
      <c r="P11" s="30"/>
      <c r="Q11" s="26"/>
      <c r="S11" s="26"/>
    </row>
    <row r="12" spans="1:22" ht="24" customHeight="1">
      <c r="A12" s="15">
        <v>8</v>
      </c>
      <c r="B12" s="31" t="s">
        <v>23</v>
      </c>
      <c r="C12" s="17">
        <v>22437.59</v>
      </c>
      <c r="D12" s="17">
        <v>22437.59</v>
      </c>
      <c r="E12" s="17">
        <f t="shared" si="0"/>
        <v>0</v>
      </c>
      <c r="F12" s="34">
        <v>0</v>
      </c>
      <c r="G12" s="10">
        <f t="shared" si="2"/>
        <v>0</v>
      </c>
      <c r="H12" s="17">
        <v>22437.59</v>
      </c>
      <c r="I12" s="19">
        <f t="shared" si="1"/>
        <v>0</v>
      </c>
      <c r="J12" s="20">
        <v>0</v>
      </c>
      <c r="K12" s="28">
        <f t="shared" si="3"/>
        <v>0</v>
      </c>
      <c r="L12" s="18">
        <f t="shared" si="4"/>
        <v>0</v>
      </c>
      <c r="M12" s="22">
        <f t="shared" si="4"/>
        <v>0</v>
      </c>
      <c r="N12" s="23">
        <f t="shared" si="5"/>
        <v>0</v>
      </c>
      <c r="O12" s="29">
        <v>0</v>
      </c>
      <c r="P12" s="36"/>
      <c r="Q12" s="26"/>
      <c r="S12" s="26"/>
    </row>
    <row r="13" spans="1:22" ht="24" customHeight="1">
      <c r="A13" s="27">
        <v>9</v>
      </c>
      <c r="B13" s="31" t="s">
        <v>24</v>
      </c>
      <c r="C13" s="17">
        <v>22446.959999999999</v>
      </c>
      <c r="D13" s="17">
        <v>22446.959999999999</v>
      </c>
      <c r="E13" s="17">
        <f t="shared" si="0"/>
        <v>0</v>
      </c>
      <c r="F13" s="32">
        <v>0</v>
      </c>
      <c r="G13" s="10">
        <f>IFERROR(F13/E13,0)</f>
        <v>0</v>
      </c>
      <c r="H13" s="17">
        <v>22446.959999999999</v>
      </c>
      <c r="I13" s="19">
        <f t="shared" si="1"/>
        <v>0</v>
      </c>
      <c r="J13" s="20">
        <v>0</v>
      </c>
      <c r="K13" s="28">
        <f t="shared" si="3"/>
        <v>0</v>
      </c>
      <c r="L13" s="18">
        <f t="shared" si="4"/>
        <v>0</v>
      </c>
      <c r="M13" s="22">
        <f t="shared" si="4"/>
        <v>0</v>
      </c>
      <c r="N13" s="23">
        <f t="shared" si="5"/>
        <v>0</v>
      </c>
      <c r="O13" s="29">
        <v>0</v>
      </c>
      <c r="P13" s="37"/>
      <c r="Q13" s="26"/>
      <c r="S13" s="26"/>
    </row>
    <row r="14" spans="1:22" ht="24" customHeight="1">
      <c r="A14" s="15">
        <v>10</v>
      </c>
      <c r="B14" s="31" t="s">
        <v>25</v>
      </c>
      <c r="C14" s="17">
        <v>19893.240000000002</v>
      </c>
      <c r="D14" s="17">
        <v>19893.240000000002</v>
      </c>
      <c r="E14" s="17">
        <f t="shared" si="0"/>
        <v>0</v>
      </c>
      <c r="F14" s="32">
        <v>0</v>
      </c>
      <c r="G14" s="10">
        <f>IFERROR(F14/E14,0)</f>
        <v>0</v>
      </c>
      <c r="H14" s="17">
        <v>19893.240000000002</v>
      </c>
      <c r="I14" s="19">
        <f>H14-D14</f>
        <v>0</v>
      </c>
      <c r="J14" s="20">
        <v>0</v>
      </c>
      <c r="K14" s="28">
        <f>IFERROR(J14/I14,0)</f>
        <v>0</v>
      </c>
      <c r="L14" s="18">
        <f>E14+I14</f>
        <v>0</v>
      </c>
      <c r="M14" s="22">
        <f t="shared" si="4"/>
        <v>0</v>
      </c>
      <c r="N14" s="23">
        <f t="shared" si="5"/>
        <v>0</v>
      </c>
      <c r="O14" s="29">
        <v>0</v>
      </c>
      <c r="P14" s="37"/>
      <c r="Q14" s="26"/>
      <c r="S14" s="26"/>
      <c r="T14" s="38"/>
    </row>
    <row r="15" spans="1:22" ht="24" customHeight="1">
      <c r="A15" s="166">
        <v>11</v>
      </c>
      <c r="B15" s="31" t="s">
        <v>27</v>
      </c>
      <c r="C15" s="17">
        <v>18190.3</v>
      </c>
      <c r="D15" s="17">
        <v>18190.3</v>
      </c>
      <c r="E15" s="17">
        <f t="shared" si="0"/>
        <v>0</v>
      </c>
      <c r="F15" s="18">
        <v>0</v>
      </c>
      <c r="G15" s="10">
        <f>IFERROR(F15/E15,0)</f>
        <v>0</v>
      </c>
      <c r="H15" s="17">
        <v>18190.3</v>
      </c>
      <c r="I15" s="19">
        <f t="shared" ref="I15" si="6">H15-D15</f>
        <v>0</v>
      </c>
      <c r="J15" s="20">
        <v>0</v>
      </c>
      <c r="K15" s="28">
        <f t="shared" ref="K15" si="7">IFERROR(J15/I15,0)</f>
        <v>0</v>
      </c>
      <c r="L15" s="18">
        <f t="shared" ref="L15" si="8">E15+I15</f>
        <v>0</v>
      </c>
      <c r="M15" s="22">
        <f t="shared" si="4"/>
        <v>0</v>
      </c>
      <c r="N15" s="23">
        <f t="shared" si="5"/>
        <v>0</v>
      </c>
      <c r="O15" s="23">
        <v>0</v>
      </c>
      <c r="P15" s="37"/>
      <c r="Q15" s="26"/>
      <c r="S15" s="26"/>
      <c r="T15" s="38"/>
    </row>
    <row r="16" spans="1:22" ht="24" customHeight="1">
      <c r="A16" s="27">
        <v>12</v>
      </c>
      <c r="B16" s="31" t="s">
        <v>26</v>
      </c>
      <c r="C16" s="17">
        <v>15231.7</v>
      </c>
      <c r="D16" s="17">
        <v>15231.7</v>
      </c>
      <c r="E16" s="17">
        <f t="shared" si="0"/>
        <v>0</v>
      </c>
      <c r="F16" s="32">
        <v>0</v>
      </c>
      <c r="G16" s="10">
        <f>IFERROR(F16/E16,0)</f>
        <v>0</v>
      </c>
      <c r="H16" s="17">
        <v>15231.7</v>
      </c>
      <c r="I16" s="19">
        <f>H16-D16</f>
        <v>0</v>
      </c>
      <c r="J16" s="20">
        <v>0</v>
      </c>
      <c r="K16" s="28">
        <f>IFERROR(J16/I16,0)</f>
        <v>0</v>
      </c>
      <c r="L16" s="18">
        <f>E16+I16</f>
        <v>0</v>
      </c>
      <c r="M16" s="22">
        <f>F16+J16</f>
        <v>0</v>
      </c>
      <c r="N16" s="23">
        <f t="shared" si="5"/>
        <v>0</v>
      </c>
      <c r="O16" s="29">
        <v>0</v>
      </c>
      <c r="P16" s="37"/>
      <c r="Q16" s="26"/>
      <c r="S16" s="26"/>
      <c r="T16" s="38"/>
    </row>
    <row r="17" spans="1:20" ht="24" customHeight="1">
      <c r="A17" s="196" t="s">
        <v>28</v>
      </c>
      <c r="B17" s="197"/>
      <c r="C17" s="39"/>
      <c r="D17" s="39"/>
      <c r="E17" s="40">
        <f>SUM(E6:E16)</f>
        <v>0</v>
      </c>
      <c r="F17" s="41">
        <f>SUM(F5:F16)</f>
        <v>0</v>
      </c>
      <c r="G17" s="39"/>
      <c r="H17" s="39"/>
      <c r="I17" s="40">
        <f>SUM(I6:I16)</f>
        <v>0</v>
      </c>
      <c r="J17" s="41">
        <f>SUM(J5:J16)</f>
        <v>478</v>
      </c>
      <c r="K17" s="28">
        <f>IFERROR(J17/I17,0)</f>
        <v>0</v>
      </c>
      <c r="L17" s="42">
        <f>SUM(L6:L16)</f>
        <v>0</v>
      </c>
      <c r="M17" s="43">
        <f>SUM(M5:M16)</f>
        <v>478</v>
      </c>
      <c r="N17" s="23">
        <f>IFERROR(M17/L17,0)</f>
        <v>0</v>
      </c>
      <c r="O17" s="44">
        <f>SUM(O6:O16)</f>
        <v>0</v>
      </c>
      <c r="P17" s="45"/>
      <c r="S17" s="26"/>
    </row>
    <row r="18" spans="1:20" ht="18" customHeight="1" thickBot="1">
      <c r="A18" s="206" t="s">
        <v>29</v>
      </c>
      <c r="B18" s="207"/>
      <c r="C18" s="207"/>
      <c r="D18" s="207"/>
      <c r="E18" s="207"/>
      <c r="F18" s="207"/>
      <c r="G18" s="207"/>
      <c r="H18" s="207"/>
      <c r="I18" s="207"/>
      <c r="J18" s="207"/>
      <c r="K18" s="207"/>
      <c r="L18" s="208"/>
      <c r="M18" s="46"/>
      <c r="N18" s="47"/>
      <c r="O18" s="37"/>
    </row>
    <row r="19" spans="1:20" ht="22.8" customHeight="1">
      <c r="A19" s="209" t="s">
        <v>3</v>
      </c>
      <c r="B19" s="211" t="s">
        <v>4</v>
      </c>
      <c r="C19" s="234" t="s">
        <v>5</v>
      </c>
      <c r="D19" s="234"/>
      <c r="E19" s="234"/>
      <c r="F19" s="234"/>
      <c r="G19" s="234"/>
      <c r="H19" s="235" t="s">
        <v>6</v>
      </c>
      <c r="I19" s="235"/>
      <c r="J19" s="235"/>
      <c r="K19" s="235"/>
      <c r="L19" s="48"/>
      <c r="M19" s="219" t="s">
        <v>7</v>
      </c>
      <c r="N19" s="194" t="s">
        <v>8</v>
      </c>
      <c r="O19" s="37"/>
    </row>
    <row r="20" spans="1:20" s="51" customFormat="1" ht="24" customHeight="1" thickBot="1">
      <c r="A20" s="210"/>
      <c r="B20" s="212"/>
      <c r="C20" s="49" t="s">
        <v>11</v>
      </c>
      <c r="D20" s="49" t="s">
        <v>12</v>
      </c>
      <c r="E20" s="49" t="s">
        <v>13</v>
      </c>
      <c r="F20" s="2" t="s">
        <v>14</v>
      </c>
      <c r="G20" s="2" t="s">
        <v>8</v>
      </c>
      <c r="H20" s="49" t="s">
        <v>12</v>
      </c>
      <c r="I20" s="49" t="s">
        <v>13</v>
      </c>
      <c r="J20" s="49" t="s">
        <v>14</v>
      </c>
      <c r="K20" s="7" t="s">
        <v>8</v>
      </c>
      <c r="L20" s="50" t="s">
        <v>15</v>
      </c>
      <c r="M20" s="220"/>
      <c r="N20" s="195"/>
      <c r="O20" s="37"/>
      <c r="Q20"/>
      <c r="R20"/>
      <c r="S20"/>
      <c r="T20"/>
    </row>
    <row r="21" spans="1:20" s="51" customFormat="1" ht="24" customHeight="1">
      <c r="A21" s="27">
        <v>1</v>
      </c>
      <c r="B21" s="52" t="s">
        <v>30</v>
      </c>
      <c r="C21" s="6">
        <v>18710</v>
      </c>
      <c r="D21" s="6">
        <v>18710</v>
      </c>
      <c r="E21" s="53">
        <f>D21-C21</f>
        <v>0</v>
      </c>
      <c r="F21" s="54">
        <v>0</v>
      </c>
      <c r="G21" s="55">
        <f>IFERROR(F21/E21,0)</f>
        <v>0</v>
      </c>
      <c r="H21" s="6">
        <v>18721.3</v>
      </c>
      <c r="I21" s="56">
        <f>H21-D21</f>
        <v>11.299999999999272</v>
      </c>
      <c r="J21" s="54">
        <v>159</v>
      </c>
      <c r="K21" s="57">
        <f>IFERROR(J21/I21,0)</f>
        <v>14.070796460177897</v>
      </c>
      <c r="L21" s="58">
        <f>E21+I21</f>
        <v>11.299999999999272</v>
      </c>
      <c r="M21" s="59">
        <f t="shared" ref="M21:M22" si="9">F21+J21</f>
        <v>159</v>
      </c>
      <c r="N21" s="60">
        <f>IFERROR(M21/L21,0)</f>
        <v>14.070796460177897</v>
      </c>
      <c r="O21" s="61"/>
      <c r="Q21"/>
      <c r="R21"/>
      <c r="S21"/>
      <c r="T21"/>
    </row>
    <row r="22" spans="1:20" ht="24" customHeight="1">
      <c r="A22" s="62">
        <v>2</v>
      </c>
      <c r="B22" s="52" t="s">
        <v>31</v>
      </c>
      <c r="C22" s="63">
        <v>11113.1</v>
      </c>
      <c r="D22" s="63">
        <v>11113.1</v>
      </c>
      <c r="E22" s="53">
        <f>D22-C22</f>
        <v>0</v>
      </c>
      <c r="F22" s="54">
        <v>0</v>
      </c>
      <c r="G22" s="55">
        <f>IFERROR(F22/E22,0)</f>
        <v>0</v>
      </c>
      <c r="H22" s="63">
        <v>11113.1</v>
      </c>
      <c r="I22" s="64">
        <f>H22-D22</f>
        <v>0</v>
      </c>
      <c r="J22" s="54">
        <v>0</v>
      </c>
      <c r="K22" s="57">
        <f>IFERROR(J22/I22,0)</f>
        <v>0</v>
      </c>
      <c r="L22" s="58">
        <f>E22+I22</f>
        <v>0</v>
      </c>
      <c r="M22" s="59">
        <f t="shared" si="9"/>
        <v>0</v>
      </c>
      <c r="N22" s="60">
        <f>IFERROR(M22/L22,0)</f>
        <v>0</v>
      </c>
      <c r="O22" s="65"/>
    </row>
    <row r="23" spans="1:20" ht="24" customHeight="1" thickBot="1">
      <c r="A23" s="238" t="s">
        <v>28</v>
      </c>
      <c r="B23" s="239"/>
      <c r="C23" s="66"/>
      <c r="D23" s="66"/>
      <c r="E23" s="67">
        <f>SUM(E21:E22)</f>
        <v>0</v>
      </c>
      <c r="F23" s="67">
        <f>SUM(F21:F22)</f>
        <v>0</v>
      </c>
      <c r="G23" s="68"/>
      <c r="H23" s="68"/>
      <c r="I23" s="67">
        <f>SUM(I21:I22)</f>
        <v>11.299999999999272</v>
      </c>
      <c r="J23" s="67">
        <f>SUM(J21:J22)</f>
        <v>159</v>
      </c>
      <c r="K23" s="69">
        <f>SUM(K21:K22)</f>
        <v>14.070796460177897</v>
      </c>
      <c r="L23" s="70">
        <f>SUM(L21:L22)</f>
        <v>11.299999999999272</v>
      </c>
      <c r="M23" s="43">
        <f>SUM(M21:M22)</f>
        <v>159</v>
      </c>
      <c r="N23" s="71"/>
      <c r="O23" s="37"/>
      <c r="P23" s="72"/>
    </row>
    <row r="24" spans="1:20" ht="18" customHeight="1" thickBot="1">
      <c r="A24" s="245" t="s">
        <v>32</v>
      </c>
      <c r="B24" s="246"/>
      <c r="C24" s="226"/>
      <c r="D24" s="226"/>
      <c r="E24" s="226"/>
      <c r="F24" s="226"/>
      <c r="G24" s="226"/>
      <c r="H24" s="226"/>
      <c r="I24" s="226"/>
      <c r="J24" s="226"/>
      <c r="K24" s="226"/>
      <c r="L24" s="246"/>
      <c r="M24" s="46"/>
      <c r="N24" s="47"/>
      <c r="O24" s="37"/>
    </row>
    <row r="25" spans="1:20" ht="22.8" customHeight="1">
      <c r="A25" s="209" t="s">
        <v>3</v>
      </c>
      <c r="B25" s="211" t="s">
        <v>4</v>
      </c>
      <c r="C25" s="234" t="s">
        <v>5</v>
      </c>
      <c r="D25" s="234"/>
      <c r="E25" s="234"/>
      <c r="F25" s="234"/>
      <c r="G25" s="234"/>
      <c r="H25" s="235" t="s">
        <v>6</v>
      </c>
      <c r="I25" s="235"/>
      <c r="J25" s="235"/>
      <c r="K25" s="235"/>
      <c r="L25" s="48"/>
      <c r="M25" s="219" t="s">
        <v>7</v>
      </c>
      <c r="N25" s="194" t="s">
        <v>8</v>
      </c>
      <c r="O25" s="37"/>
      <c r="S25" s="51"/>
    </row>
    <row r="26" spans="1:20" ht="24" customHeight="1">
      <c r="A26" s="247"/>
      <c r="B26" s="248"/>
      <c r="C26" s="6" t="s">
        <v>11</v>
      </c>
      <c r="D26" s="6" t="s">
        <v>12</v>
      </c>
      <c r="E26" s="6" t="s">
        <v>13</v>
      </c>
      <c r="F26" s="6" t="s">
        <v>14</v>
      </c>
      <c r="G26" s="6" t="s">
        <v>8</v>
      </c>
      <c r="H26" s="6" t="s">
        <v>12</v>
      </c>
      <c r="I26" s="6" t="s">
        <v>13</v>
      </c>
      <c r="J26" s="6" t="s">
        <v>14</v>
      </c>
      <c r="K26" s="7" t="s">
        <v>8</v>
      </c>
      <c r="L26" s="73" t="s">
        <v>15</v>
      </c>
      <c r="M26" s="236"/>
      <c r="N26" s="237"/>
      <c r="O26" s="37"/>
      <c r="P26" s="74"/>
      <c r="S26" s="51"/>
      <c r="T26" s="75"/>
    </row>
    <row r="27" spans="1:20" ht="24" customHeight="1">
      <c r="A27" s="76">
        <v>1</v>
      </c>
      <c r="B27" s="31" t="s">
        <v>33</v>
      </c>
      <c r="C27" s="35">
        <v>21539.8</v>
      </c>
      <c r="D27" s="35">
        <v>21539.8</v>
      </c>
      <c r="E27" s="35">
        <f>D27-C27</f>
        <v>0</v>
      </c>
      <c r="F27" s="33">
        <v>0</v>
      </c>
      <c r="G27" s="10">
        <f t="shared" ref="G27:G31" si="10">IFERROR(F27/E27,0)</f>
        <v>0</v>
      </c>
      <c r="H27" s="35">
        <v>21539.8</v>
      </c>
      <c r="I27" s="56">
        <f>H27-D27</f>
        <v>0</v>
      </c>
      <c r="J27" s="33">
        <v>0</v>
      </c>
      <c r="K27" s="28">
        <f t="shared" ref="K27:K31" si="11">IFERROR(J27/I27,0)</f>
        <v>0</v>
      </c>
      <c r="L27" s="18">
        <f t="shared" ref="L27:M31" si="12">E27+I27</f>
        <v>0</v>
      </c>
      <c r="M27" s="22">
        <f t="shared" si="12"/>
        <v>0</v>
      </c>
      <c r="N27" s="23">
        <f>IFERROR(M27/L27,0)</f>
        <v>0</v>
      </c>
      <c r="O27" s="37"/>
    </row>
    <row r="28" spans="1:20" ht="24" customHeight="1">
      <c r="A28" s="76">
        <v>2</v>
      </c>
      <c r="B28" s="31" t="s">
        <v>34</v>
      </c>
      <c r="C28" s="35">
        <v>20945.099999999999</v>
      </c>
      <c r="D28" s="35">
        <v>20945.099999999999</v>
      </c>
      <c r="E28" s="35">
        <f>D28-C28</f>
        <v>0</v>
      </c>
      <c r="F28" s="33">
        <v>0</v>
      </c>
      <c r="G28" s="10">
        <f t="shared" si="10"/>
        <v>0</v>
      </c>
      <c r="H28" s="35">
        <v>20945.099999999999</v>
      </c>
      <c r="I28" s="56">
        <f>H28-D28</f>
        <v>0</v>
      </c>
      <c r="J28" s="33">
        <v>0</v>
      </c>
      <c r="K28" s="28">
        <f>IFERROR(J28/I28,0)</f>
        <v>0</v>
      </c>
      <c r="L28" s="18">
        <f t="shared" si="12"/>
        <v>0</v>
      </c>
      <c r="M28" s="22">
        <f t="shared" si="12"/>
        <v>0</v>
      </c>
      <c r="N28" s="23">
        <f>IFERROR(M28/L28,0)</f>
        <v>0</v>
      </c>
      <c r="O28" s="37"/>
    </row>
    <row r="29" spans="1:20" ht="24" customHeight="1">
      <c r="A29" s="76">
        <v>3</v>
      </c>
      <c r="B29" s="31" t="s">
        <v>35</v>
      </c>
      <c r="C29" s="35">
        <v>8871</v>
      </c>
      <c r="D29" s="35">
        <v>8871</v>
      </c>
      <c r="E29" s="17">
        <f t="shared" ref="E29:E31" si="13">D29-C29</f>
        <v>0</v>
      </c>
      <c r="F29" s="33">
        <v>0</v>
      </c>
      <c r="G29" s="10">
        <f t="shared" si="10"/>
        <v>0</v>
      </c>
      <c r="H29" s="35">
        <v>8871</v>
      </c>
      <c r="I29" s="19">
        <f>H29-D29</f>
        <v>0</v>
      </c>
      <c r="J29" s="33">
        <v>0</v>
      </c>
      <c r="K29" s="28">
        <f t="shared" si="11"/>
        <v>0</v>
      </c>
      <c r="L29" s="18">
        <f t="shared" si="12"/>
        <v>0</v>
      </c>
      <c r="M29" s="22">
        <f t="shared" si="12"/>
        <v>0</v>
      </c>
      <c r="N29" s="23">
        <f>IFERROR(M29/L29,0)</f>
        <v>0</v>
      </c>
      <c r="O29" s="77"/>
    </row>
    <row r="30" spans="1:20" ht="24.6" customHeight="1">
      <c r="A30" s="76">
        <v>4</v>
      </c>
      <c r="B30" s="31" t="s">
        <v>36</v>
      </c>
      <c r="C30" s="35">
        <v>3253.2</v>
      </c>
      <c r="D30" s="35">
        <v>3253.2</v>
      </c>
      <c r="E30" s="17">
        <f t="shared" si="13"/>
        <v>0</v>
      </c>
      <c r="F30" s="33">
        <v>0</v>
      </c>
      <c r="G30" s="78">
        <f t="shared" si="10"/>
        <v>0</v>
      </c>
      <c r="H30" s="35">
        <v>3270.5</v>
      </c>
      <c r="I30" s="19">
        <f t="shared" ref="I30:I31" si="14">H30-D30</f>
        <v>17.300000000000182</v>
      </c>
      <c r="J30" s="33">
        <v>391</v>
      </c>
      <c r="K30" s="28">
        <f t="shared" si="11"/>
        <v>22.601156069363924</v>
      </c>
      <c r="L30" s="18">
        <f t="shared" si="12"/>
        <v>17.300000000000182</v>
      </c>
      <c r="M30" s="79">
        <f t="shared" si="12"/>
        <v>391</v>
      </c>
      <c r="N30" s="23">
        <f>IFERROR(M30/L30,0)</f>
        <v>22.601156069363924</v>
      </c>
      <c r="O30" s="80"/>
    </row>
    <row r="31" spans="1:20" ht="24.6" customHeight="1">
      <c r="A31" s="76">
        <v>5</v>
      </c>
      <c r="B31" s="31" t="s">
        <v>37</v>
      </c>
      <c r="C31" s="35">
        <v>581.29999999999995</v>
      </c>
      <c r="D31" s="35">
        <v>581.29999999999995</v>
      </c>
      <c r="E31" s="17">
        <f t="shared" si="13"/>
        <v>0</v>
      </c>
      <c r="F31" s="33">
        <v>0</v>
      </c>
      <c r="G31" s="78">
        <f t="shared" si="10"/>
        <v>0</v>
      </c>
      <c r="H31" s="35">
        <v>581.29999999999995</v>
      </c>
      <c r="I31" s="19">
        <f t="shared" si="14"/>
        <v>0</v>
      </c>
      <c r="J31" s="33">
        <v>0</v>
      </c>
      <c r="K31" s="28">
        <f t="shared" si="11"/>
        <v>0</v>
      </c>
      <c r="L31" s="18">
        <f t="shared" si="12"/>
        <v>0</v>
      </c>
      <c r="M31" s="79">
        <f t="shared" si="12"/>
        <v>0</v>
      </c>
      <c r="N31" s="23">
        <f>IFERROR(M31/L31,0)</f>
        <v>0</v>
      </c>
      <c r="O31" s="80"/>
    </row>
    <row r="32" spans="1:20" ht="22.8" customHeight="1" thickBot="1">
      <c r="A32" s="238" t="s">
        <v>28</v>
      </c>
      <c r="B32" s="239"/>
      <c r="C32" s="66"/>
      <c r="D32" s="66"/>
      <c r="E32" s="67">
        <f>SUM(E27:E31)</f>
        <v>0</v>
      </c>
      <c r="F32" s="67">
        <f>SUM(F27:F31)</f>
        <v>0</v>
      </c>
      <c r="G32" s="68"/>
      <c r="H32" s="68"/>
      <c r="I32" s="67">
        <f>SUM(I27:I31)</f>
        <v>17.300000000000182</v>
      </c>
      <c r="J32" s="67">
        <f>SUM(J27:J31)</f>
        <v>391</v>
      </c>
      <c r="K32" s="69">
        <f>SUM(K27:K31)</f>
        <v>22.601156069363924</v>
      </c>
      <c r="L32" s="70">
        <f>SUM(L27:L31)</f>
        <v>17.300000000000182</v>
      </c>
      <c r="M32" s="43">
        <f>SUM(M27:M31)</f>
        <v>391</v>
      </c>
      <c r="N32" s="71">
        <f>IFERROR(M32/K32,0)</f>
        <v>17.300000000000182</v>
      </c>
      <c r="O32" s="37"/>
      <c r="P32" s="72"/>
      <c r="S32" s="51"/>
    </row>
    <row r="33" spans="1:26" ht="24" customHeight="1">
      <c r="A33" s="240" t="s">
        <v>38</v>
      </c>
      <c r="B33" s="241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46"/>
      <c r="N33" s="47"/>
      <c r="O33" s="61"/>
      <c r="S33" s="51"/>
    </row>
    <row r="34" spans="1:26" ht="24" customHeight="1">
      <c r="A34" s="243" t="s">
        <v>3</v>
      </c>
      <c r="B34" s="243" t="s">
        <v>4</v>
      </c>
      <c r="C34" s="213" t="s">
        <v>5</v>
      </c>
      <c r="D34" s="214"/>
      <c r="E34" s="214"/>
      <c r="F34" s="214"/>
      <c r="G34" s="215"/>
      <c r="H34" s="216" t="s">
        <v>6</v>
      </c>
      <c r="I34" s="217"/>
      <c r="J34" s="217"/>
      <c r="K34" s="218"/>
      <c r="L34" s="5"/>
      <c r="M34" s="221" t="s">
        <v>7</v>
      </c>
      <c r="N34" s="222" t="s">
        <v>8</v>
      </c>
      <c r="O34" s="37"/>
    </row>
    <row r="35" spans="1:26" ht="24" customHeight="1">
      <c r="A35" s="244"/>
      <c r="B35" s="244"/>
      <c r="C35" s="2" t="s">
        <v>11</v>
      </c>
      <c r="D35" s="2" t="s">
        <v>12</v>
      </c>
      <c r="E35" s="2" t="s">
        <v>13</v>
      </c>
      <c r="F35" s="2" t="s">
        <v>14</v>
      </c>
      <c r="G35" s="2" t="s">
        <v>8</v>
      </c>
      <c r="H35" s="2" t="s">
        <v>12</v>
      </c>
      <c r="I35" s="2" t="s">
        <v>13</v>
      </c>
      <c r="J35" s="2" t="s">
        <v>14</v>
      </c>
      <c r="K35" s="82" t="s">
        <v>8</v>
      </c>
      <c r="L35" s="12" t="s">
        <v>15</v>
      </c>
      <c r="M35" s="221"/>
      <c r="N35" s="222"/>
      <c r="O35" s="37"/>
    </row>
    <row r="36" spans="1:26" ht="24" customHeight="1">
      <c r="A36" s="76">
        <v>1</v>
      </c>
      <c r="B36" s="31" t="s">
        <v>39</v>
      </c>
      <c r="C36" s="83">
        <v>16479</v>
      </c>
      <c r="D36" s="83">
        <v>16479</v>
      </c>
      <c r="E36" s="35">
        <f>D36-C36</f>
        <v>0</v>
      </c>
      <c r="F36" s="33">
        <v>0</v>
      </c>
      <c r="G36" s="78">
        <f t="shared" ref="G36:G37" si="15">IFERROR(F36/E36,0)</f>
        <v>0</v>
      </c>
      <c r="H36" s="83">
        <v>16479</v>
      </c>
      <c r="I36" s="56">
        <f>H36-D36</f>
        <v>0</v>
      </c>
      <c r="J36" s="33">
        <v>0</v>
      </c>
      <c r="K36" s="28">
        <f>IFERROR(J36/I36,0)</f>
        <v>0</v>
      </c>
      <c r="L36" s="84">
        <f t="shared" ref="L36:L37" si="16">E36+I36</f>
        <v>0</v>
      </c>
      <c r="M36" s="79">
        <f>F36+J36</f>
        <v>0</v>
      </c>
      <c r="N36" s="34">
        <f>IFERROR(M36/L36,0)</f>
        <v>0</v>
      </c>
      <c r="O36" s="37"/>
    </row>
    <row r="37" spans="1:26" ht="27" customHeight="1">
      <c r="A37" s="76">
        <v>2</v>
      </c>
      <c r="B37" s="31" t="s">
        <v>40</v>
      </c>
      <c r="C37" s="35">
        <v>4276</v>
      </c>
      <c r="D37" s="35">
        <v>4276</v>
      </c>
      <c r="E37" s="17">
        <f>D37-C37</f>
        <v>0</v>
      </c>
      <c r="F37" s="33">
        <v>0</v>
      </c>
      <c r="G37" s="10">
        <f t="shared" si="15"/>
        <v>0</v>
      </c>
      <c r="H37" s="35">
        <v>4285.6000000000004</v>
      </c>
      <c r="I37" s="19">
        <f>H37-D37</f>
        <v>9.6000000000003638</v>
      </c>
      <c r="J37" s="33">
        <v>200</v>
      </c>
      <c r="K37" s="28">
        <f>IFERROR(J37/I37,0)</f>
        <v>20.833333333332543</v>
      </c>
      <c r="L37" s="18">
        <f t="shared" si="16"/>
        <v>9.6000000000003638</v>
      </c>
      <c r="M37" s="22">
        <f>F37+J37</f>
        <v>200</v>
      </c>
      <c r="N37" s="23">
        <f>IFERROR(M37/L37,0)</f>
        <v>20.833333333332543</v>
      </c>
      <c r="O37" s="37"/>
      <c r="S37" s="51"/>
    </row>
    <row r="38" spans="1:26" ht="22.8" customHeight="1" thickBot="1">
      <c r="A38" s="196" t="s">
        <v>28</v>
      </c>
      <c r="B38" s="233"/>
      <c r="C38" s="68"/>
      <c r="D38" s="66"/>
      <c r="E38" s="67">
        <f>SUM(E36:E37)</f>
        <v>0</v>
      </c>
      <c r="F38" s="67">
        <f>SUM(F36:F37:F37)</f>
        <v>0</v>
      </c>
      <c r="G38" s="68"/>
      <c r="H38" s="68"/>
      <c r="I38" s="67">
        <f>SUM(I36:I37)</f>
        <v>9.6000000000003638</v>
      </c>
      <c r="J38" s="67">
        <f>SUM(J36:J37)</f>
        <v>200</v>
      </c>
      <c r="K38" s="69">
        <f>SUM(K36:K37)</f>
        <v>20.833333333332543</v>
      </c>
      <c r="L38" s="70">
        <f>SUM(L36:L37)</f>
        <v>9.6000000000003638</v>
      </c>
      <c r="M38" s="43">
        <f>SUM(M36:M37)</f>
        <v>200</v>
      </c>
      <c r="N38" s="71">
        <f>IFERROR(M38/K38,0)</f>
        <v>9.6000000000003638</v>
      </c>
      <c r="O38" s="37"/>
      <c r="P38" s="72"/>
      <c r="S38" s="51"/>
    </row>
    <row r="39" spans="1:26" ht="24" customHeight="1">
      <c r="A39" s="225" t="s">
        <v>41</v>
      </c>
      <c r="B39" s="226"/>
      <c r="C39" s="226"/>
      <c r="D39" s="226"/>
      <c r="E39" s="226"/>
      <c r="F39" s="226"/>
      <c r="G39" s="226"/>
      <c r="H39" s="226"/>
      <c r="I39" s="226"/>
      <c r="J39" s="226"/>
      <c r="K39" s="226"/>
      <c r="L39" s="226"/>
      <c r="M39" s="46"/>
      <c r="N39" s="47"/>
      <c r="O39" s="61"/>
    </row>
    <row r="40" spans="1:26" ht="24" customHeight="1">
      <c r="A40" s="222" t="s">
        <v>3</v>
      </c>
      <c r="B40" s="222" t="s">
        <v>4</v>
      </c>
      <c r="C40" s="234" t="s">
        <v>5</v>
      </c>
      <c r="D40" s="234"/>
      <c r="E40" s="234"/>
      <c r="F40" s="234"/>
      <c r="G40" s="234"/>
      <c r="H40" s="235" t="s">
        <v>6</v>
      </c>
      <c r="I40" s="235"/>
      <c r="J40" s="235"/>
      <c r="K40" s="235"/>
      <c r="L40" s="5"/>
      <c r="M40" s="221" t="s">
        <v>7</v>
      </c>
      <c r="N40" s="222" t="s">
        <v>8</v>
      </c>
      <c r="O40" s="37"/>
    </row>
    <row r="41" spans="1:26" ht="25.8" customHeight="1">
      <c r="A41" s="222"/>
      <c r="B41" s="222"/>
      <c r="C41" s="2" t="s">
        <v>11</v>
      </c>
      <c r="D41" s="2" t="s">
        <v>12</v>
      </c>
      <c r="E41" s="2" t="s">
        <v>13</v>
      </c>
      <c r="F41" s="2" t="s">
        <v>14</v>
      </c>
      <c r="G41" s="2" t="s">
        <v>8</v>
      </c>
      <c r="H41" s="2" t="s">
        <v>12</v>
      </c>
      <c r="I41" s="2" t="s">
        <v>13</v>
      </c>
      <c r="J41" s="2" t="s">
        <v>14</v>
      </c>
      <c r="K41" s="82" t="s">
        <v>8</v>
      </c>
      <c r="L41" s="12" t="s">
        <v>15</v>
      </c>
      <c r="M41" s="221"/>
      <c r="N41" s="222"/>
      <c r="O41" s="37"/>
    </row>
    <row r="42" spans="1:26" ht="24.6" customHeight="1">
      <c r="A42" s="76">
        <v>1</v>
      </c>
      <c r="B42" s="85" t="s">
        <v>42</v>
      </c>
      <c r="C42" s="33">
        <v>8580.4</v>
      </c>
      <c r="D42" s="33">
        <v>8580.4</v>
      </c>
      <c r="E42" s="20">
        <f>D42-C42</f>
        <v>0</v>
      </c>
      <c r="F42" s="33">
        <v>0</v>
      </c>
      <c r="G42" s="10">
        <f t="shared" ref="G42:G43" si="17">IFERROR(F42/E42,0)</f>
        <v>0</v>
      </c>
      <c r="H42" s="33">
        <v>8580.4</v>
      </c>
      <c r="I42" s="86">
        <f>H42-D42</f>
        <v>0</v>
      </c>
      <c r="J42" s="33">
        <v>0</v>
      </c>
      <c r="K42" s="28">
        <f>IFERROR(J42/I42,0)</f>
        <v>0</v>
      </c>
      <c r="L42" s="18">
        <f>E42+I42</f>
        <v>0</v>
      </c>
      <c r="M42" s="22">
        <f>F42+J42</f>
        <v>0</v>
      </c>
      <c r="N42" s="23">
        <f>IFERROR(M42/L42,0)</f>
        <v>0</v>
      </c>
      <c r="O42" s="87"/>
      <c r="S42" s="51"/>
    </row>
    <row r="43" spans="1:26" ht="22.8" customHeight="1">
      <c r="A43" s="76">
        <v>2</v>
      </c>
      <c r="B43" s="85" t="s">
        <v>43</v>
      </c>
      <c r="C43" s="33">
        <v>1572.8</v>
      </c>
      <c r="D43" s="33">
        <v>1572.8</v>
      </c>
      <c r="E43" s="20">
        <f>D43-C43</f>
        <v>0</v>
      </c>
      <c r="F43" s="33">
        <v>0</v>
      </c>
      <c r="G43" s="10">
        <f t="shared" si="17"/>
        <v>0</v>
      </c>
      <c r="H43" s="33">
        <v>1572.8</v>
      </c>
      <c r="I43" s="86">
        <f>H43-D43</f>
        <v>0</v>
      </c>
      <c r="J43" s="33">
        <v>0</v>
      </c>
      <c r="K43" s="28">
        <f>IFERROR(J43/I43,0)</f>
        <v>0</v>
      </c>
      <c r="L43" s="18">
        <f>E43+I43</f>
        <v>0</v>
      </c>
      <c r="M43" s="22">
        <f t="shared" ref="M43" si="18">F43+J43</f>
        <v>0</v>
      </c>
      <c r="N43" s="23">
        <f>IFERROR(M43/L43,0)</f>
        <v>0</v>
      </c>
      <c r="O43" s="87"/>
      <c r="P43" s="88"/>
      <c r="Q43" s="89"/>
    </row>
    <row r="44" spans="1:26" ht="24" customHeight="1" thickBot="1">
      <c r="A44" s="223" t="s">
        <v>28</v>
      </c>
      <c r="B44" s="224"/>
      <c r="C44" s="90"/>
      <c r="D44" s="90"/>
      <c r="E44" s="91">
        <f>SUM(E42:E43)</f>
        <v>0</v>
      </c>
      <c r="F44" s="91">
        <f>SUM(F42:F43)</f>
        <v>0</v>
      </c>
      <c r="G44" s="92"/>
      <c r="H44" s="92"/>
      <c r="I44" s="91">
        <f>SUM(I42:I43)</f>
        <v>0</v>
      </c>
      <c r="J44" s="91">
        <f>SUM(J42:J43)</f>
        <v>0</v>
      </c>
      <c r="K44" s="93">
        <f>SUM(K42:K43)</f>
        <v>0</v>
      </c>
      <c r="L44" s="94">
        <f>SUM(L42:L43)</f>
        <v>0</v>
      </c>
      <c r="M44" s="95">
        <f>SUM(M42:M43)</f>
        <v>0</v>
      </c>
      <c r="N44" s="96" t="e">
        <f>M44/L44</f>
        <v>#DIV/0!</v>
      </c>
      <c r="O44" s="37"/>
      <c r="P44" s="97"/>
      <c r="Q44" s="89"/>
    </row>
    <row r="45" spans="1:26" ht="24" customHeight="1">
      <c r="A45" s="225" t="s">
        <v>44</v>
      </c>
      <c r="B45" s="226"/>
      <c r="C45" s="226"/>
      <c r="D45" s="226"/>
      <c r="E45" s="226"/>
      <c r="F45" s="226"/>
      <c r="G45" s="226"/>
      <c r="H45" s="226"/>
      <c r="I45" s="226"/>
      <c r="J45" s="226"/>
      <c r="K45" s="226"/>
      <c r="L45" s="226"/>
      <c r="M45" s="98"/>
      <c r="N45" s="99"/>
      <c r="O45" s="37"/>
      <c r="P45" s="100"/>
      <c r="Q45" s="100"/>
    </row>
    <row r="46" spans="1:26" ht="24" customHeight="1">
      <c r="A46" s="222" t="s">
        <v>3</v>
      </c>
      <c r="B46" s="222" t="s">
        <v>4</v>
      </c>
      <c r="C46" s="227" t="s">
        <v>5</v>
      </c>
      <c r="D46" s="228"/>
      <c r="E46" s="228"/>
      <c r="F46" s="228"/>
      <c r="G46" s="228"/>
      <c r="H46" s="229"/>
      <c r="I46" s="230" t="s">
        <v>6</v>
      </c>
      <c r="J46" s="231"/>
      <c r="K46" s="231"/>
      <c r="L46" s="231"/>
      <c r="M46" s="231"/>
      <c r="N46" s="232"/>
      <c r="O46" s="201" t="s">
        <v>45</v>
      </c>
      <c r="P46" s="203" t="s">
        <v>46</v>
      </c>
      <c r="Q46" s="203" t="s">
        <v>47</v>
      </c>
      <c r="R46" s="205" t="s">
        <v>48</v>
      </c>
      <c r="Z46" s="101"/>
    </row>
    <row r="47" spans="1:26" ht="33" customHeight="1">
      <c r="A47" s="222"/>
      <c r="B47" s="222"/>
      <c r="C47" s="2" t="s">
        <v>49</v>
      </c>
      <c r="D47" s="2" t="s">
        <v>50</v>
      </c>
      <c r="E47" s="2" t="s">
        <v>51</v>
      </c>
      <c r="F47" s="102" t="s">
        <v>11</v>
      </c>
      <c r="G47" s="2" t="s">
        <v>14</v>
      </c>
      <c r="H47" s="2" t="s">
        <v>8</v>
      </c>
      <c r="I47" s="2" t="s">
        <v>50</v>
      </c>
      <c r="J47" s="2" t="s">
        <v>45</v>
      </c>
      <c r="K47" s="102" t="s">
        <v>12</v>
      </c>
      <c r="L47" s="102" t="s">
        <v>15</v>
      </c>
      <c r="M47" s="2" t="s">
        <v>14</v>
      </c>
      <c r="N47" s="82" t="s">
        <v>8</v>
      </c>
      <c r="O47" s="202"/>
      <c r="P47" s="204"/>
      <c r="Q47" s="204"/>
      <c r="R47" s="205"/>
    </row>
    <row r="48" spans="1:26" ht="21" customHeight="1">
      <c r="A48" s="81">
        <v>1</v>
      </c>
      <c r="B48" s="103" t="s">
        <v>52</v>
      </c>
      <c r="C48" s="2">
        <v>278630.7</v>
      </c>
      <c r="D48" s="2">
        <v>278630.7</v>
      </c>
      <c r="E48" s="104">
        <f>D48-C48</f>
        <v>0</v>
      </c>
      <c r="F48" s="105">
        <v>22041</v>
      </c>
      <c r="G48" s="49">
        <v>0</v>
      </c>
      <c r="H48" s="10">
        <f>IFERROR(E48/G48,0)</f>
        <v>0</v>
      </c>
      <c r="I48" s="2">
        <v>278630.7</v>
      </c>
      <c r="J48" s="106">
        <f t="shared" ref="J48:J104" si="19">I48-D48</f>
        <v>0</v>
      </c>
      <c r="K48" s="105">
        <v>22041</v>
      </c>
      <c r="L48" s="107">
        <f t="shared" ref="L48:L104" si="20">K48-F48</f>
        <v>0</v>
      </c>
      <c r="M48" s="2">
        <v>0</v>
      </c>
      <c r="N48" s="28">
        <f t="shared" ref="N48:N104" si="21">IFERROR(J48/M48,0)</f>
        <v>0</v>
      </c>
      <c r="O48" s="84">
        <f>J48+E48</f>
        <v>0</v>
      </c>
      <c r="P48" s="79">
        <f>G48+M48</f>
        <v>0</v>
      </c>
      <c r="Q48" s="34">
        <f>IFERROR(O48/P48,0)</f>
        <v>0</v>
      </c>
      <c r="R48" s="108">
        <v>0</v>
      </c>
    </row>
    <row r="49" spans="1:27" ht="24" customHeight="1">
      <c r="A49" s="109">
        <v>2</v>
      </c>
      <c r="B49" s="31" t="s">
        <v>53</v>
      </c>
      <c r="C49" s="35">
        <v>334306.5</v>
      </c>
      <c r="D49" s="35">
        <v>334306.5</v>
      </c>
      <c r="E49" s="104">
        <f>D49-C49</f>
        <v>0</v>
      </c>
      <c r="F49" s="110">
        <v>29835</v>
      </c>
      <c r="G49" s="111">
        <v>0</v>
      </c>
      <c r="H49" s="10">
        <f>IFERROR(E49/G49,0)</f>
        <v>0</v>
      </c>
      <c r="I49" s="35">
        <v>334306.5</v>
      </c>
      <c r="J49" s="106">
        <f t="shared" si="19"/>
        <v>0</v>
      </c>
      <c r="K49" s="110">
        <v>29835</v>
      </c>
      <c r="L49" s="107">
        <f t="shared" si="20"/>
        <v>0</v>
      </c>
      <c r="M49" s="112">
        <v>0</v>
      </c>
      <c r="N49" s="28">
        <f t="shared" si="21"/>
        <v>0</v>
      </c>
      <c r="O49" s="84">
        <f t="shared" ref="O49:O104" si="22">J49+E49</f>
        <v>0</v>
      </c>
      <c r="P49" s="79">
        <f t="shared" ref="P49:P104" si="23">G49+M49</f>
        <v>0</v>
      </c>
      <c r="Q49" s="34">
        <f t="shared" ref="Q49:Q104" si="24">IFERROR(O49/P49,0)</f>
        <v>0</v>
      </c>
      <c r="R49" s="1">
        <v>0</v>
      </c>
    </row>
    <row r="50" spans="1:27" ht="24" customHeight="1">
      <c r="A50" s="81">
        <v>3</v>
      </c>
      <c r="B50" s="31" t="s">
        <v>54</v>
      </c>
      <c r="C50" s="104">
        <v>291746.5</v>
      </c>
      <c r="D50" s="104">
        <v>291746.5</v>
      </c>
      <c r="E50" s="104">
        <f t="shared" ref="E50:E104" si="25">D50-C50</f>
        <v>0</v>
      </c>
      <c r="F50" s="110">
        <v>27949</v>
      </c>
      <c r="G50" s="111">
        <v>0</v>
      </c>
      <c r="H50" s="10">
        <f t="shared" ref="H50:H104" si="26">IFERROR(E50/G50,0)</f>
        <v>0</v>
      </c>
      <c r="I50" s="104">
        <v>291746.5</v>
      </c>
      <c r="J50" s="106">
        <f>I50-D50</f>
        <v>0</v>
      </c>
      <c r="K50" s="110">
        <v>27949</v>
      </c>
      <c r="L50" s="107">
        <f t="shared" si="20"/>
        <v>0</v>
      </c>
      <c r="M50" s="111">
        <v>0</v>
      </c>
      <c r="N50" s="28">
        <f t="shared" si="21"/>
        <v>0</v>
      </c>
      <c r="O50" s="84">
        <f t="shared" si="22"/>
        <v>0</v>
      </c>
      <c r="P50" s="79">
        <f t="shared" si="23"/>
        <v>0</v>
      </c>
      <c r="Q50" s="34">
        <f t="shared" si="24"/>
        <v>0</v>
      </c>
      <c r="R50" s="1">
        <v>0</v>
      </c>
      <c r="AA50" s="101"/>
    </row>
    <row r="51" spans="1:27" ht="24" customHeight="1">
      <c r="A51" s="81">
        <v>4</v>
      </c>
      <c r="B51" s="31" t="s">
        <v>55</v>
      </c>
      <c r="C51" s="104">
        <v>298907.40000000002</v>
      </c>
      <c r="D51" s="104">
        <v>298907.40000000002</v>
      </c>
      <c r="E51" s="104">
        <f t="shared" si="25"/>
        <v>0</v>
      </c>
      <c r="F51" s="110">
        <v>27086</v>
      </c>
      <c r="G51" s="111">
        <v>0</v>
      </c>
      <c r="H51" s="10">
        <f t="shared" si="26"/>
        <v>0</v>
      </c>
      <c r="I51" s="104">
        <v>298907.40000000002</v>
      </c>
      <c r="J51" s="106">
        <f>I51-D51</f>
        <v>0</v>
      </c>
      <c r="K51" s="110">
        <v>27086</v>
      </c>
      <c r="L51" s="107">
        <f t="shared" si="20"/>
        <v>0</v>
      </c>
      <c r="M51" s="111">
        <v>0</v>
      </c>
      <c r="N51" s="28">
        <f t="shared" si="21"/>
        <v>0</v>
      </c>
      <c r="O51" s="84">
        <f t="shared" si="22"/>
        <v>0</v>
      </c>
      <c r="P51" s="79">
        <f t="shared" si="23"/>
        <v>0</v>
      </c>
      <c r="Q51" s="34">
        <f t="shared" si="24"/>
        <v>0</v>
      </c>
      <c r="R51" s="1">
        <v>0</v>
      </c>
      <c r="AA51" s="101"/>
    </row>
    <row r="52" spans="1:27" ht="24" customHeight="1">
      <c r="A52" s="81">
        <v>5</v>
      </c>
      <c r="B52" s="31" t="s">
        <v>56</v>
      </c>
      <c r="C52" s="104">
        <v>339541.3</v>
      </c>
      <c r="D52" s="104">
        <v>339541.3</v>
      </c>
      <c r="E52" s="104">
        <f t="shared" si="25"/>
        <v>0</v>
      </c>
      <c r="F52" s="110">
        <v>26812</v>
      </c>
      <c r="G52" s="111">
        <v>0</v>
      </c>
      <c r="H52" s="10">
        <f t="shared" si="26"/>
        <v>0</v>
      </c>
      <c r="I52" s="104">
        <v>339541.3</v>
      </c>
      <c r="J52" s="106">
        <f>I52-D52</f>
        <v>0</v>
      </c>
      <c r="K52" s="110">
        <v>26812</v>
      </c>
      <c r="L52" s="107">
        <f t="shared" si="20"/>
        <v>0</v>
      </c>
      <c r="M52" s="111">
        <v>0</v>
      </c>
      <c r="N52" s="28">
        <f t="shared" si="21"/>
        <v>0</v>
      </c>
      <c r="O52" s="84">
        <f t="shared" si="22"/>
        <v>0</v>
      </c>
      <c r="P52" s="79">
        <f t="shared" si="23"/>
        <v>0</v>
      </c>
      <c r="Q52" s="34">
        <f t="shared" si="24"/>
        <v>0</v>
      </c>
      <c r="R52" s="1">
        <v>0</v>
      </c>
      <c r="AA52" s="101"/>
    </row>
    <row r="53" spans="1:27" ht="24" customHeight="1">
      <c r="A53" s="109">
        <v>6</v>
      </c>
      <c r="B53" s="31" t="s">
        <v>57</v>
      </c>
      <c r="C53" s="104">
        <v>342293.6</v>
      </c>
      <c r="D53" s="104">
        <v>342293.6</v>
      </c>
      <c r="E53" s="104">
        <f t="shared" si="25"/>
        <v>0</v>
      </c>
      <c r="F53" s="110">
        <v>26617</v>
      </c>
      <c r="G53" s="111">
        <v>0</v>
      </c>
      <c r="H53" s="10">
        <f t="shared" si="26"/>
        <v>0</v>
      </c>
      <c r="I53" s="104">
        <v>342293.6</v>
      </c>
      <c r="J53" s="106">
        <f>I53-D53</f>
        <v>0</v>
      </c>
      <c r="K53" s="110">
        <v>26617</v>
      </c>
      <c r="L53" s="107">
        <f t="shared" si="20"/>
        <v>0</v>
      </c>
      <c r="M53" s="111">
        <v>0</v>
      </c>
      <c r="N53" s="28">
        <f t="shared" si="21"/>
        <v>0</v>
      </c>
      <c r="O53" s="84">
        <f t="shared" si="22"/>
        <v>0</v>
      </c>
      <c r="P53" s="79">
        <f t="shared" si="23"/>
        <v>0</v>
      </c>
      <c r="Q53" s="34">
        <f t="shared" si="24"/>
        <v>0</v>
      </c>
      <c r="R53" s="1">
        <v>0</v>
      </c>
      <c r="AA53" s="101"/>
    </row>
    <row r="54" spans="1:27" ht="24" customHeight="1">
      <c r="A54" s="81">
        <v>7</v>
      </c>
      <c r="B54" s="31" t="s">
        <v>58</v>
      </c>
      <c r="C54" s="35">
        <v>299562.8</v>
      </c>
      <c r="D54" s="35">
        <v>299562.8</v>
      </c>
      <c r="E54" s="104">
        <f t="shared" si="25"/>
        <v>0</v>
      </c>
      <c r="F54" s="110">
        <v>26599.279999999999</v>
      </c>
      <c r="G54" s="111">
        <v>0</v>
      </c>
      <c r="H54" s="10">
        <f t="shared" si="26"/>
        <v>0</v>
      </c>
      <c r="I54" s="35">
        <v>299562.8</v>
      </c>
      <c r="J54" s="106">
        <f t="shared" si="19"/>
        <v>0</v>
      </c>
      <c r="K54" s="110">
        <v>26599.279999999999</v>
      </c>
      <c r="L54" s="107">
        <f t="shared" si="20"/>
        <v>0</v>
      </c>
      <c r="M54" s="112">
        <v>0</v>
      </c>
      <c r="N54" s="28">
        <f>IFERROR(J54/M54,0)</f>
        <v>0</v>
      </c>
      <c r="O54" s="84">
        <f t="shared" si="22"/>
        <v>0</v>
      </c>
      <c r="P54" s="79">
        <f t="shared" si="23"/>
        <v>0</v>
      </c>
      <c r="Q54" s="34">
        <f t="shared" si="24"/>
        <v>0</v>
      </c>
      <c r="R54" s="1">
        <v>0</v>
      </c>
      <c r="U54" s="113"/>
    </row>
    <row r="55" spans="1:27" ht="24" customHeight="1">
      <c r="A55" s="81">
        <v>8</v>
      </c>
      <c r="B55" s="31" t="s">
        <v>59</v>
      </c>
      <c r="C55" s="35">
        <v>271405.8</v>
      </c>
      <c r="D55" s="35">
        <v>271405.8</v>
      </c>
      <c r="E55" s="104">
        <f t="shared" si="25"/>
        <v>0</v>
      </c>
      <c r="F55" s="110">
        <v>25357.5</v>
      </c>
      <c r="G55" s="111">
        <v>0</v>
      </c>
      <c r="H55" s="10">
        <f t="shared" si="26"/>
        <v>0</v>
      </c>
      <c r="I55" s="35">
        <v>271405.8</v>
      </c>
      <c r="J55" s="106">
        <f>I55-D55</f>
        <v>0</v>
      </c>
      <c r="K55" s="110">
        <v>25357.5</v>
      </c>
      <c r="L55" s="107">
        <f t="shared" si="20"/>
        <v>0</v>
      </c>
      <c r="M55" s="111">
        <v>0</v>
      </c>
      <c r="N55" s="28">
        <f>IFERROR(J55/M55,0)</f>
        <v>0</v>
      </c>
      <c r="O55" s="84">
        <f t="shared" si="22"/>
        <v>0</v>
      </c>
      <c r="P55" s="79">
        <f t="shared" si="23"/>
        <v>0</v>
      </c>
      <c r="Q55" s="34">
        <f t="shared" si="24"/>
        <v>0</v>
      </c>
      <c r="R55" s="1">
        <v>0</v>
      </c>
      <c r="X55" t="s">
        <v>60</v>
      </c>
    </row>
    <row r="56" spans="1:27" ht="24" customHeight="1">
      <c r="A56" s="81">
        <v>9</v>
      </c>
      <c r="B56" s="31" t="s">
        <v>61</v>
      </c>
      <c r="C56" s="104">
        <v>284733.09999999998</v>
      </c>
      <c r="D56" s="104">
        <v>284733.09999999998</v>
      </c>
      <c r="E56" s="104">
        <f t="shared" si="25"/>
        <v>0</v>
      </c>
      <c r="F56" s="110">
        <v>26568</v>
      </c>
      <c r="G56" s="111">
        <v>0</v>
      </c>
      <c r="H56" s="10">
        <f t="shared" si="26"/>
        <v>0</v>
      </c>
      <c r="I56" s="104">
        <v>284733.09999999998</v>
      </c>
      <c r="J56" s="106">
        <f>I56-D56</f>
        <v>0</v>
      </c>
      <c r="K56" s="110">
        <v>26568</v>
      </c>
      <c r="L56" s="107">
        <f t="shared" si="20"/>
        <v>0</v>
      </c>
      <c r="M56" s="112">
        <v>0</v>
      </c>
      <c r="N56" s="28">
        <f t="shared" si="21"/>
        <v>0</v>
      </c>
      <c r="O56" s="84">
        <f t="shared" si="22"/>
        <v>0</v>
      </c>
      <c r="P56" s="79">
        <f t="shared" si="23"/>
        <v>0</v>
      </c>
      <c r="Q56" s="34">
        <f t="shared" si="24"/>
        <v>0</v>
      </c>
      <c r="R56" s="1">
        <v>0</v>
      </c>
    </row>
    <row r="57" spans="1:27" ht="24" customHeight="1">
      <c r="A57" s="109">
        <v>10</v>
      </c>
      <c r="B57" s="31" t="s">
        <v>62</v>
      </c>
      <c r="C57" s="35">
        <v>302852.5</v>
      </c>
      <c r="D57" s="35">
        <v>302852.5</v>
      </c>
      <c r="E57" s="104">
        <f t="shared" si="25"/>
        <v>0</v>
      </c>
      <c r="F57" s="110">
        <v>27212.01</v>
      </c>
      <c r="G57" s="111">
        <v>0</v>
      </c>
      <c r="H57" s="10">
        <f t="shared" si="26"/>
        <v>0</v>
      </c>
      <c r="I57" s="35">
        <v>302852.5</v>
      </c>
      <c r="J57" s="106">
        <f t="shared" si="19"/>
        <v>0</v>
      </c>
      <c r="K57" s="110">
        <v>27212.01</v>
      </c>
      <c r="L57" s="107">
        <f t="shared" si="20"/>
        <v>0</v>
      </c>
      <c r="M57" s="112">
        <v>0</v>
      </c>
      <c r="N57" s="28">
        <f t="shared" si="21"/>
        <v>0</v>
      </c>
      <c r="O57" s="84">
        <f t="shared" si="22"/>
        <v>0</v>
      </c>
      <c r="P57" s="79">
        <f t="shared" si="23"/>
        <v>0</v>
      </c>
      <c r="Q57" s="34">
        <f t="shared" si="24"/>
        <v>0</v>
      </c>
      <c r="R57" s="1">
        <v>0</v>
      </c>
    </row>
    <row r="58" spans="1:27" ht="24" customHeight="1">
      <c r="A58" s="81">
        <v>11</v>
      </c>
      <c r="B58" s="114" t="s">
        <v>63</v>
      </c>
      <c r="C58" s="17">
        <v>274791</v>
      </c>
      <c r="D58" s="17">
        <v>274791</v>
      </c>
      <c r="E58" s="104">
        <f t="shared" si="25"/>
        <v>0</v>
      </c>
      <c r="F58" s="110">
        <v>25063</v>
      </c>
      <c r="G58" s="111">
        <v>0</v>
      </c>
      <c r="H58" s="10">
        <f t="shared" si="26"/>
        <v>0</v>
      </c>
      <c r="I58" s="17">
        <v>274791</v>
      </c>
      <c r="J58" s="106">
        <f t="shared" si="19"/>
        <v>0</v>
      </c>
      <c r="K58" s="110">
        <v>25063</v>
      </c>
      <c r="L58" s="107">
        <f t="shared" si="20"/>
        <v>0</v>
      </c>
      <c r="M58" s="111">
        <v>0</v>
      </c>
      <c r="N58" s="28">
        <f t="shared" si="21"/>
        <v>0</v>
      </c>
      <c r="O58" s="84">
        <f t="shared" si="22"/>
        <v>0</v>
      </c>
      <c r="P58" s="79">
        <f t="shared" si="23"/>
        <v>0</v>
      </c>
      <c r="Q58" s="34">
        <f t="shared" si="24"/>
        <v>0</v>
      </c>
      <c r="R58" s="1">
        <v>0</v>
      </c>
    </row>
    <row r="59" spans="1:27" ht="24" customHeight="1">
      <c r="A59" s="81">
        <v>12</v>
      </c>
      <c r="B59" s="115" t="s">
        <v>64</v>
      </c>
      <c r="C59" s="17">
        <v>277907</v>
      </c>
      <c r="D59" s="17">
        <v>277907</v>
      </c>
      <c r="E59" s="104">
        <f t="shared" si="25"/>
        <v>0</v>
      </c>
      <c r="F59" s="110">
        <v>25896</v>
      </c>
      <c r="G59" s="111">
        <v>0</v>
      </c>
      <c r="H59" s="10">
        <f t="shared" si="26"/>
        <v>0</v>
      </c>
      <c r="I59" s="17">
        <v>277907</v>
      </c>
      <c r="J59" s="106">
        <f t="shared" si="19"/>
        <v>0</v>
      </c>
      <c r="K59" s="110">
        <v>25896</v>
      </c>
      <c r="L59" s="107">
        <f t="shared" si="20"/>
        <v>0</v>
      </c>
      <c r="M59" s="111">
        <v>0</v>
      </c>
      <c r="N59" s="28">
        <f t="shared" si="21"/>
        <v>0</v>
      </c>
      <c r="O59" s="84">
        <f t="shared" si="22"/>
        <v>0</v>
      </c>
      <c r="P59" s="79">
        <f t="shared" si="23"/>
        <v>0</v>
      </c>
      <c r="Q59" s="34">
        <f t="shared" si="24"/>
        <v>0</v>
      </c>
      <c r="R59" s="1">
        <v>0</v>
      </c>
    </row>
    <row r="60" spans="1:27" ht="24" customHeight="1">
      <c r="A60" s="81">
        <v>13</v>
      </c>
      <c r="B60" s="114" t="s">
        <v>65</v>
      </c>
      <c r="C60" s="17">
        <v>304994</v>
      </c>
      <c r="D60" s="17">
        <v>304994</v>
      </c>
      <c r="E60" s="104">
        <f t="shared" si="25"/>
        <v>0</v>
      </c>
      <c r="F60" s="110">
        <v>25082</v>
      </c>
      <c r="G60" s="111">
        <v>0</v>
      </c>
      <c r="H60" s="10">
        <f t="shared" si="26"/>
        <v>0</v>
      </c>
      <c r="I60" s="17">
        <v>304994</v>
      </c>
      <c r="J60" s="106">
        <f t="shared" si="19"/>
        <v>0</v>
      </c>
      <c r="K60" s="110">
        <v>25082</v>
      </c>
      <c r="L60" s="107">
        <f t="shared" si="20"/>
        <v>0</v>
      </c>
      <c r="M60" s="111">
        <v>0</v>
      </c>
      <c r="N60" s="28">
        <f t="shared" si="21"/>
        <v>0</v>
      </c>
      <c r="O60" s="84">
        <f t="shared" si="22"/>
        <v>0</v>
      </c>
      <c r="P60" s="79">
        <f t="shared" si="23"/>
        <v>0</v>
      </c>
      <c r="Q60" s="34">
        <f t="shared" si="24"/>
        <v>0</v>
      </c>
      <c r="R60" s="1">
        <v>0</v>
      </c>
    </row>
    <row r="61" spans="1:27" ht="24" customHeight="1">
      <c r="A61" s="109">
        <v>14</v>
      </c>
      <c r="B61" s="115" t="s">
        <v>66</v>
      </c>
      <c r="C61" s="17">
        <v>302969</v>
      </c>
      <c r="D61" s="17">
        <v>302969</v>
      </c>
      <c r="E61" s="104">
        <f t="shared" si="25"/>
        <v>0</v>
      </c>
      <c r="F61" s="110">
        <v>25305</v>
      </c>
      <c r="G61" s="116">
        <v>0</v>
      </c>
      <c r="H61" s="10">
        <f t="shared" si="26"/>
        <v>0</v>
      </c>
      <c r="I61" s="17">
        <v>302969</v>
      </c>
      <c r="J61" s="106">
        <f t="shared" si="19"/>
        <v>0</v>
      </c>
      <c r="K61" s="110">
        <v>25305</v>
      </c>
      <c r="L61" s="107">
        <f t="shared" si="20"/>
        <v>0</v>
      </c>
      <c r="M61" s="111">
        <v>0</v>
      </c>
      <c r="N61" s="28">
        <f t="shared" si="21"/>
        <v>0</v>
      </c>
      <c r="O61" s="84">
        <f t="shared" si="22"/>
        <v>0</v>
      </c>
      <c r="P61" s="79">
        <f t="shared" si="23"/>
        <v>0</v>
      </c>
      <c r="Q61" s="34">
        <f t="shared" si="24"/>
        <v>0</v>
      </c>
      <c r="R61" s="1">
        <v>0</v>
      </c>
    </row>
    <row r="62" spans="1:27" ht="24" customHeight="1">
      <c r="A62" s="81">
        <v>15</v>
      </c>
      <c r="B62" s="115" t="s">
        <v>67</v>
      </c>
      <c r="C62" s="17">
        <v>319817</v>
      </c>
      <c r="D62" s="17">
        <v>319817</v>
      </c>
      <c r="E62" s="104">
        <f t="shared" si="25"/>
        <v>0</v>
      </c>
      <c r="F62" s="110">
        <v>26510</v>
      </c>
      <c r="G62" s="111">
        <v>0</v>
      </c>
      <c r="H62" s="10">
        <f t="shared" si="26"/>
        <v>0</v>
      </c>
      <c r="I62" s="17">
        <v>319817</v>
      </c>
      <c r="J62" s="106">
        <f t="shared" si="19"/>
        <v>0</v>
      </c>
      <c r="K62" s="110">
        <v>26510</v>
      </c>
      <c r="L62" s="107">
        <f t="shared" si="20"/>
        <v>0</v>
      </c>
      <c r="M62" s="111">
        <v>0</v>
      </c>
      <c r="N62" s="28">
        <f t="shared" si="21"/>
        <v>0</v>
      </c>
      <c r="O62" s="84">
        <f t="shared" si="22"/>
        <v>0</v>
      </c>
      <c r="P62" s="79">
        <f t="shared" si="23"/>
        <v>0</v>
      </c>
      <c r="Q62" s="34">
        <f t="shared" si="24"/>
        <v>0</v>
      </c>
      <c r="R62" s="1">
        <v>0</v>
      </c>
    </row>
    <row r="63" spans="1:27" ht="24" customHeight="1">
      <c r="A63" s="81">
        <v>16</v>
      </c>
      <c r="B63" s="31" t="s">
        <v>68</v>
      </c>
      <c r="C63" s="17">
        <v>275477.90000000002</v>
      </c>
      <c r="D63" s="17">
        <v>275477.90000000002</v>
      </c>
      <c r="E63" s="104">
        <f t="shared" si="25"/>
        <v>0</v>
      </c>
      <c r="F63" s="110">
        <v>22344</v>
      </c>
      <c r="G63" s="111">
        <v>0</v>
      </c>
      <c r="H63" s="10">
        <f t="shared" si="26"/>
        <v>0</v>
      </c>
      <c r="I63" s="17">
        <v>275477.90000000002</v>
      </c>
      <c r="J63" s="106">
        <f t="shared" si="19"/>
        <v>0</v>
      </c>
      <c r="K63" s="110">
        <v>22344</v>
      </c>
      <c r="L63" s="107">
        <f t="shared" si="20"/>
        <v>0</v>
      </c>
      <c r="M63" s="112">
        <v>0</v>
      </c>
      <c r="N63" s="28">
        <f t="shared" si="21"/>
        <v>0</v>
      </c>
      <c r="O63" s="84">
        <f t="shared" si="22"/>
        <v>0</v>
      </c>
      <c r="P63" s="79">
        <f t="shared" si="23"/>
        <v>0</v>
      </c>
      <c r="Q63" s="34">
        <f t="shared" si="24"/>
        <v>0</v>
      </c>
      <c r="R63" s="1">
        <v>0</v>
      </c>
    </row>
    <row r="64" spans="1:27" ht="24" customHeight="1">
      <c r="A64" s="81">
        <v>17</v>
      </c>
      <c r="B64" s="31" t="s">
        <v>69</v>
      </c>
      <c r="C64" s="17">
        <v>257585.8</v>
      </c>
      <c r="D64" s="17">
        <v>257585.8</v>
      </c>
      <c r="E64" s="104">
        <f t="shared" si="25"/>
        <v>0</v>
      </c>
      <c r="F64" s="110">
        <v>19725</v>
      </c>
      <c r="G64" s="111">
        <v>0</v>
      </c>
      <c r="H64" s="10">
        <f t="shared" si="26"/>
        <v>0</v>
      </c>
      <c r="I64" s="17">
        <v>257585.8</v>
      </c>
      <c r="J64" s="106">
        <f t="shared" si="19"/>
        <v>0</v>
      </c>
      <c r="K64" s="110">
        <v>19725</v>
      </c>
      <c r="L64" s="107">
        <f t="shared" si="20"/>
        <v>0</v>
      </c>
      <c r="M64" s="112">
        <v>0</v>
      </c>
      <c r="N64" s="28">
        <f t="shared" si="21"/>
        <v>0</v>
      </c>
      <c r="O64" s="84">
        <f t="shared" si="22"/>
        <v>0</v>
      </c>
      <c r="P64" s="79">
        <f t="shared" si="23"/>
        <v>0</v>
      </c>
      <c r="Q64" s="34">
        <f t="shared" si="24"/>
        <v>0</v>
      </c>
      <c r="R64" s="1">
        <v>0</v>
      </c>
    </row>
    <row r="65" spans="1:18" ht="24" customHeight="1">
      <c r="A65" s="109">
        <v>18</v>
      </c>
      <c r="B65" s="31" t="s">
        <v>70</v>
      </c>
      <c r="C65" s="104">
        <v>302130.90000000002</v>
      </c>
      <c r="D65" s="104">
        <v>302130.90000000002</v>
      </c>
      <c r="E65" s="104">
        <f t="shared" si="25"/>
        <v>0</v>
      </c>
      <c r="F65" s="110">
        <v>4897</v>
      </c>
      <c r="G65" s="111">
        <v>0</v>
      </c>
      <c r="H65" s="10">
        <f t="shared" si="26"/>
        <v>0</v>
      </c>
      <c r="I65" s="104">
        <v>302130.90000000002</v>
      </c>
      <c r="J65" s="106">
        <f t="shared" si="19"/>
        <v>0</v>
      </c>
      <c r="K65" s="110">
        <v>4897</v>
      </c>
      <c r="L65" s="107">
        <f t="shared" si="20"/>
        <v>0</v>
      </c>
      <c r="M65" s="111">
        <v>0</v>
      </c>
      <c r="N65" s="28">
        <f t="shared" si="21"/>
        <v>0</v>
      </c>
      <c r="O65" s="84">
        <f t="shared" si="22"/>
        <v>0</v>
      </c>
      <c r="P65" s="79">
        <f t="shared" si="23"/>
        <v>0</v>
      </c>
      <c r="Q65" s="34">
        <f t="shared" si="24"/>
        <v>0</v>
      </c>
      <c r="R65" s="1">
        <v>0</v>
      </c>
    </row>
    <row r="66" spans="1:18" ht="24" customHeight="1">
      <c r="A66" s="81">
        <v>19</v>
      </c>
      <c r="B66" s="31" t="s">
        <v>71</v>
      </c>
      <c r="C66" s="35">
        <v>312119.8</v>
      </c>
      <c r="D66" s="35">
        <v>312119.8</v>
      </c>
      <c r="E66" s="104">
        <f t="shared" si="25"/>
        <v>0</v>
      </c>
      <c r="F66" s="110">
        <v>22791</v>
      </c>
      <c r="G66" s="111">
        <v>0</v>
      </c>
      <c r="H66" s="10">
        <f t="shared" si="26"/>
        <v>0</v>
      </c>
      <c r="I66" s="35">
        <v>312119.8</v>
      </c>
      <c r="J66" s="106">
        <f t="shared" si="19"/>
        <v>0</v>
      </c>
      <c r="K66" s="110">
        <v>22791</v>
      </c>
      <c r="L66" s="107">
        <f t="shared" si="20"/>
        <v>0</v>
      </c>
      <c r="M66" s="111">
        <v>0</v>
      </c>
      <c r="N66" s="28">
        <f>IFERROR(J66/M66,0)</f>
        <v>0</v>
      </c>
      <c r="O66" s="84">
        <f t="shared" si="22"/>
        <v>0</v>
      </c>
      <c r="P66" s="79">
        <f>G66+M66</f>
        <v>0</v>
      </c>
      <c r="Q66" s="34">
        <f t="shared" si="24"/>
        <v>0</v>
      </c>
      <c r="R66" s="1">
        <v>0</v>
      </c>
    </row>
    <row r="67" spans="1:18" ht="24" customHeight="1">
      <c r="A67" s="81">
        <v>20</v>
      </c>
      <c r="B67" s="31" t="s">
        <v>72</v>
      </c>
      <c r="C67" s="35">
        <v>282871.3</v>
      </c>
      <c r="D67" s="35">
        <v>282871.3</v>
      </c>
      <c r="E67" s="104">
        <f t="shared" si="25"/>
        <v>0</v>
      </c>
      <c r="F67" s="110">
        <v>20422</v>
      </c>
      <c r="G67" s="111">
        <v>0</v>
      </c>
      <c r="H67" s="10">
        <f t="shared" si="26"/>
        <v>0</v>
      </c>
      <c r="I67" s="35">
        <v>282871.3</v>
      </c>
      <c r="J67" s="106">
        <f t="shared" si="19"/>
        <v>0</v>
      </c>
      <c r="K67" s="110">
        <v>20422</v>
      </c>
      <c r="L67" s="107">
        <f t="shared" si="20"/>
        <v>0</v>
      </c>
      <c r="M67" s="112">
        <v>0</v>
      </c>
      <c r="N67" s="28">
        <f t="shared" si="21"/>
        <v>0</v>
      </c>
      <c r="O67" s="84">
        <f t="shared" si="22"/>
        <v>0</v>
      </c>
      <c r="P67" s="79">
        <f t="shared" si="23"/>
        <v>0</v>
      </c>
      <c r="Q67" s="34">
        <f t="shared" si="24"/>
        <v>0</v>
      </c>
      <c r="R67" s="1">
        <v>0</v>
      </c>
    </row>
    <row r="68" spans="1:18" ht="24" customHeight="1">
      <c r="A68" s="81">
        <v>21</v>
      </c>
      <c r="B68" s="31" t="s">
        <v>73</v>
      </c>
      <c r="C68" s="104">
        <v>310561</v>
      </c>
      <c r="D68" s="104">
        <v>310561</v>
      </c>
      <c r="E68" s="104">
        <f t="shared" si="25"/>
        <v>0</v>
      </c>
      <c r="F68" s="110">
        <v>22515</v>
      </c>
      <c r="G68" s="111">
        <v>0</v>
      </c>
      <c r="H68" s="10">
        <f t="shared" si="26"/>
        <v>0</v>
      </c>
      <c r="I68" s="104">
        <v>310561</v>
      </c>
      <c r="J68" s="106">
        <f t="shared" si="19"/>
        <v>0</v>
      </c>
      <c r="K68" s="110">
        <v>22515</v>
      </c>
      <c r="L68" s="107">
        <f t="shared" si="20"/>
        <v>0</v>
      </c>
      <c r="M68" s="112">
        <v>0</v>
      </c>
      <c r="N68" s="28">
        <f t="shared" si="21"/>
        <v>0</v>
      </c>
      <c r="O68" s="84">
        <f t="shared" si="22"/>
        <v>0</v>
      </c>
      <c r="P68" s="79">
        <f t="shared" si="23"/>
        <v>0</v>
      </c>
      <c r="Q68" s="34">
        <f t="shared" si="24"/>
        <v>0</v>
      </c>
      <c r="R68" s="1">
        <v>0</v>
      </c>
    </row>
    <row r="69" spans="1:18" ht="24" customHeight="1">
      <c r="A69" s="109">
        <v>22</v>
      </c>
      <c r="B69" s="31" t="s">
        <v>74</v>
      </c>
      <c r="C69" s="35">
        <v>280947.59999999998</v>
      </c>
      <c r="D69" s="35">
        <v>280947.59999999998</v>
      </c>
      <c r="E69" s="104">
        <f t="shared" si="25"/>
        <v>0</v>
      </c>
      <c r="F69" s="110">
        <v>4047</v>
      </c>
      <c r="G69" s="111">
        <v>0</v>
      </c>
      <c r="H69" s="10">
        <f t="shared" si="26"/>
        <v>0</v>
      </c>
      <c r="I69" s="35">
        <v>280947.59999999998</v>
      </c>
      <c r="J69" s="106">
        <f t="shared" si="19"/>
        <v>0</v>
      </c>
      <c r="K69" s="110">
        <v>4047</v>
      </c>
      <c r="L69" s="107">
        <f>K69-F69</f>
        <v>0</v>
      </c>
      <c r="M69" s="111">
        <v>0</v>
      </c>
      <c r="N69" s="28">
        <f t="shared" si="21"/>
        <v>0</v>
      </c>
      <c r="O69" s="84">
        <f t="shared" si="22"/>
        <v>0</v>
      </c>
      <c r="P69" s="79">
        <f t="shared" si="23"/>
        <v>0</v>
      </c>
      <c r="Q69" s="34">
        <f t="shared" si="24"/>
        <v>0</v>
      </c>
      <c r="R69" s="1">
        <v>0</v>
      </c>
    </row>
    <row r="70" spans="1:18" ht="24" customHeight="1">
      <c r="A70" s="81">
        <v>23</v>
      </c>
      <c r="B70" s="31" t="s">
        <v>75</v>
      </c>
      <c r="C70" s="104">
        <v>298676.7</v>
      </c>
      <c r="D70" s="104">
        <v>298676.7</v>
      </c>
      <c r="E70" s="104">
        <f t="shared" si="25"/>
        <v>0</v>
      </c>
      <c r="F70" s="110">
        <v>21467</v>
      </c>
      <c r="G70" s="111">
        <v>0</v>
      </c>
      <c r="H70" s="10">
        <f t="shared" si="26"/>
        <v>0</v>
      </c>
      <c r="I70" s="104">
        <v>298676.7</v>
      </c>
      <c r="J70" s="106">
        <f t="shared" si="19"/>
        <v>0</v>
      </c>
      <c r="K70" s="110">
        <v>21467</v>
      </c>
      <c r="L70" s="107">
        <f t="shared" si="20"/>
        <v>0</v>
      </c>
      <c r="M70" s="112">
        <v>0</v>
      </c>
      <c r="N70" s="28">
        <f t="shared" si="21"/>
        <v>0</v>
      </c>
      <c r="O70" s="84">
        <f t="shared" si="22"/>
        <v>0</v>
      </c>
      <c r="P70" s="79">
        <f t="shared" si="23"/>
        <v>0</v>
      </c>
      <c r="Q70" s="34">
        <f t="shared" si="24"/>
        <v>0</v>
      </c>
      <c r="R70" s="1">
        <v>0</v>
      </c>
    </row>
    <row r="71" spans="1:18" ht="24" customHeight="1">
      <c r="A71" s="81">
        <v>24</v>
      </c>
      <c r="B71" s="31" t="s">
        <v>76</v>
      </c>
      <c r="C71" s="104">
        <v>263594.40000000002</v>
      </c>
      <c r="D71" s="104">
        <v>263594.40000000002</v>
      </c>
      <c r="E71" s="104">
        <f t="shared" si="25"/>
        <v>0</v>
      </c>
      <c r="F71" s="110">
        <v>19413</v>
      </c>
      <c r="G71" s="111">
        <v>0</v>
      </c>
      <c r="H71" s="10">
        <f t="shared" si="26"/>
        <v>0</v>
      </c>
      <c r="I71" s="104">
        <v>263594.40000000002</v>
      </c>
      <c r="J71" s="106">
        <f t="shared" si="19"/>
        <v>0</v>
      </c>
      <c r="K71" s="110">
        <v>19413</v>
      </c>
      <c r="L71" s="107">
        <f t="shared" si="20"/>
        <v>0</v>
      </c>
      <c r="M71" s="111">
        <v>0</v>
      </c>
      <c r="N71" s="28">
        <f t="shared" si="21"/>
        <v>0</v>
      </c>
      <c r="O71" s="84">
        <f t="shared" si="22"/>
        <v>0</v>
      </c>
      <c r="P71" s="79">
        <f t="shared" si="23"/>
        <v>0</v>
      </c>
      <c r="Q71" s="34">
        <f t="shared" si="24"/>
        <v>0</v>
      </c>
      <c r="R71" s="1">
        <v>0</v>
      </c>
    </row>
    <row r="72" spans="1:18" ht="24" customHeight="1">
      <c r="A72" s="81">
        <v>25</v>
      </c>
      <c r="B72" s="31" t="s">
        <v>77</v>
      </c>
      <c r="C72" s="83">
        <v>261723.3</v>
      </c>
      <c r="D72" s="83">
        <v>261723.3</v>
      </c>
      <c r="E72" s="104">
        <f t="shared" si="25"/>
        <v>0</v>
      </c>
      <c r="F72" s="110">
        <v>19131</v>
      </c>
      <c r="G72" s="111">
        <v>0</v>
      </c>
      <c r="H72" s="10">
        <f t="shared" si="26"/>
        <v>0</v>
      </c>
      <c r="I72" s="83">
        <v>261723.3</v>
      </c>
      <c r="J72" s="106">
        <f t="shared" si="19"/>
        <v>0</v>
      </c>
      <c r="K72" s="110">
        <v>19131</v>
      </c>
      <c r="L72" s="107">
        <f>K72-F72</f>
        <v>0</v>
      </c>
      <c r="M72" s="111">
        <v>0</v>
      </c>
      <c r="N72" s="28">
        <f t="shared" si="21"/>
        <v>0</v>
      </c>
      <c r="O72" s="84">
        <f t="shared" si="22"/>
        <v>0</v>
      </c>
      <c r="P72" s="79">
        <f t="shared" si="23"/>
        <v>0</v>
      </c>
      <c r="Q72" s="34">
        <f t="shared" si="24"/>
        <v>0</v>
      </c>
      <c r="R72" s="1">
        <v>0</v>
      </c>
    </row>
    <row r="73" spans="1:18" ht="24" customHeight="1">
      <c r="A73" s="109">
        <v>26</v>
      </c>
      <c r="B73" s="31" t="s">
        <v>78</v>
      </c>
      <c r="C73" s="104">
        <v>287364.2</v>
      </c>
      <c r="D73" s="104">
        <v>287364.2</v>
      </c>
      <c r="E73" s="104">
        <f t="shared" si="25"/>
        <v>0</v>
      </c>
      <c r="F73" s="110">
        <v>20701</v>
      </c>
      <c r="G73" s="111">
        <v>0</v>
      </c>
      <c r="H73" s="10">
        <f t="shared" si="26"/>
        <v>0</v>
      </c>
      <c r="I73" s="104">
        <v>287364.2</v>
      </c>
      <c r="J73" s="106">
        <f t="shared" si="19"/>
        <v>0</v>
      </c>
      <c r="K73" s="110">
        <v>20701</v>
      </c>
      <c r="L73" s="107">
        <f t="shared" si="20"/>
        <v>0</v>
      </c>
      <c r="M73" s="111">
        <v>0</v>
      </c>
      <c r="N73" s="28">
        <f t="shared" si="21"/>
        <v>0</v>
      </c>
      <c r="O73" s="84">
        <f t="shared" si="22"/>
        <v>0</v>
      </c>
      <c r="P73" s="79">
        <f t="shared" si="23"/>
        <v>0</v>
      </c>
      <c r="Q73" s="34">
        <f t="shared" si="24"/>
        <v>0</v>
      </c>
      <c r="R73" s="1">
        <v>0</v>
      </c>
    </row>
    <row r="74" spans="1:18" ht="24" customHeight="1">
      <c r="A74" s="81">
        <v>27</v>
      </c>
      <c r="B74" s="31" t="s">
        <v>79</v>
      </c>
      <c r="C74" s="104">
        <v>302181.2</v>
      </c>
      <c r="D74" s="104">
        <v>302181.2</v>
      </c>
      <c r="E74" s="104">
        <f t="shared" si="25"/>
        <v>0</v>
      </c>
      <c r="F74" s="110">
        <v>21434</v>
      </c>
      <c r="G74" s="111">
        <v>0</v>
      </c>
      <c r="H74" s="10">
        <f t="shared" si="26"/>
        <v>0</v>
      </c>
      <c r="I74" s="104">
        <v>302181.2</v>
      </c>
      <c r="J74" s="106">
        <f t="shared" si="19"/>
        <v>0</v>
      </c>
      <c r="K74" s="110">
        <v>21434</v>
      </c>
      <c r="L74" s="107">
        <f t="shared" si="20"/>
        <v>0</v>
      </c>
      <c r="M74" s="111">
        <v>0</v>
      </c>
      <c r="N74" s="28">
        <f t="shared" si="21"/>
        <v>0</v>
      </c>
      <c r="O74" s="84">
        <f t="shared" si="22"/>
        <v>0</v>
      </c>
      <c r="P74" s="79">
        <f t="shared" si="23"/>
        <v>0</v>
      </c>
      <c r="Q74" s="34">
        <f t="shared" si="24"/>
        <v>0</v>
      </c>
      <c r="R74" s="1">
        <v>0</v>
      </c>
    </row>
    <row r="75" spans="1:18" ht="24" customHeight="1">
      <c r="A75" s="81">
        <v>28</v>
      </c>
      <c r="B75" s="114" t="s">
        <v>80</v>
      </c>
      <c r="C75" s="104">
        <v>243134.9</v>
      </c>
      <c r="D75" s="104">
        <v>243134.9</v>
      </c>
      <c r="E75" s="104">
        <f t="shared" si="25"/>
        <v>0</v>
      </c>
      <c r="F75" s="110">
        <v>18126</v>
      </c>
      <c r="G75" s="111">
        <v>0</v>
      </c>
      <c r="H75" s="10">
        <f t="shared" si="26"/>
        <v>0</v>
      </c>
      <c r="I75" s="104">
        <v>243134.9</v>
      </c>
      <c r="J75" s="106">
        <f t="shared" si="19"/>
        <v>0</v>
      </c>
      <c r="K75" s="110">
        <v>18126</v>
      </c>
      <c r="L75" s="107">
        <f t="shared" si="20"/>
        <v>0</v>
      </c>
      <c r="M75" s="111">
        <v>0</v>
      </c>
      <c r="N75" s="28">
        <f t="shared" si="21"/>
        <v>0</v>
      </c>
      <c r="O75" s="84">
        <f t="shared" si="22"/>
        <v>0</v>
      </c>
      <c r="P75" s="79">
        <f t="shared" si="23"/>
        <v>0</v>
      </c>
      <c r="Q75" s="34">
        <f t="shared" si="24"/>
        <v>0</v>
      </c>
      <c r="R75" s="1">
        <v>0</v>
      </c>
    </row>
    <row r="76" spans="1:18" ht="24" customHeight="1">
      <c r="A76" s="81">
        <v>29</v>
      </c>
      <c r="B76" s="114" t="s">
        <v>81</v>
      </c>
      <c r="C76" s="104">
        <v>242568.7</v>
      </c>
      <c r="D76" s="104">
        <v>242568.7</v>
      </c>
      <c r="E76" s="104">
        <f t="shared" si="25"/>
        <v>0</v>
      </c>
      <c r="F76" s="110">
        <v>18093</v>
      </c>
      <c r="G76" s="111">
        <v>0</v>
      </c>
      <c r="H76" s="10">
        <f t="shared" si="26"/>
        <v>0</v>
      </c>
      <c r="I76" s="104">
        <v>242568.7</v>
      </c>
      <c r="J76" s="106">
        <f t="shared" si="19"/>
        <v>0</v>
      </c>
      <c r="K76" s="110">
        <v>18093</v>
      </c>
      <c r="L76" s="107">
        <f t="shared" si="20"/>
        <v>0</v>
      </c>
      <c r="M76" s="111">
        <v>0</v>
      </c>
      <c r="N76" s="28">
        <f t="shared" si="21"/>
        <v>0</v>
      </c>
      <c r="O76" s="84">
        <f t="shared" si="22"/>
        <v>0</v>
      </c>
      <c r="P76" s="79">
        <f t="shared" si="23"/>
        <v>0</v>
      </c>
      <c r="Q76" s="34">
        <f t="shared" si="24"/>
        <v>0</v>
      </c>
      <c r="R76" s="1">
        <v>0</v>
      </c>
    </row>
    <row r="77" spans="1:18" ht="24" customHeight="1">
      <c r="A77" s="109">
        <v>30</v>
      </c>
      <c r="B77" s="114" t="s">
        <v>82</v>
      </c>
      <c r="C77" s="104">
        <v>249389.7</v>
      </c>
      <c r="D77" s="104">
        <v>249389.7</v>
      </c>
      <c r="E77" s="104">
        <f t="shared" si="25"/>
        <v>0</v>
      </c>
      <c r="F77" s="110">
        <v>17720</v>
      </c>
      <c r="G77" s="111">
        <v>0</v>
      </c>
      <c r="H77" s="10">
        <f t="shared" si="26"/>
        <v>0</v>
      </c>
      <c r="I77" s="104">
        <v>249389.7</v>
      </c>
      <c r="J77" s="106">
        <f t="shared" si="19"/>
        <v>0</v>
      </c>
      <c r="K77" s="110">
        <v>17720</v>
      </c>
      <c r="L77" s="107">
        <f t="shared" si="20"/>
        <v>0</v>
      </c>
      <c r="M77" s="112">
        <v>0</v>
      </c>
      <c r="N77" s="28">
        <f t="shared" si="21"/>
        <v>0</v>
      </c>
      <c r="O77" s="84">
        <f t="shared" si="22"/>
        <v>0</v>
      </c>
      <c r="P77" s="79">
        <f t="shared" si="23"/>
        <v>0</v>
      </c>
      <c r="Q77" s="34">
        <f t="shared" si="24"/>
        <v>0</v>
      </c>
      <c r="R77" s="1">
        <v>0</v>
      </c>
    </row>
    <row r="78" spans="1:18" ht="24" customHeight="1">
      <c r="A78" s="81">
        <v>31</v>
      </c>
      <c r="B78" s="31" t="s">
        <v>83</v>
      </c>
      <c r="C78" s="104">
        <v>258181.9</v>
      </c>
      <c r="D78" s="104">
        <v>258181.9</v>
      </c>
      <c r="E78" s="104">
        <f t="shared" si="25"/>
        <v>0</v>
      </c>
      <c r="F78" s="110">
        <v>18285</v>
      </c>
      <c r="G78" s="111">
        <v>0</v>
      </c>
      <c r="H78" s="10">
        <f t="shared" si="26"/>
        <v>0</v>
      </c>
      <c r="I78" s="104">
        <v>258181.9</v>
      </c>
      <c r="J78" s="106">
        <f t="shared" si="19"/>
        <v>0</v>
      </c>
      <c r="K78" s="110">
        <v>18285</v>
      </c>
      <c r="L78" s="107">
        <f t="shared" si="20"/>
        <v>0</v>
      </c>
      <c r="M78" s="112">
        <v>0</v>
      </c>
      <c r="N78" s="28">
        <f t="shared" si="21"/>
        <v>0</v>
      </c>
      <c r="O78" s="84">
        <f t="shared" si="22"/>
        <v>0</v>
      </c>
      <c r="P78" s="79">
        <f t="shared" si="23"/>
        <v>0</v>
      </c>
      <c r="Q78" s="34">
        <f t="shared" si="24"/>
        <v>0</v>
      </c>
      <c r="R78" s="1">
        <v>0</v>
      </c>
    </row>
    <row r="79" spans="1:18" ht="24" customHeight="1">
      <c r="A79" s="81">
        <v>32</v>
      </c>
      <c r="B79" s="31" t="s">
        <v>84</v>
      </c>
      <c r="C79" s="104">
        <v>269216.59999999998</v>
      </c>
      <c r="D79" s="104">
        <v>269216.59999999998</v>
      </c>
      <c r="E79" s="104">
        <f t="shared" si="25"/>
        <v>0</v>
      </c>
      <c r="F79" s="110">
        <v>17611</v>
      </c>
      <c r="G79" s="111">
        <v>0</v>
      </c>
      <c r="H79" s="10">
        <f t="shared" si="26"/>
        <v>0</v>
      </c>
      <c r="I79" s="104">
        <v>269216.59999999998</v>
      </c>
      <c r="J79" s="106">
        <f t="shared" si="19"/>
        <v>0</v>
      </c>
      <c r="K79" s="110">
        <v>17611</v>
      </c>
      <c r="L79" s="107">
        <f t="shared" si="20"/>
        <v>0</v>
      </c>
      <c r="M79" s="112">
        <v>0</v>
      </c>
      <c r="N79" s="28">
        <f t="shared" si="21"/>
        <v>0</v>
      </c>
      <c r="O79" s="84">
        <f t="shared" si="22"/>
        <v>0</v>
      </c>
      <c r="P79" s="79">
        <f t="shared" si="23"/>
        <v>0</v>
      </c>
      <c r="Q79" s="34">
        <f t="shared" si="24"/>
        <v>0</v>
      </c>
      <c r="R79" s="1">
        <v>0</v>
      </c>
    </row>
    <row r="80" spans="1:18" ht="24" customHeight="1">
      <c r="A80" s="81">
        <v>33</v>
      </c>
      <c r="B80" s="31" t="s">
        <v>85</v>
      </c>
      <c r="C80" s="35">
        <v>277369.59999999998</v>
      </c>
      <c r="D80" s="35">
        <v>277369.59999999998</v>
      </c>
      <c r="E80" s="104">
        <f t="shared" si="25"/>
        <v>0</v>
      </c>
      <c r="F80" s="110">
        <v>19532</v>
      </c>
      <c r="G80" s="111">
        <v>0</v>
      </c>
      <c r="H80" s="10">
        <f t="shared" si="26"/>
        <v>0</v>
      </c>
      <c r="I80" s="35">
        <v>277369.59999999998</v>
      </c>
      <c r="J80" s="106">
        <f t="shared" si="19"/>
        <v>0</v>
      </c>
      <c r="K80" s="110">
        <v>19532</v>
      </c>
      <c r="L80" s="107">
        <f t="shared" si="20"/>
        <v>0</v>
      </c>
      <c r="M80" s="112">
        <v>0</v>
      </c>
      <c r="N80" s="28">
        <f t="shared" si="21"/>
        <v>0</v>
      </c>
      <c r="O80" s="84">
        <f t="shared" si="22"/>
        <v>0</v>
      </c>
      <c r="P80" s="79">
        <f t="shared" si="23"/>
        <v>0</v>
      </c>
      <c r="Q80" s="34">
        <f t="shared" si="24"/>
        <v>0</v>
      </c>
      <c r="R80" s="1">
        <v>0</v>
      </c>
    </row>
    <row r="81" spans="1:19" ht="24" customHeight="1">
      <c r="A81" s="109">
        <v>34</v>
      </c>
      <c r="B81" s="31" t="s">
        <v>86</v>
      </c>
      <c r="C81" s="104">
        <v>248328.8</v>
      </c>
      <c r="D81" s="104">
        <v>248328.8</v>
      </c>
      <c r="E81" s="104">
        <f t="shared" si="25"/>
        <v>0</v>
      </c>
      <c r="F81" s="110">
        <v>17614</v>
      </c>
      <c r="G81" s="111">
        <v>0</v>
      </c>
      <c r="H81" s="10">
        <f t="shared" si="26"/>
        <v>0</v>
      </c>
      <c r="I81" s="104">
        <v>248328.8</v>
      </c>
      <c r="J81" s="106">
        <f t="shared" si="19"/>
        <v>0</v>
      </c>
      <c r="K81" s="110">
        <v>17614</v>
      </c>
      <c r="L81" s="107">
        <f t="shared" si="20"/>
        <v>0</v>
      </c>
      <c r="M81" s="112">
        <v>0</v>
      </c>
      <c r="N81" s="28">
        <f t="shared" si="21"/>
        <v>0</v>
      </c>
      <c r="O81" s="84">
        <f t="shared" si="22"/>
        <v>0</v>
      </c>
      <c r="P81" s="79">
        <f t="shared" si="23"/>
        <v>0</v>
      </c>
      <c r="Q81" s="34">
        <f t="shared" si="24"/>
        <v>0</v>
      </c>
      <c r="R81" s="1">
        <v>0</v>
      </c>
    </row>
    <row r="82" spans="1:19" ht="24" customHeight="1">
      <c r="A82" s="81">
        <v>35</v>
      </c>
      <c r="B82" s="31" t="s">
        <v>87</v>
      </c>
      <c r="C82" s="104">
        <v>277313.8</v>
      </c>
      <c r="D82" s="104">
        <v>277313.8</v>
      </c>
      <c r="E82" s="104">
        <f t="shared" si="25"/>
        <v>0</v>
      </c>
      <c r="F82" s="110">
        <v>19116</v>
      </c>
      <c r="G82" s="111">
        <v>0</v>
      </c>
      <c r="H82" s="10">
        <f t="shared" si="26"/>
        <v>0</v>
      </c>
      <c r="I82" s="104">
        <v>277313.8</v>
      </c>
      <c r="J82" s="106">
        <f t="shared" si="19"/>
        <v>0</v>
      </c>
      <c r="K82" s="110">
        <v>19116</v>
      </c>
      <c r="L82" s="107">
        <f t="shared" si="20"/>
        <v>0</v>
      </c>
      <c r="M82" s="111">
        <v>0</v>
      </c>
      <c r="N82" s="28">
        <f t="shared" si="21"/>
        <v>0</v>
      </c>
      <c r="O82" s="84">
        <f t="shared" si="22"/>
        <v>0</v>
      </c>
      <c r="P82" s="79">
        <f t="shared" si="23"/>
        <v>0</v>
      </c>
      <c r="Q82" s="34">
        <f t="shared" si="24"/>
        <v>0</v>
      </c>
      <c r="R82" s="1">
        <v>0</v>
      </c>
    </row>
    <row r="83" spans="1:19" ht="24" customHeight="1">
      <c r="A83" s="81">
        <v>36</v>
      </c>
      <c r="B83" s="31" t="s">
        <v>88</v>
      </c>
      <c r="C83" s="104">
        <v>272980.09999999998</v>
      </c>
      <c r="D83" s="104">
        <v>272980.09999999998</v>
      </c>
      <c r="E83" s="104">
        <f t="shared" si="25"/>
        <v>0</v>
      </c>
      <c r="F83" s="110">
        <v>18477</v>
      </c>
      <c r="G83" s="111">
        <v>0</v>
      </c>
      <c r="H83" s="10">
        <f t="shared" si="26"/>
        <v>0</v>
      </c>
      <c r="I83" s="104">
        <v>272980.09999999998</v>
      </c>
      <c r="J83" s="106">
        <f t="shared" si="19"/>
        <v>0</v>
      </c>
      <c r="K83" s="110">
        <v>18477</v>
      </c>
      <c r="L83" s="107">
        <f t="shared" si="20"/>
        <v>0</v>
      </c>
      <c r="M83" s="111">
        <v>0</v>
      </c>
      <c r="N83" s="28">
        <f t="shared" si="21"/>
        <v>0</v>
      </c>
      <c r="O83" s="84">
        <f t="shared" si="22"/>
        <v>0</v>
      </c>
      <c r="P83" s="79">
        <f t="shared" si="23"/>
        <v>0</v>
      </c>
      <c r="Q83" s="34">
        <f t="shared" si="24"/>
        <v>0</v>
      </c>
      <c r="R83" s="1">
        <v>0</v>
      </c>
    </row>
    <row r="84" spans="1:19" ht="24" customHeight="1">
      <c r="A84" s="81">
        <v>37</v>
      </c>
      <c r="B84" s="31" t="s">
        <v>89</v>
      </c>
      <c r="C84" s="35">
        <v>265455.5</v>
      </c>
      <c r="D84" s="35">
        <v>265455.5</v>
      </c>
      <c r="E84" s="104">
        <f t="shared" si="25"/>
        <v>0</v>
      </c>
      <c r="F84" s="110">
        <v>18146</v>
      </c>
      <c r="G84" s="111">
        <v>0</v>
      </c>
      <c r="H84" s="10">
        <f t="shared" si="26"/>
        <v>0</v>
      </c>
      <c r="I84" s="35">
        <v>265455.5</v>
      </c>
      <c r="J84" s="106">
        <f t="shared" si="19"/>
        <v>0</v>
      </c>
      <c r="K84" s="110">
        <v>18146</v>
      </c>
      <c r="L84" s="107">
        <f t="shared" si="20"/>
        <v>0</v>
      </c>
      <c r="M84" s="111">
        <v>0</v>
      </c>
      <c r="N84" s="28">
        <f t="shared" si="21"/>
        <v>0</v>
      </c>
      <c r="O84" s="84">
        <f t="shared" si="22"/>
        <v>0</v>
      </c>
      <c r="P84" s="79">
        <f t="shared" si="23"/>
        <v>0</v>
      </c>
      <c r="Q84" s="34">
        <f t="shared" si="24"/>
        <v>0</v>
      </c>
      <c r="R84" s="1">
        <v>0</v>
      </c>
    </row>
    <row r="85" spans="1:19" ht="24" customHeight="1">
      <c r="A85" s="109">
        <v>38</v>
      </c>
      <c r="B85" s="31" t="s">
        <v>90</v>
      </c>
      <c r="C85" s="104">
        <v>242873.5</v>
      </c>
      <c r="D85" s="104">
        <v>242873.5</v>
      </c>
      <c r="E85" s="104">
        <f t="shared" si="25"/>
        <v>0</v>
      </c>
      <c r="F85" s="110">
        <v>17467</v>
      </c>
      <c r="G85" s="111">
        <v>0</v>
      </c>
      <c r="H85" s="10">
        <f>IFERROR(E85/G85,0)</f>
        <v>0</v>
      </c>
      <c r="I85" s="104">
        <v>242873.5</v>
      </c>
      <c r="J85" s="106">
        <f t="shared" si="19"/>
        <v>0</v>
      </c>
      <c r="K85" s="110">
        <v>17467</v>
      </c>
      <c r="L85" s="107">
        <f t="shared" si="20"/>
        <v>0</v>
      </c>
      <c r="M85" s="111">
        <v>0</v>
      </c>
      <c r="N85" s="28">
        <f t="shared" si="21"/>
        <v>0</v>
      </c>
      <c r="O85" s="84">
        <f t="shared" si="22"/>
        <v>0</v>
      </c>
      <c r="P85" s="79">
        <f t="shared" si="23"/>
        <v>0</v>
      </c>
      <c r="Q85" s="34">
        <f t="shared" si="24"/>
        <v>0</v>
      </c>
      <c r="R85" s="1">
        <v>0</v>
      </c>
    </row>
    <row r="86" spans="1:19" ht="24" customHeight="1">
      <c r="A86" s="81">
        <v>39</v>
      </c>
      <c r="B86" s="31" t="s">
        <v>91</v>
      </c>
      <c r="C86" s="104">
        <v>254153.9</v>
      </c>
      <c r="D86" s="104">
        <v>254153.9</v>
      </c>
      <c r="E86" s="104">
        <f t="shared" si="25"/>
        <v>0</v>
      </c>
      <c r="F86" s="110">
        <v>17731</v>
      </c>
      <c r="G86" s="111">
        <v>0</v>
      </c>
      <c r="H86" s="10">
        <f t="shared" si="26"/>
        <v>0</v>
      </c>
      <c r="I86" s="104">
        <v>254153.9</v>
      </c>
      <c r="J86" s="106">
        <f t="shared" si="19"/>
        <v>0</v>
      </c>
      <c r="K86" s="110">
        <v>17731</v>
      </c>
      <c r="L86" s="107">
        <f t="shared" si="20"/>
        <v>0</v>
      </c>
      <c r="M86" s="111">
        <v>0</v>
      </c>
      <c r="N86" s="28">
        <f t="shared" si="21"/>
        <v>0</v>
      </c>
      <c r="O86" s="84">
        <f t="shared" si="22"/>
        <v>0</v>
      </c>
      <c r="P86" s="79">
        <f t="shared" si="23"/>
        <v>0</v>
      </c>
      <c r="Q86" s="34">
        <f t="shared" si="24"/>
        <v>0</v>
      </c>
      <c r="R86" s="1">
        <v>0</v>
      </c>
    </row>
    <row r="87" spans="1:19" ht="24" customHeight="1">
      <c r="A87" s="81">
        <v>40</v>
      </c>
      <c r="B87" s="31" t="s">
        <v>92</v>
      </c>
      <c r="C87" s="35">
        <v>236734.6</v>
      </c>
      <c r="D87" s="35">
        <v>236734.6</v>
      </c>
      <c r="E87" s="104">
        <f>D87-C87</f>
        <v>0</v>
      </c>
      <c r="F87" s="110">
        <v>17104</v>
      </c>
      <c r="G87" s="111">
        <v>0</v>
      </c>
      <c r="H87" s="10">
        <f t="shared" si="26"/>
        <v>0</v>
      </c>
      <c r="I87" s="35">
        <v>236734.6</v>
      </c>
      <c r="J87" s="106">
        <f>I87-D87</f>
        <v>0</v>
      </c>
      <c r="K87" s="110">
        <v>17104</v>
      </c>
      <c r="L87" s="107">
        <f t="shared" si="20"/>
        <v>0</v>
      </c>
      <c r="M87" s="111">
        <v>0</v>
      </c>
      <c r="N87" s="28">
        <f t="shared" si="21"/>
        <v>0</v>
      </c>
      <c r="O87" s="84">
        <f t="shared" si="22"/>
        <v>0</v>
      </c>
      <c r="P87" s="79">
        <f>G87+M87</f>
        <v>0</v>
      </c>
      <c r="Q87" s="34">
        <f t="shared" si="24"/>
        <v>0</v>
      </c>
      <c r="R87" s="1">
        <v>0</v>
      </c>
    </row>
    <row r="88" spans="1:19" ht="24" customHeight="1">
      <c r="A88" s="81">
        <v>41</v>
      </c>
      <c r="B88" s="31" t="s">
        <v>93</v>
      </c>
      <c r="C88" s="104">
        <v>245069.3</v>
      </c>
      <c r="D88" s="104">
        <v>245069.3</v>
      </c>
      <c r="E88" s="104">
        <f>D88-C88</f>
        <v>0</v>
      </c>
      <c r="F88" s="110">
        <v>16590</v>
      </c>
      <c r="G88" s="111">
        <v>0</v>
      </c>
      <c r="H88" s="10">
        <f t="shared" si="26"/>
        <v>0</v>
      </c>
      <c r="I88" s="104">
        <v>245069.3</v>
      </c>
      <c r="J88" s="106">
        <f>I88-D88</f>
        <v>0</v>
      </c>
      <c r="K88" s="110">
        <v>16590</v>
      </c>
      <c r="L88" s="107">
        <f t="shared" si="20"/>
        <v>0</v>
      </c>
      <c r="M88" s="111">
        <v>0</v>
      </c>
      <c r="N88" s="28">
        <f t="shared" si="21"/>
        <v>0</v>
      </c>
      <c r="O88" s="84">
        <f t="shared" si="22"/>
        <v>0</v>
      </c>
      <c r="P88" s="79">
        <f t="shared" si="23"/>
        <v>0</v>
      </c>
      <c r="Q88" s="34">
        <f t="shared" si="24"/>
        <v>0</v>
      </c>
      <c r="R88" s="1">
        <v>0</v>
      </c>
      <c r="S88" t="s">
        <v>94</v>
      </c>
    </row>
    <row r="89" spans="1:19" ht="24" customHeight="1">
      <c r="A89" s="109">
        <v>42</v>
      </c>
      <c r="B89" s="31" t="s">
        <v>95</v>
      </c>
      <c r="C89" s="104">
        <v>242247.6</v>
      </c>
      <c r="D89" s="104">
        <v>242247.6</v>
      </c>
      <c r="E89" s="104">
        <f t="shared" si="25"/>
        <v>0</v>
      </c>
      <c r="F89" s="110">
        <v>18040</v>
      </c>
      <c r="G89" s="111">
        <v>0</v>
      </c>
      <c r="H89" s="10">
        <f t="shared" si="26"/>
        <v>0</v>
      </c>
      <c r="I89" s="104">
        <v>242247.6</v>
      </c>
      <c r="J89" s="106">
        <f t="shared" si="19"/>
        <v>0</v>
      </c>
      <c r="K89" s="110">
        <v>18040</v>
      </c>
      <c r="L89" s="107">
        <f t="shared" si="20"/>
        <v>0</v>
      </c>
      <c r="M89" s="111">
        <v>0</v>
      </c>
      <c r="N89" s="28">
        <f t="shared" si="21"/>
        <v>0</v>
      </c>
      <c r="O89" s="84">
        <f t="shared" si="22"/>
        <v>0</v>
      </c>
      <c r="P89" s="79">
        <f t="shared" si="23"/>
        <v>0</v>
      </c>
      <c r="Q89" s="34">
        <f t="shared" si="24"/>
        <v>0</v>
      </c>
      <c r="R89" s="1">
        <v>0</v>
      </c>
    </row>
    <row r="90" spans="1:19" ht="24" customHeight="1">
      <c r="A90" s="81">
        <v>43</v>
      </c>
      <c r="B90" s="31" t="s">
        <v>96</v>
      </c>
      <c r="C90" s="35">
        <v>246890</v>
      </c>
      <c r="D90" s="35">
        <v>246890</v>
      </c>
      <c r="E90" s="104">
        <f t="shared" si="25"/>
        <v>0</v>
      </c>
      <c r="F90" s="110">
        <v>17724</v>
      </c>
      <c r="G90" s="111">
        <v>0</v>
      </c>
      <c r="H90" s="10">
        <f>IFERROR(E90/G90,0)</f>
        <v>0</v>
      </c>
      <c r="I90" s="35">
        <v>246890</v>
      </c>
      <c r="J90" s="106">
        <f t="shared" si="19"/>
        <v>0</v>
      </c>
      <c r="K90" s="110">
        <v>17724</v>
      </c>
      <c r="L90" s="107">
        <f t="shared" si="20"/>
        <v>0</v>
      </c>
      <c r="M90" s="111">
        <v>0</v>
      </c>
      <c r="N90" s="28">
        <f t="shared" si="21"/>
        <v>0</v>
      </c>
      <c r="O90" s="84">
        <f t="shared" si="22"/>
        <v>0</v>
      </c>
      <c r="P90" s="79">
        <f t="shared" si="23"/>
        <v>0</v>
      </c>
      <c r="Q90" s="34">
        <f t="shared" si="24"/>
        <v>0</v>
      </c>
      <c r="R90" s="1">
        <v>0</v>
      </c>
    </row>
    <row r="91" spans="1:19" ht="24" customHeight="1">
      <c r="A91" s="81">
        <v>44</v>
      </c>
      <c r="B91" s="31" t="s">
        <v>97</v>
      </c>
      <c r="C91" s="104">
        <v>235262.5</v>
      </c>
      <c r="D91" s="104">
        <v>235262.5</v>
      </c>
      <c r="E91" s="104">
        <f t="shared" si="25"/>
        <v>0</v>
      </c>
      <c r="F91" s="110">
        <v>16240</v>
      </c>
      <c r="G91" s="111">
        <v>0</v>
      </c>
      <c r="H91" s="10">
        <f t="shared" si="26"/>
        <v>0</v>
      </c>
      <c r="I91" s="104">
        <v>235262.5</v>
      </c>
      <c r="J91" s="106">
        <f t="shared" si="19"/>
        <v>0</v>
      </c>
      <c r="K91" s="110">
        <v>16240</v>
      </c>
      <c r="L91" s="107">
        <f t="shared" si="20"/>
        <v>0</v>
      </c>
      <c r="M91" s="111">
        <v>0</v>
      </c>
      <c r="N91" s="28">
        <f t="shared" si="21"/>
        <v>0</v>
      </c>
      <c r="O91" s="84">
        <f t="shared" si="22"/>
        <v>0</v>
      </c>
      <c r="P91" s="79">
        <f t="shared" si="23"/>
        <v>0</v>
      </c>
      <c r="Q91" s="34">
        <f t="shared" si="24"/>
        <v>0</v>
      </c>
      <c r="R91" s="1">
        <v>0</v>
      </c>
    </row>
    <row r="92" spans="1:19" ht="24" customHeight="1">
      <c r="A92" s="81">
        <v>45</v>
      </c>
      <c r="B92" s="117" t="s">
        <v>98</v>
      </c>
      <c r="C92" s="104">
        <v>204372</v>
      </c>
      <c r="D92" s="104">
        <v>204372</v>
      </c>
      <c r="E92" s="118">
        <f t="shared" si="25"/>
        <v>0</v>
      </c>
      <c r="F92" s="110">
        <v>17402</v>
      </c>
      <c r="G92" s="111">
        <v>0</v>
      </c>
      <c r="H92" s="55">
        <f t="shared" si="26"/>
        <v>0</v>
      </c>
      <c r="I92" s="104">
        <v>204372</v>
      </c>
      <c r="J92" s="119">
        <f t="shared" si="19"/>
        <v>0</v>
      </c>
      <c r="K92" s="110">
        <v>17402</v>
      </c>
      <c r="L92" s="120">
        <f t="shared" si="20"/>
        <v>0</v>
      </c>
      <c r="M92" s="111">
        <v>0</v>
      </c>
      <c r="N92" s="28">
        <f t="shared" si="21"/>
        <v>0</v>
      </c>
      <c r="O92" s="58">
        <f t="shared" si="22"/>
        <v>0</v>
      </c>
      <c r="P92" s="79">
        <f t="shared" si="23"/>
        <v>0</v>
      </c>
      <c r="Q92" s="34">
        <f t="shared" si="24"/>
        <v>0</v>
      </c>
      <c r="R92" s="1">
        <v>0</v>
      </c>
    </row>
    <row r="93" spans="1:19" ht="24" customHeight="1">
      <c r="A93" s="109">
        <v>46</v>
      </c>
      <c r="B93" s="117" t="s">
        <v>99</v>
      </c>
      <c r="C93" s="104">
        <v>186406</v>
      </c>
      <c r="D93" s="104">
        <v>186406</v>
      </c>
      <c r="E93" s="118">
        <f t="shared" si="25"/>
        <v>0</v>
      </c>
      <c r="F93" s="110">
        <v>16317</v>
      </c>
      <c r="G93" s="111">
        <v>0</v>
      </c>
      <c r="H93" s="55">
        <f t="shared" si="26"/>
        <v>0</v>
      </c>
      <c r="I93" s="104">
        <v>186406</v>
      </c>
      <c r="J93" s="119">
        <f t="shared" si="19"/>
        <v>0</v>
      </c>
      <c r="K93" s="110">
        <v>16317</v>
      </c>
      <c r="L93" s="120">
        <f t="shared" si="20"/>
        <v>0</v>
      </c>
      <c r="M93" s="111">
        <v>0</v>
      </c>
      <c r="N93" s="28">
        <f t="shared" si="21"/>
        <v>0</v>
      </c>
      <c r="O93" s="58">
        <f t="shared" si="22"/>
        <v>0</v>
      </c>
      <c r="P93" s="79">
        <f t="shared" si="23"/>
        <v>0</v>
      </c>
      <c r="Q93" s="34">
        <f t="shared" si="24"/>
        <v>0</v>
      </c>
      <c r="R93" s="1"/>
    </row>
    <row r="94" spans="1:19" ht="24" customHeight="1">
      <c r="A94" s="81">
        <v>47</v>
      </c>
      <c r="B94" s="117" t="s">
        <v>100</v>
      </c>
      <c r="C94" s="104">
        <v>190156</v>
      </c>
      <c r="D94" s="104">
        <v>190156</v>
      </c>
      <c r="E94" s="118">
        <f t="shared" si="25"/>
        <v>0</v>
      </c>
      <c r="F94" s="110">
        <v>16975</v>
      </c>
      <c r="G94" s="111">
        <v>0</v>
      </c>
      <c r="H94" s="55">
        <f t="shared" si="26"/>
        <v>0</v>
      </c>
      <c r="I94" s="104">
        <v>190156</v>
      </c>
      <c r="J94" s="119">
        <f t="shared" si="19"/>
        <v>0</v>
      </c>
      <c r="K94" s="110">
        <v>16975</v>
      </c>
      <c r="L94" s="120">
        <f t="shared" si="20"/>
        <v>0</v>
      </c>
      <c r="M94" s="111">
        <v>0</v>
      </c>
      <c r="N94" s="28">
        <f t="shared" si="21"/>
        <v>0</v>
      </c>
      <c r="O94" s="58">
        <f t="shared" si="22"/>
        <v>0</v>
      </c>
      <c r="P94" s="79">
        <f t="shared" si="23"/>
        <v>0</v>
      </c>
      <c r="Q94" s="34">
        <f t="shared" si="24"/>
        <v>0</v>
      </c>
      <c r="R94" s="1"/>
    </row>
    <row r="95" spans="1:19" ht="24" customHeight="1">
      <c r="A95" s="81">
        <v>51</v>
      </c>
      <c r="B95" s="117" t="s">
        <v>101</v>
      </c>
      <c r="C95" s="104">
        <v>194366</v>
      </c>
      <c r="D95" s="104">
        <v>194366</v>
      </c>
      <c r="E95" s="118">
        <f t="shared" si="25"/>
        <v>0</v>
      </c>
      <c r="F95" s="110">
        <v>16465</v>
      </c>
      <c r="G95" s="111">
        <v>0</v>
      </c>
      <c r="H95" s="55">
        <f t="shared" si="26"/>
        <v>0</v>
      </c>
      <c r="I95" s="104">
        <v>194366</v>
      </c>
      <c r="J95" s="119">
        <f t="shared" si="19"/>
        <v>0</v>
      </c>
      <c r="K95" s="110">
        <v>16465</v>
      </c>
      <c r="L95" s="120">
        <f t="shared" si="20"/>
        <v>0</v>
      </c>
      <c r="M95" s="111">
        <v>0</v>
      </c>
      <c r="N95" s="28">
        <f t="shared" si="21"/>
        <v>0</v>
      </c>
      <c r="O95" s="58">
        <f t="shared" si="22"/>
        <v>0</v>
      </c>
      <c r="P95" s="79">
        <f t="shared" si="23"/>
        <v>0</v>
      </c>
      <c r="Q95" s="34">
        <f t="shared" si="24"/>
        <v>0</v>
      </c>
      <c r="R95" s="1"/>
    </row>
    <row r="96" spans="1:19" ht="24" customHeight="1">
      <c r="A96" s="81">
        <v>52</v>
      </c>
      <c r="B96" s="121" t="s">
        <v>102</v>
      </c>
      <c r="C96" s="104">
        <v>191283</v>
      </c>
      <c r="D96" s="104">
        <v>191283</v>
      </c>
      <c r="E96" s="118">
        <f t="shared" si="25"/>
        <v>0</v>
      </c>
      <c r="F96" s="110">
        <v>16253</v>
      </c>
      <c r="G96" s="111">
        <v>0</v>
      </c>
      <c r="H96" s="55">
        <f t="shared" si="26"/>
        <v>0</v>
      </c>
      <c r="I96" s="104">
        <v>191283</v>
      </c>
      <c r="J96" s="119">
        <f t="shared" si="19"/>
        <v>0</v>
      </c>
      <c r="K96" s="110">
        <v>16253</v>
      </c>
      <c r="L96" s="120">
        <f t="shared" si="20"/>
        <v>0</v>
      </c>
      <c r="M96" s="111">
        <v>0</v>
      </c>
      <c r="N96" s="28">
        <f t="shared" si="21"/>
        <v>0</v>
      </c>
      <c r="O96" s="58">
        <f t="shared" si="22"/>
        <v>0</v>
      </c>
      <c r="P96" s="79">
        <f t="shared" si="23"/>
        <v>0</v>
      </c>
      <c r="Q96" s="34">
        <f t="shared" si="24"/>
        <v>0</v>
      </c>
      <c r="R96" s="1">
        <v>0</v>
      </c>
    </row>
    <row r="97" spans="1:18" ht="24" customHeight="1">
      <c r="A97" s="81">
        <v>53</v>
      </c>
      <c r="B97" s="121" t="s">
        <v>103</v>
      </c>
      <c r="C97" s="104">
        <v>178752</v>
      </c>
      <c r="D97" s="104">
        <v>178752</v>
      </c>
      <c r="E97" s="118">
        <f t="shared" si="25"/>
        <v>0</v>
      </c>
      <c r="F97" s="110">
        <v>15140</v>
      </c>
      <c r="G97" s="111">
        <v>0</v>
      </c>
      <c r="H97" s="55">
        <f t="shared" si="26"/>
        <v>0</v>
      </c>
      <c r="I97" s="104">
        <v>178752</v>
      </c>
      <c r="J97" s="119">
        <f t="shared" si="19"/>
        <v>0</v>
      </c>
      <c r="K97" s="110">
        <v>15140</v>
      </c>
      <c r="L97" s="120">
        <f t="shared" si="20"/>
        <v>0</v>
      </c>
      <c r="M97" s="111">
        <v>0</v>
      </c>
      <c r="N97" s="28">
        <f t="shared" si="21"/>
        <v>0</v>
      </c>
      <c r="O97" s="58">
        <f t="shared" si="22"/>
        <v>0</v>
      </c>
      <c r="P97" s="79">
        <f t="shared" si="23"/>
        <v>0</v>
      </c>
      <c r="Q97" s="34">
        <f t="shared" si="24"/>
        <v>0</v>
      </c>
      <c r="R97" s="1">
        <v>0</v>
      </c>
    </row>
    <row r="98" spans="1:18" ht="24" customHeight="1">
      <c r="A98" s="109">
        <v>54</v>
      </c>
      <c r="B98" s="121" t="s">
        <v>104</v>
      </c>
      <c r="C98" s="104">
        <v>69242.2</v>
      </c>
      <c r="D98" s="104">
        <v>69242.2</v>
      </c>
      <c r="E98" s="122">
        <f t="shared" si="25"/>
        <v>0</v>
      </c>
      <c r="F98" s="110">
        <v>4667</v>
      </c>
      <c r="G98" s="111">
        <v>0</v>
      </c>
      <c r="H98" s="78">
        <f t="shared" si="26"/>
        <v>0</v>
      </c>
      <c r="I98" s="104">
        <v>69242.2</v>
      </c>
      <c r="J98" s="112">
        <f t="shared" si="19"/>
        <v>0</v>
      </c>
      <c r="K98" s="110">
        <v>4667</v>
      </c>
      <c r="L98" s="107">
        <f t="shared" si="20"/>
        <v>0</v>
      </c>
      <c r="M98" s="111">
        <v>0</v>
      </c>
      <c r="N98" s="28">
        <f t="shared" si="21"/>
        <v>0</v>
      </c>
      <c r="O98" s="58">
        <f t="shared" si="22"/>
        <v>0</v>
      </c>
      <c r="P98" s="79">
        <f t="shared" si="23"/>
        <v>0</v>
      </c>
      <c r="Q98" s="34">
        <f t="shared" si="24"/>
        <v>0</v>
      </c>
      <c r="R98" s="1">
        <v>0</v>
      </c>
    </row>
    <row r="99" spans="1:18" ht="24" customHeight="1">
      <c r="A99" s="81">
        <v>55</v>
      </c>
      <c r="B99" s="121" t="s">
        <v>105</v>
      </c>
      <c r="C99" s="35">
        <v>67824.399999999994</v>
      </c>
      <c r="D99" s="35">
        <v>67824.399999999994</v>
      </c>
      <c r="E99" s="122">
        <f t="shared" si="25"/>
        <v>0</v>
      </c>
      <c r="F99" s="110">
        <v>4667</v>
      </c>
      <c r="G99" s="111">
        <v>0</v>
      </c>
      <c r="H99" s="78">
        <f t="shared" si="26"/>
        <v>0</v>
      </c>
      <c r="I99" s="35">
        <v>67824.399999999994</v>
      </c>
      <c r="J99" s="112">
        <f t="shared" si="19"/>
        <v>0</v>
      </c>
      <c r="K99" s="110">
        <v>4667</v>
      </c>
      <c r="L99" s="107">
        <f t="shared" si="20"/>
        <v>0</v>
      </c>
      <c r="M99" s="111">
        <v>0</v>
      </c>
      <c r="N99" s="28">
        <f t="shared" si="21"/>
        <v>0</v>
      </c>
      <c r="O99" s="58">
        <f t="shared" si="22"/>
        <v>0</v>
      </c>
      <c r="P99" s="79">
        <f t="shared" si="23"/>
        <v>0</v>
      </c>
      <c r="Q99" s="34">
        <f t="shared" si="24"/>
        <v>0</v>
      </c>
      <c r="R99" s="1">
        <v>0</v>
      </c>
    </row>
    <row r="100" spans="1:18" ht="24" customHeight="1">
      <c r="A100" s="81">
        <v>56</v>
      </c>
      <c r="B100" s="121" t="s">
        <v>106</v>
      </c>
      <c r="C100" s="104">
        <v>65871.399999999994</v>
      </c>
      <c r="D100" s="104">
        <v>65871.399999999994</v>
      </c>
      <c r="E100" s="122">
        <f t="shared" si="25"/>
        <v>0</v>
      </c>
      <c r="F100" s="110">
        <v>4692</v>
      </c>
      <c r="G100" s="111">
        <v>0</v>
      </c>
      <c r="H100" s="78">
        <f t="shared" si="26"/>
        <v>0</v>
      </c>
      <c r="I100" s="104">
        <v>65871.399999999994</v>
      </c>
      <c r="J100" s="112">
        <f t="shared" si="19"/>
        <v>0</v>
      </c>
      <c r="K100" s="110">
        <v>4692</v>
      </c>
      <c r="L100" s="107">
        <f t="shared" si="20"/>
        <v>0</v>
      </c>
      <c r="M100" s="111">
        <v>0</v>
      </c>
      <c r="N100" s="28">
        <f t="shared" si="21"/>
        <v>0</v>
      </c>
      <c r="O100" s="58">
        <f t="shared" si="22"/>
        <v>0</v>
      </c>
      <c r="P100" s="79">
        <f t="shared" si="23"/>
        <v>0</v>
      </c>
      <c r="Q100" s="34">
        <f t="shared" si="24"/>
        <v>0</v>
      </c>
      <c r="R100" s="1">
        <v>0</v>
      </c>
    </row>
    <row r="101" spans="1:18" ht="24" customHeight="1">
      <c r="A101" s="81">
        <v>57</v>
      </c>
      <c r="B101" s="121" t="s">
        <v>107</v>
      </c>
      <c r="C101" s="104">
        <v>68036.5</v>
      </c>
      <c r="D101" s="104">
        <v>68036.5</v>
      </c>
      <c r="E101" s="122">
        <f t="shared" si="25"/>
        <v>0</v>
      </c>
      <c r="F101" s="110">
        <v>4690</v>
      </c>
      <c r="G101" s="111">
        <v>0</v>
      </c>
      <c r="H101" s="78">
        <f t="shared" si="26"/>
        <v>0</v>
      </c>
      <c r="I101" s="104">
        <v>68036.5</v>
      </c>
      <c r="J101" s="112">
        <f t="shared" si="19"/>
        <v>0</v>
      </c>
      <c r="K101" s="110">
        <v>4690</v>
      </c>
      <c r="L101" s="107">
        <f t="shared" si="20"/>
        <v>0</v>
      </c>
      <c r="M101" s="111">
        <v>0</v>
      </c>
      <c r="N101" s="28">
        <f t="shared" si="21"/>
        <v>0</v>
      </c>
      <c r="O101" s="58">
        <f t="shared" si="22"/>
        <v>0</v>
      </c>
      <c r="P101" s="79">
        <f t="shared" si="23"/>
        <v>0</v>
      </c>
      <c r="Q101" s="34">
        <f t="shared" si="24"/>
        <v>0</v>
      </c>
      <c r="R101" s="1">
        <v>0</v>
      </c>
    </row>
    <row r="102" spans="1:18" ht="24" customHeight="1">
      <c r="A102" s="109">
        <v>58</v>
      </c>
      <c r="B102" s="121" t="s">
        <v>108</v>
      </c>
      <c r="C102" s="104">
        <v>67064.3</v>
      </c>
      <c r="D102" s="104">
        <v>67064.3</v>
      </c>
      <c r="E102" s="122">
        <f t="shared" si="25"/>
        <v>0</v>
      </c>
      <c r="F102" s="110">
        <v>4656</v>
      </c>
      <c r="G102" s="111">
        <v>0</v>
      </c>
      <c r="H102" s="78">
        <f t="shared" si="26"/>
        <v>0</v>
      </c>
      <c r="I102" s="104">
        <v>67064.3</v>
      </c>
      <c r="J102" s="112">
        <f t="shared" si="19"/>
        <v>0</v>
      </c>
      <c r="K102" s="110">
        <v>4656</v>
      </c>
      <c r="L102" s="107">
        <f t="shared" si="20"/>
        <v>0</v>
      </c>
      <c r="M102" s="111">
        <v>0</v>
      </c>
      <c r="N102" s="28">
        <f t="shared" si="21"/>
        <v>0</v>
      </c>
      <c r="O102" s="58">
        <f t="shared" si="22"/>
        <v>0</v>
      </c>
      <c r="P102" s="79">
        <f t="shared" si="23"/>
        <v>0</v>
      </c>
      <c r="Q102" s="34">
        <f t="shared" si="24"/>
        <v>0</v>
      </c>
      <c r="R102" s="1">
        <v>0</v>
      </c>
    </row>
    <row r="103" spans="1:18" ht="24" customHeight="1">
      <c r="A103" s="81">
        <v>59</v>
      </c>
      <c r="B103" s="121" t="s">
        <v>109</v>
      </c>
      <c r="C103" s="104">
        <v>69036.100000000006</v>
      </c>
      <c r="D103" s="104">
        <v>69036.100000000006</v>
      </c>
      <c r="E103" s="118">
        <f t="shared" si="25"/>
        <v>0</v>
      </c>
      <c r="F103" s="110">
        <v>4756</v>
      </c>
      <c r="G103" s="111">
        <v>0</v>
      </c>
      <c r="H103" s="55">
        <f t="shared" si="26"/>
        <v>0</v>
      </c>
      <c r="I103" s="104">
        <v>69036.100000000006</v>
      </c>
      <c r="J103" s="119">
        <f t="shared" si="19"/>
        <v>0</v>
      </c>
      <c r="K103" s="110">
        <v>4756</v>
      </c>
      <c r="L103" s="120">
        <f t="shared" si="20"/>
        <v>0</v>
      </c>
      <c r="M103" s="111">
        <v>0</v>
      </c>
      <c r="N103" s="28">
        <f t="shared" si="21"/>
        <v>0</v>
      </c>
      <c r="O103" s="58">
        <f t="shared" si="22"/>
        <v>0</v>
      </c>
      <c r="P103" s="79">
        <f t="shared" si="23"/>
        <v>0</v>
      </c>
      <c r="Q103" s="34">
        <f t="shared" si="24"/>
        <v>0</v>
      </c>
      <c r="R103" s="1">
        <v>0</v>
      </c>
    </row>
    <row r="104" spans="1:18" ht="24" customHeight="1">
      <c r="A104" s="109">
        <v>60</v>
      </c>
      <c r="B104" s="121" t="s">
        <v>110</v>
      </c>
      <c r="C104" s="104">
        <v>33050.6</v>
      </c>
      <c r="D104" s="104">
        <v>33050.6</v>
      </c>
      <c r="E104" s="118">
        <f t="shared" si="25"/>
        <v>0</v>
      </c>
      <c r="F104" s="110">
        <v>2672</v>
      </c>
      <c r="G104" s="111">
        <v>0</v>
      </c>
      <c r="H104" s="55">
        <f t="shared" si="26"/>
        <v>0</v>
      </c>
      <c r="I104" s="104">
        <v>33050.6</v>
      </c>
      <c r="J104" s="119">
        <f t="shared" si="19"/>
        <v>0</v>
      </c>
      <c r="K104" s="110">
        <v>2672</v>
      </c>
      <c r="L104" s="120">
        <f t="shared" si="20"/>
        <v>0</v>
      </c>
      <c r="M104" s="111">
        <v>0</v>
      </c>
      <c r="N104" s="28">
        <f t="shared" si="21"/>
        <v>0</v>
      </c>
      <c r="O104" s="58">
        <f t="shared" si="22"/>
        <v>0</v>
      </c>
      <c r="P104" s="79">
        <f t="shared" si="23"/>
        <v>0</v>
      </c>
      <c r="Q104" s="34">
        <f t="shared" si="24"/>
        <v>0</v>
      </c>
      <c r="R104" s="1">
        <v>0</v>
      </c>
    </row>
    <row r="105" spans="1:18" ht="22.2" customHeight="1">
      <c r="A105" s="123" t="s">
        <v>28</v>
      </c>
      <c r="B105" s="123"/>
      <c r="C105" s="40"/>
      <c r="D105" s="123"/>
      <c r="E105" s="124">
        <f>SUM(E48:E104)</f>
        <v>0</v>
      </c>
      <c r="F105" s="125"/>
      <c r="G105" s="126">
        <f>SUM(G48:G104)</f>
        <v>0</v>
      </c>
      <c r="H105" s="39"/>
      <c r="I105" s="40"/>
      <c r="J105" s="40">
        <f>SUM(J48:J104)</f>
        <v>0</v>
      </c>
      <c r="K105" s="127"/>
      <c r="L105" s="128">
        <f>SUM(L48:L104)</f>
        <v>0</v>
      </c>
      <c r="M105" s="128">
        <f>SUM(M48:M104)</f>
        <v>0</v>
      </c>
      <c r="N105" s="28">
        <f>IFERROR(J105/M105,0)</f>
        <v>0</v>
      </c>
      <c r="O105" s="129">
        <f>SUM(O48:O104)</f>
        <v>0</v>
      </c>
      <c r="P105" s="79">
        <f>G105+M105</f>
        <v>0</v>
      </c>
      <c r="Q105" s="34">
        <f>IFERROR(O105/P105,0)</f>
        <v>0</v>
      </c>
      <c r="R105" s="130">
        <f>SUM(R48:R104)</f>
        <v>0</v>
      </c>
    </row>
    <row r="106" spans="1:18" ht="22.2" customHeight="1" thickBot="1">
      <c r="A106" s="206" t="s">
        <v>111</v>
      </c>
      <c r="B106" s="207"/>
      <c r="C106" s="207"/>
      <c r="D106" s="207"/>
      <c r="E106" s="207"/>
      <c r="F106" s="207"/>
      <c r="G106" s="207"/>
      <c r="H106" s="207"/>
      <c r="I106" s="207"/>
      <c r="J106" s="207"/>
      <c r="K106" s="207"/>
      <c r="L106" s="208"/>
      <c r="M106" s="131"/>
      <c r="N106" s="132"/>
      <c r="O106" s="133"/>
    </row>
    <row r="107" spans="1:18" ht="22.2" customHeight="1">
      <c r="A107" s="209" t="s">
        <v>3</v>
      </c>
      <c r="B107" s="211" t="s">
        <v>4</v>
      </c>
      <c r="C107" s="213" t="s">
        <v>5</v>
      </c>
      <c r="D107" s="214"/>
      <c r="E107" s="214"/>
      <c r="F107" s="214"/>
      <c r="G107" s="215"/>
      <c r="H107" s="216" t="s">
        <v>6</v>
      </c>
      <c r="I107" s="217"/>
      <c r="J107" s="217"/>
      <c r="K107" s="218"/>
      <c r="L107" s="48"/>
      <c r="M107" s="219" t="s">
        <v>7</v>
      </c>
      <c r="N107" s="194" t="s">
        <v>8</v>
      </c>
      <c r="O107" s="37"/>
    </row>
    <row r="108" spans="1:18" ht="27.6" customHeight="1" thickBot="1">
      <c r="A108" s="210"/>
      <c r="B108" s="212"/>
      <c r="C108" s="49" t="s">
        <v>11</v>
      </c>
      <c r="D108" s="49" t="s">
        <v>12</v>
      </c>
      <c r="E108" s="49" t="s">
        <v>13</v>
      </c>
      <c r="F108" s="6" t="s">
        <v>14</v>
      </c>
      <c r="G108" s="6" t="s">
        <v>8</v>
      </c>
      <c r="H108" s="49" t="s">
        <v>12</v>
      </c>
      <c r="I108" s="49" t="s">
        <v>13</v>
      </c>
      <c r="J108" s="49" t="s">
        <v>14</v>
      </c>
      <c r="K108" s="7" t="s">
        <v>8</v>
      </c>
      <c r="L108" s="50" t="s">
        <v>15</v>
      </c>
      <c r="M108" s="220"/>
      <c r="N108" s="195"/>
      <c r="O108" s="37"/>
    </row>
    <row r="109" spans="1:18" ht="22.2" customHeight="1">
      <c r="A109" s="76">
        <v>1</v>
      </c>
      <c r="B109" s="31" t="s">
        <v>112</v>
      </c>
      <c r="C109" s="35">
        <v>121512</v>
      </c>
      <c r="D109" s="35">
        <v>121512</v>
      </c>
      <c r="E109" s="17">
        <f>D109-C109</f>
        <v>0</v>
      </c>
      <c r="F109" s="33">
        <v>0</v>
      </c>
      <c r="G109" s="10">
        <f>IFERROR(F109/E109,0)</f>
        <v>0</v>
      </c>
      <c r="H109" s="35">
        <v>121512</v>
      </c>
      <c r="I109" s="19">
        <f>H109-D109</f>
        <v>0</v>
      </c>
      <c r="J109" s="33">
        <v>0</v>
      </c>
      <c r="K109" s="28">
        <f t="shared" ref="K109:K135" si="27">IFERROR(J109/I109,0)</f>
        <v>0</v>
      </c>
      <c r="L109" s="18">
        <f t="shared" ref="L109:M125" si="28">E109+I109</f>
        <v>0</v>
      </c>
      <c r="M109" s="22">
        <f>F109+J109</f>
        <v>0</v>
      </c>
      <c r="N109" s="71">
        <f>IFERROR(L109/M109,0)</f>
        <v>0</v>
      </c>
      <c r="O109" s="37"/>
    </row>
    <row r="110" spans="1:18" ht="22.2" customHeight="1">
      <c r="A110" s="76">
        <v>2</v>
      </c>
      <c r="B110" s="31" t="s">
        <v>113</v>
      </c>
      <c r="C110" s="35">
        <v>4229.1099999999997</v>
      </c>
      <c r="D110" s="35">
        <v>4229.1099999999997</v>
      </c>
      <c r="E110" s="17">
        <f t="shared" ref="E110:E135" si="29">D110-C110</f>
        <v>0</v>
      </c>
      <c r="F110" s="33">
        <v>0</v>
      </c>
      <c r="G110" s="10">
        <f t="shared" ref="G110:G135" si="30">IFERROR(F110/E110,0)</f>
        <v>0</v>
      </c>
      <c r="H110" s="35">
        <v>4248.17</v>
      </c>
      <c r="I110" s="19">
        <f>H110-D110</f>
        <v>19.0600000000004</v>
      </c>
      <c r="J110" s="33">
        <v>126</v>
      </c>
      <c r="K110" s="28">
        <f t="shared" si="27"/>
        <v>6.6107030430218972</v>
      </c>
      <c r="L110" s="18">
        <f t="shared" si="28"/>
        <v>19.0600000000004</v>
      </c>
      <c r="M110" s="22">
        <f t="shared" si="28"/>
        <v>126</v>
      </c>
      <c r="N110" s="71">
        <f t="shared" ref="N110:N135" si="31">IFERROR(L110/M110,0)</f>
        <v>0.15126984126984444</v>
      </c>
      <c r="O110" s="134"/>
    </row>
    <row r="111" spans="1:18" ht="22.2" customHeight="1">
      <c r="A111" s="76">
        <v>3</v>
      </c>
      <c r="B111" s="31" t="s">
        <v>114</v>
      </c>
      <c r="C111" s="135">
        <v>126.47</v>
      </c>
      <c r="D111" s="135">
        <v>126.47</v>
      </c>
      <c r="E111" s="17">
        <f t="shared" si="29"/>
        <v>0</v>
      </c>
      <c r="F111" s="33">
        <v>0</v>
      </c>
      <c r="G111" s="10">
        <f t="shared" si="30"/>
        <v>0</v>
      </c>
      <c r="H111" s="135">
        <v>126.47</v>
      </c>
      <c r="I111" s="19">
        <f t="shared" ref="I111:I135" si="32">H111-D111</f>
        <v>0</v>
      </c>
      <c r="J111" s="33">
        <v>0</v>
      </c>
      <c r="K111" s="28">
        <f t="shared" si="27"/>
        <v>0</v>
      </c>
      <c r="L111" s="18">
        <f t="shared" si="28"/>
        <v>0</v>
      </c>
      <c r="M111" s="22">
        <f t="shared" si="28"/>
        <v>0</v>
      </c>
      <c r="N111" s="71">
        <f t="shared" si="31"/>
        <v>0</v>
      </c>
      <c r="O111" s="37"/>
    </row>
    <row r="112" spans="1:18" ht="22.2" customHeight="1">
      <c r="A112" s="76">
        <v>4</v>
      </c>
      <c r="B112" s="31" t="s">
        <v>115</v>
      </c>
      <c r="C112" s="136">
        <v>138938</v>
      </c>
      <c r="D112" s="136">
        <v>138938</v>
      </c>
      <c r="E112" s="17">
        <f t="shared" si="29"/>
        <v>0</v>
      </c>
      <c r="F112" s="33">
        <v>0</v>
      </c>
      <c r="G112" s="10">
        <f t="shared" si="30"/>
        <v>0</v>
      </c>
      <c r="H112" s="136">
        <v>138938</v>
      </c>
      <c r="I112" s="19">
        <f t="shared" si="32"/>
        <v>0</v>
      </c>
      <c r="J112" s="33">
        <v>0</v>
      </c>
      <c r="K112" s="28">
        <f t="shared" si="27"/>
        <v>0</v>
      </c>
      <c r="L112" s="18">
        <f t="shared" si="28"/>
        <v>0</v>
      </c>
      <c r="M112" s="22">
        <f t="shared" si="28"/>
        <v>0</v>
      </c>
      <c r="N112" s="71">
        <f t="shared" si="31"/>
        <v>0</v>
      </c>
      <c r="O112" s="137"/>
    </row>
    <row r="113" spans="1:17" ht="22.2" customHeight="1">
      <c r="A113" s="76">
        <v>5</v>
      </c>
      <c r="B113" s="31" t="s">
        <v>116</v>
      </c>
      <c r="C113" s="35">
        <v>44558.9</v>
      </c>
      <c r="D113" s="35">
        <v>44558.9</v>
      </c>
      <c r="E113" s="17">
        <f t="shared" si="29"/>
        <v>0</v>
      </c>
      <c r="F113" s="33">
        <v>0</v>
      </c>
      <c r="G113" s="10">
        <f t="shared" si="30"/>
        <v>0</v>
      </c>
      <c r="H113" s="35">
        <v>44558.9</v>
      </c>
      <c r="I113" s="19">
        <f t="shared" si="32"/>
        <v>0</v>
      </c>
      <c r="J113" s="33">
        <v>0</v>
      </c>
      <c r="K113" s="28">
        <f t="shared" si="27"/>
        <v>0</v>
      </c>
      <c r="L113" s="18">
        <f t="shared" si="28"/>
        <v>0</v>
      </c>
      <c r="M113" s="22">
        <f t="shared" si="28"/>
        <v>0</v>
      </c>
      <c r="N113" s="71">
        <f t="shared" si="31"/>
        <v>0</v>
      </c>
      <c r="O113" s="77"/>
    </row>
    <row r="114" spans="1:17" ht="22.2" customHeight="1">
      <c r="A114" s="76">
        <v>6</v>
      </c>
      <c r="B114" s="31" t="s">
        <v>117</v>
      </c>
      <c r="C114" s="35">
        <v>100316.9</v>
      </c>
      <c r="D114" s="35">
        <v>100316.9</v>
      </c>
      <c r="E114" s="17">
        <f t="shared" si="29"/>
        <v>0</v>
      </c>
      <c r="F114" s="33">
        <v>0</v>
      </c>
      <c r="G114" s="10">
        <f t="shared" si="30"/>
        <v>0</v>
      </c>
      <c r="H114" s="35">
        <v>100316.9</v>
      </c>
      <c r="I114" s="19">
        <f t="shared" si="32"/>
        <v>0</v>
      </c>
      <c r="J114" s="33">
        <v>0</v>
      </c>
      <c r="K114" s="28">
        <f t="shared" si="27"/>
        <v>0</v>
      </c>
      <c r="L114" s="18">
        <f t="shared" si="28"/>
        <v>0</v>
      </c>
      <c r="M114" s="22">
        <f t="shared" si="28"/>
        <v>0</v>
      </c>
      <c r="N114" s="71">
        <f t="shared" si="31"/>
        <v>0</v>
      </c>
      <c r="O114" s="37"/>
    </row>
    <row r="115" spans="1:17" ht="22.2" customHeight="1">
      <c r="A115" s="76">
        <v>7</v>
      </c>
      <c r="B115" s="31" t="s">
        <v>118</v>
      </c>
      <c r="C115" s="35">
        <v>152067.5</v>
      </c>
      <c r="D115" s="35">
        <v>152067.5</v>
      </c>
      <c r="E115" s="17">
        <f t="shared" si="29"/>
        <v>0</v>
      </c>
      <c r="F115" s="33">
        <v>0</v>
      </c>
      <c r="G115" s="10">
        <f t="shared" si="30"/>
        <v>0</v>
      </c>
      <c r="H115" s="35">
        <v>152067.5</v>
      </c>
      <c r="I115" s="19">
        <f t="shared" si="32"/>
        <v>0</v>
      </c>
      <c r="J115" s="33">
        <v>0</v>
      </c>
      <c r="K115" s="28">
        <f t="shared" si="27"/>
        <v>0</v>
      </c>
      <c r="L115" s="18">
        <f t="shared" si="28"/>
        <v>0</v>
      </c>
      <c r="M115" s="22">
        <f>F115+J115</f>
        <v>0</v>
      </c>
      <c r="N115" s="71">
        <f t="shared" si="31"/>
        <v>0</v>
      </c>
      <c r="O115" s="37"/>
    </row>
    <row r="116" spans="1:17" ht="22.2" customHeight="1">
      <c r="A116" s="76">
        <v>8</v>
      </c>
      <c r="B116" s="138" t="s">
        <v>119</v>
      </c>
      <c r="C116" s="136">
        <v>40493.800000000003</v>
      </c>
      <c r="D116" s="136">
        <v>40493.800000000003</v>
      </c>
      <c r="E116" s="17">
        <f t="shared" si="29"/>
        <v>0</v>
      </c>
      <c r="F116" s="33">
        <v>0</v>
      </c>
      <c r="G116" s="10">
        <f t="shared" si="30"/>
        <v>0</v>
      </c>
      <c r="H116" s="136">
        <v>40493.800000000003</v>
      </c>
      <c r="I116" s="19">
        <f t="shared" si="32"/>
        <v>0</v>
      </c>
      <c r="J116" s="33">
        <v>0</v>
      </c>
      <c r="K116" s="28">
        <f t="shared" si="27"/>
        <v>0</v>
      </c>
      <c r="L116" s="18">
        <f t="shared" si="28"/>
        <v>0</v>
      </c>
      <c r="M116" s="22">
        <f>F116+J116</f>
        <v>0</v>
      </c>
      <c r="N116" s="71">
        <f t="shared" si="31"/>
        <v>0</v>
      </c>
      <c r="O116" s="37"/>
    </row>
    <row r="117" spans="1:17" ht="22.2" customHeight="1">
      <c r="A117" s="76">
        <v>9</v>
      </c>
      <c r="B117" s="138" t="s">
        <v>120</v>
      </c>
      <c r="C117" s="35">
        <v>33478</v>
      </c>
      <c r="D117" s="35">
        <v>33478</v>
      </c>
      <c r="E117" s="17">
        <f t="shared" si="29"/>
        <v>0</v>
      </c>
      <c r="F117" s="33">
        <v>0</v>
      </c>
      <c r="G117" s="10">
        <f t="shared" si="30"/>
        <v>0</v>
      </c>
      <c r="H117" s="35">
        <v>33478</v>
      </c>
      <c r="I117" s="19">
        <f t="shared" si="32"/>
        <v>0</v>
      </c>
      <c r="J117" s="33">
        <v>0</v>
      </c>
      <c r="K117" s="28">
        <f t="shared" si="27"/>
        <v>0</v>
      </c>
      <c r="L117" s="18">
        <f t="shared" si="28"/>
        <v>0</v>
      </c>
      <c r="M117" s="22">
        <f t="shared" si="28"/>
        <v>0</v>
      </c>
      <c r="N117" s="71">
        <f t="shared" si="31"/>
        <v>0</v>
      </c>
      <c r="O117" s="37"/>
    </row>
    <row r="118" spans="1:17" ht="22.2" customHeight="1">
      <c r="A118" s="76">
        <v>10</v>
      </c>
      <c r="B118" s="31" t="s">
        <v>121</v>
      </c>
      <c r="C118" s="35">
        <v>154569</v>
      </c>
      <c r="D118" s="35">
        <v>154569</v>
      </c>
      <c r="E118" s="17">
        <f t="shared" si="29"/>
        <v>0</v>
      </c>
      <c r="F118" s="33">
        <v>0</v>
      </c>
      <c r="G118" s="10">
        <f t="shared" si="30"/>
        <v>0</v>
      </c>
      <c r="H118" s="35">
        <v>154569</v>
      </c>
      <c r="I118" s="19">
        <f t="shared" si="32"/>
        <v>0</v>
      </c>
      <c r="J118" s="33">
        <v>0</v>
      </c>
      <c r="K118" s="28">
        <f t="shared" si="27"/>
        <v>0</v>
      </c>
      <c r="L118" s="18">
        <f t="shared" si="28"/>
        <v>0</v>
      </c>
      <c r="M118" s="22">
        <f t="shared" si="28"/>
        <v>0</v>
      </c>
      <c r="N118" s="71">
        <f t="shared" si="31"/>
        <v>0</v>
      </c>
      <c r="O118" s="137"/>
    </row>
    <row r="119" spans="1:17" ht="23.4" customHeight="1">
      <c r="A119" s="76">
        <v>11</v>
      </c>
      <c r="B119" s="139" t="s">
        <v>122</v>
      </c>
      <c r="C119" s="35">
        <v>36223</v>
      </c>
      <c r="D119" s="35">
        <v>36223</v>
      </c>
      <c r="E119" s="17">
        <f t="shared" si="29"/>
        <v>0</v>
      </c>
      <c r="F119" s="33">
        <v>0</v>
      </c>
      <c r="G119" s="10">
        <f t="shared" si="30"/>
        <v>0</v>
      </c>
      <c r="H119" s="35">
        <v>36223</v>
      </c>
      <c r="I119" s="19">
        <f t="shared" si="32"/>
        <v>0</v>
      </c>
      <c r="J119" s="33">
        <v>0</v>
      </c>
      <c r="K119" s="28">
        <f t="shared" si="27"/>
        <v>0</v>
      </c>
      <c r="L119" s="18">
        <f t="shared" si="28"/>
        <v>0</v>
      </c>
      <c r="M119" s="22">
        <f t="shared" si="28"/>
        <v>0</v>
      </c>
      <c r="N119" s="71">
        <f t="shared" si="31"/>
        <v>0</v>
      </c>
      <c r="O119" s="37"/>
      <c r="Q119" s="38"/>
    </row>
    <row r="120" spans="1:17" ht="22.2" customHeight="1">
      <c r="A120" s="76">
        <v>12</v>
      </c>
      <c r="B120" s="139" t="s">
        <v>123</v>
      </c>
      <c r="C120" s="35">
        <v>15392</v>
      </c>
      <c r="D120" s="35">
        <v>15392</v>
      </c>
      <c r="E120" s="17">
        <f t="shared" si="29"/>
        <v>0</v>
      </c>
      <c r="F120" s="33">
        <v>0</v>
      </c>
      <c r="G120" s="78">
        <f t="shared" si="30"/>
        <v>0</v>
      </c>
      <c r="H120" s="35">
        <v>15392</v>
      </c>
      <c r="I120" s="19">
        <f t="shared" si="32"/>
        <v>0</v>
      </c>
      <c r="J120" s="33">
        <v>0</v>
      </c>
      <c r="K120" s="28">
        <f t="shared" si="27"/>
        <v>0</v>
      </c>
      <c r="L120" s="18">
        <f t="shared" si="28"/>
        <v>0</v>
      </c>
      <c r="M120" s="79">
        <f t="shared" si="28"/>
        <v>0</v>
      </c>
      <c r="N120" s="71">
        <f t="shared" si="31"/>
        <v>0</v>
      </c>
      <c r="O120" s="37"/>
      <c r="Q120" s="45"/>
    </row>
    <row r="121" spans="1:17" ht="21.6" customHeight="1">
      <c r="A121" s="76">
        <v>13</v>
      </c>
      <c r="B121" s="140" t="s">
        <v>124</v>
      </c>
      <c r="C121" s="35">
        <v>890.2</v>
      </c>
      <c r="D121" s="35">
        <v>890.2</v>
      </c>
      <c r="E121" s="17">
        <f t="shared" si="29"/>
        <v>0</v>
      </c>
      <c r="F121" s="35">
        <v>0</v>
      </c>
      <c r="G121" s="78">
        <f t="shared" si="30"/>
        <v>0</v>
      </c>
      <c r="H121" s="35">
        <v>890.2</v>
      </c>
      <c r="I121" s="19">
        <f t="shared" si="32"/>
        <v>0</v>
      </c>
      <c r="J121" s="35">
        <v>0</v>
      </c>
      <c r="K121" s="28">
        <f t="shared" si="27"/>
        <v>0</v>
      </c>
      <c r="L121" s="18">
        <f t="shared" si="28"/>
        <v>0</v>
      </c>
      <c r="M121" s="79">
        <f t="shared" si="28"/>
        <v>0</v>
      </c>
      <c r="N121" s="71">
        <f t="shared" si="31"/>
        <v>0</v>
      </c>
      <c r="O121" s="37"/>
      <c r="Q121" s="45"/>
    </row>
    <row r="122" spans="1:17" ht="21.6" customHeight="1">
      <c r="A122" s="76">
        <v>14</v>
      </c>
      <c r="B122" s="140" t="s">
        <v>125</v>
      </c>
      <c r="C122" s="35">
        <v>1676</v>
      </c>
      <c r="D122" s="35">
        <v>1676</v>
      </c>
      <c r="E122" s="17">
        <f t="shared" si="29"/>
        <v>0</v>
      </c>
      <c r="F122" s="35">
        <v>0</v>
      </c>
      <c r="G122" s="78">
        <f t="shared" si="30"/>
        <v>0</v>
      </c>
      <c r="H122" s="35">
        <v>1676</v>
      </c>
      <c r="I122" s="19">
        <f t="shared" si="32"/>
        <v>0</v>
      </c>
      <c r="J122" s="141">
        <v>0</v>
      </c>
      <c r="K122" s="28">
        <f t="shared" si="27"/>
        <v>0</v>
      </c>
      <c r="L122" s="18">
        <f t="shared" si="28"/>
        <v>0</v>
      </c>
      <c r="M122" s="79">
        <f t="shared" si="28"/>
        <v>0</v>
      </c>
      <c r="N122" s="71">
        <f t="shared" si="31"/>
        <v>0</v>
      </c>
      <c r="O122" s="37"/>
      <c r="Q122" s="45"/>
    </row>
    <row r="123" spans="1:17" ht="26.4" customHeight="1">
      <c r="A123" s="76">
        <v>15</v>
      </c>
      <c r="B123" s="142" t="s">
        <v>126</v>
      </c>
      <c r="C123" s="35">
        <v>6128.1</v>
      </c>
      <c r="D123" s="35">
        <v>6128.1</v>
      </c>
      <c r="E123" s="17">
        <f>D123-C123</f>
        <v>0</v>
      </c>
      <c r="F123" s="33">
        <v>0</v>
      </c>
      <c r="G123" s="78">
        <f>IFERROR(F123/E123,0)</f>
        <v>0</v>
      </c>
      <c r="H123" s="35">
        <v>6128.1</v>
      </c>
      <c r="I123" s="19">
        <f>H123-D123</f>
        <v>0</v>
      </c>
      <c r="J123" s="33">
        <v>0</v>
      </c>
      <c r="K123" s="28">
        <f>IFERROR(J123/I123,0)</f>
        <v>0</v>
      </c>
      <c r="L123" s="18">
        <f>E123+I123</f>
        <v>0</v>
      </c>
      <c r="M123" s="79">
        <f>F123+J123</f>
        <v>0</v>
      </c>
      <c r="N123" s="71">
        <f>IFERROR(L123/M123,0)</f>
        <v>0</v>
      </c>
      <c r="O123" s="37"/>
      <c r="Q123" s="45"/>
    </row>
    <row r="124" spans="1:17" ht="25.2" customHeight="1">
      <c r="A124" s="76">
        <v>16</v>
      </c>
      <c r="B124" s="138" t="s">
        <v>127</v>
      </c>
      <c r="C124" s="35">
        <v>0</v>
      </c>
      <c r="D124" s="35">
        <v>0</v>
      </c>
      <c r="E124" s="17">
        <f t="shared" si="29"/>
        <v>0</v>
      </c>
      <c r="F124" s="33">
        <v>0</v>
      </c>
      <c r="G124" s="78">
        <f t="shared" si="30"/>
        <v>0</v>
      </c>
      <c r="H124" s="35">
        <v>0</v>
      </c>
      <c r="I124" s="19">
        <f t="shared" si="32"/>
        <v>0</v>
      </c>
      <c r="J124" s="33">
        <v>0</v>
      </c>
      <c r="K124" s="28">
        <f t="shared" si="27"/>
        <v>0</v>
      </c>
      <c r="L124" s="18">
        <f t="shared" si="28"/>
        <v>0</v>
      </c>
      <c r="M124" s="79">
        <f t="shared" si="28"/>
        <v>0</v>
      </c>
      <c r="N124" s="71">
        <f t="shared" si="31"/>
        <v>0</v>
      </c>
      <c r="O124" s="77"/>
      <c r="Q124" s="45"/>
    </row>
    <row r="125" spans="1:17" ht="25.2" customHeight="1">
      <c r="A125" s="76">
        <v>17</v>
      </c>
      <c r="B125" s="138" t="s">
        <v>128</v>
      </c>
      <c r="C125" s="35">
        <v>75621.2</v>
      </c>
      <c r="D125" s="35">
        <v>75621.2</v>
      </c>
      <c r="E125" s="17">
        <f t="shared" si="29"/>
        <v>0</v>
      </c>
      <c r="F125" s="33">
        <v>0</v>
      </c>
      <c r="G125" s="78">
        <f t="shared" si="30"/>
        <v>0</v>
      </c>
      <c r="H125" s="35">
        <v>75621.2</v>
      </c>
      <c r="I125" s="19">
        <f t="shared" si="32"/>
        <v>0</v>
      </c>
      <c r="J125" s="33">
        <v>0</v>
      </c>
      <c r="K125" s="28">
        <f t="shared" si="27"/>
        <v>0</v>
      </c>
      <c r="L125" s="18">
        <f t="shared" si="28"/>
        <v>0</v>
      </c>
      <c r="M125" s="79">
        <f t="shared" si="28"/>
        <v>0</v>
      </c>
      <c r="N125" s="71">
        <f t="shared" si="31"/>
        <v>0</v>
      </c>
      <c r="O125" s="77"/>
      <c r="Q125" s="45"/>
    </row>
    <row r="126" spans="1:17" ht="25.2" customHeight="1">
      <c r="A126" s="76">
        <v>18</v>
      </c>
      <c r="B126" s="138" t="s">
        <v>129</v>
      </c>
      <c r="C126" s="35">
        <v>2407.9499999999998</v>
      </c>
      <c r="D126" s="35">
        <v>2407.9499999999998</v>
      </c>
      <c r="E126" s="17">
        <f t="shared" si="29"/>
        <v>0</v>
      </c>
      <c r="F126" s="33">
        <v>0</v>
      </c>
      <c r="G126" s="78">
        <f t="shared" si="30"/>
        <v>0</v>
      </c>
      <c r="H126" s="35">
        <v>2407.9499999999998</v>
      </c>
      <c r="I126" s="19">
        <f t="shared" si="32"/>
        <v>0</v>
      </c>
      <c r="J126" s="33">
        <v>0</v>
      </c>
      <c r="K126" s="28">
        <f t="shared" si="27"/>
        <v>0</v>
      </c>
      <c r="L126" s="18">
        <f t="shared" ref="L126:M135" si="33">E126+I126</f>
        <v>0</v>
      </c>
      <c r="M126" s="79">
        <f t="shared" si="33"/>
        <v>0</v>
      </c>
      <c r="N126" s="71">
        <f t="shared" si="31"/>
        <v>0</v>
      </c>
      <c r="O126" s="77"/>
      <c r="Q126" s="45"/>
    </row>
    <row r="127" spans="1:17" ht="25.2" customHeight="1">
      <c r="A127" s="76">
        <v>19</v>
      </c>
      <c r="B127" s="138" t="s">
        <v>130</v>
      </c>
      <c r="C127" s="35">
        <v>37357</v>
      </c>
      <c r="D127" s="35">
        <v>37357</v>
      </c>
      <c r="E127" s="17">
        <f t="shared" si="29"/>
        <v>0</v>
      </c>
      <c r="F127" s="33">
        <v>0</v>
      </c>
      <c r="G127" s="78">
        <f t="shared" si="30"/>
        <v>0</v>
      </c>
      <c r="H127" s="35">
        <v>37357</v>
      </c>
      <c r="I127" s="19">
        <f t="shared" si="32"/>
        <v>0</v>
      </c>
      <c r="J127" s="33">
        <v>0</v>
      </c>
      <c r="K127" s="28">
        <f t="shared" si="27"/>
        <v>0</v>
      </c>
      <c r="L127" s="18">
        <f t="shared" si="33"/>
        <v>0</v>
      </c>
      <c r="M127" s="79">
        <f t="shared" si="33"/>
        <v>0</v>
      </c>
      <c r="N127" s="71">
        <f t="shared" si="31"/>
        <v>0</v>
      </c>
      <c r="O127" s="77"/>
      <c r="Q127" s="45"/>
    </row>
    <row r="128" spans="1:17" ht="25.2" customHeight="1">
      <c r="A128" s="76">
        <v>20</v>
      </c>
      <c r="B128" s="138" t="s">
        <v>131</v>
      </c>
      <c r="C128" s="35">
        <v>77883.600000000006</v>
      </c>
      <c r="D128" s="35">
        <v>77883.600000000006</v>
      </c>
      <c r="E128" s="17">
        <f t="shared" si="29"/>
        <v>0</v>
      </c>
      <c r="F128" s="33">
        <v>0</v>
      </c>
      <c r="G128" s="78">
        <f t="shared" si="30"/>
        <v>0</v>
      </c>
      <c r="H128" s="35">
        <v>77883.600000000006</v>
      </c>
      <c r="I128" s="19">
        <f t="shared" si="32"/>
        <v>0</v>
      </c>
      <c r="J128" s="33">
        <v>0</v>
      </c>
      <c r="K128" s="28">
        <f t="shared" si="27"/>
        <v>0</v>
      </c>
      <c r="L128" s="18">
        <f t="shared" si="33"/>
        <v>0</v>
      </c>
      <c r="M128" s="79">
        <f t="shared" si="33"/>
        <v>0</v>
      </c>
      <c r="N128" s="71">
        <f t="shared" si="31"/>
        <v>0</v>
      </c>
      <c r="O128" s="77"/>
      <c r="Q128" s="45"/>
    </row>
    <row r="129" spans="1:17" ht="25.2" customHeight="1">
      <c r="A129" s="76">
        <v>21</v>
      </c>
      <c r="B129" s="138" t="s">
        <v>132</v>
      </c>
      <c r="C129" s="35">
        <v>45740.2</v>
      </c>
      <c r="D129" s="35">
        <v>45740.2</v>
      </c>
      <c r="E129" s="17">
        <f t="shared" si="29"/>
        <v>0</v>
      </c>
      <c r="F129" s="33">
        <v>0</v>
      </c>
      <c r="G129" s="78">
        <f t="shared" si="30"/>
        <v>0</v>
      </c>
      <c r="H129" s="35">
        <v>45740.2</v>
      </c>
      <c r="I129" s="19">
        <f t="shared" si="32"/>
        <v>0</v>
      </c>
      <c r="J129" s="33">
        <v>0</v>
      </c>
      <c r="K129" s="28">
        <f t="shared" si="27"/>
        <v>0</v>
      </c>
      <c r="L129" s="18">
        <f t="shared" si="33"/>
        <v>0</v>
      </c>
      <c r="M129" s="79">
        <f t="shared" si="33"/>
        <v>0</v>
      </c>
      <c r="N129" s="71">
        <f t="shared" si="31"/>
        <v>0</v>
      </c>
      <c r="O129" s="77"/>
      <c r="Q129" s="45"/>
    </row>
    <row r="130" spans="1:17" ht="25.2" customHeight="1">
      <c r="A130" s="76">
        <v>22</v>
      </c>
      <c r="B130" s="138" t="s">
        <v>133</v>
      </c>
      <c r="C130" s="35">
        <v>41291.5</v>
      </c>
      <c r="D130" s="35">
        <v>41291.5</v>
      </c>
      <c r="E130" s="17">
        <f t="shared" si="29"/>
        <v>0</v>
      </c>
      <c r="F130" s="33">
        <v>0</v>
      </c>
      <c r="G130" s="78">
        <f t="shared" si="30"/>
        <v>0</v>
      </c>
      <c r="H130" s="35">
        <v>41291.5</v>
      </c>
      <c r="I130" s="19">
        <f t="shared" si="32"/>
        <v>0</v>
      </c>
      <c r="J130" s="33">
        <v>0</v>
      </c>
      <c r="K130" s="28">
        <f t="shared" si="27"/>
        <v>0</v>
      </c>
      <c r="L130" s="18">
        <f t="shared" si="33"/>
        <v>0</v>
      </c>
      <c r="M130" s="79">
        <f t="shared" si="33"/>
        <v>0</v>
      </c>
      <c r="N130" s="71">
        <f t="shared" si="31"/>
        <v>0</v>
      </c>
      <c r="O130" s="77"/>
      <c r="Q130" s="45"/>
    </row>
    <row r="131" spans="1:17" ht="25.2" customHeight="1">
      <c r="A131" s="76">
        <v>23</v>
      </c>
      <c r="B131" s="138" t="s">
        <v>134</v>
      </c>
      <c r="C131" s="35">
        <v>41688</v>
      </c>
      <c r="D131" s="35">
        <v>41688</v>
      </c>
      <c r="E131" s="17">
        <f t="shared" si="29"/>
        <v>0</v>
      </c>
      <c r="F131" s="33">
        <v>0</v>
      </c>
      <c r="G131" s="78">
        <f t="shared" si="30"/>
        <v>0</v>
      </c>
      <c r="H131" s="35">
        <v>41688</v>
      </c>
      <c r="I131" s="19">
        <f t="shared" si="32"/>
        <v>0</v>
      </c>
      <c r="J131" s="33">
        <v>0</v>
      </c>
      <c r="K131" s="28">
        <f t="shared" si="27"/>
        <v>0</v>
      </c>
      <c r="L131" s="18">
        <f t="shared" si="33"/>
        <v>0</v>
      </c>
      <c r="M131" s="79">
        <f t="shared" si="33"/>
        <v>0</v>
      </c>
      <c r="N131" s="71">
        <f t="shared" si="31"/>
        <v>0</v>
      </c>
      <c r="O131" s="77"/>
      <c r="Q131" s="45"/>
    </row>
    <row r="132" spans="1:17" ht="25.2" customHeight="1">
      <c r="A132" s="76">
        <v>24</v>
      </c>
      <c r="B132" s="138" t="s">
        <v>135</v>
      </c>
      <c r="C132" s="35">
        <v>53754.8</v>
      </c>
      <c r="D132" s="35">
        <v>53754.8</v>
      </c>
      <c r="E132" s="17">
        <f t="shared" si="29"/>
        <v>0</v>
      </c>
      <c r="F132" s="33">
        <v>0</v>
      </c>
      <c r="G132" s="78">
        <f t="shared" si="30"/>
        <v>0</v>
      </c>
      <c r="H132" s="35">
        <v>53754.8</v>
      </c>
      <c r="I132" s="19">
        <f t="shared" si="32"/>
        <v>0</v>
      </c>
      <c r="J132" s="33">
        <v>0</v>
      </c>
      <c r="K132" s="28">
        <f t="shared" si="27"/>
        <v>0</v>
      </c>
      <c r="L132" s="18">
        <f t="shared" si="33"/>
        <v>0</v>
      </c>
      <c r="M132" s="79">
        <f t="shared" si="33"/>
        <v>0</v>
      </c>
      <c r="N132" s="71">
        <f t="shared" si="31"/>
        <v>0</v>
      </c>
      <c r="O132" s="77"/>
      <c r="Q132" s="45"/>
    </row>
    <row r="133" spans="1:17" ht="25.2" customHeight="1">
      <c r="A133" s="76">
        <v>25</v>
      </c>
      <c r="B133" s="143" t="s">
        <v>136</v>
      </c>
      <c r="C133" s="35">
        <v>48443.199999999997</v>
      </c>
      <c r="D133" s="35">
        <v>48443.199999999997</v>
      </c>
      <c r="E133" s="17">
        <f t="shared" si="29"/>
        <v>0</v>
      </c>
      <c r="F133" s="33">
        <v>0</v>
      </c>
      <c r="G133" s="78">
        <f t="shared" si="30"/>
        <v>0</v>
      </c>
      <c r="H133" s="35">
        <v>48443.199999999997</v>
      </c>
      <c r="I133" s="19">
        <f t="shared" si="32"/>
        <v>0</v>
      </c>
      <c r="J133" s="33">
        <v>0</v>
      </c>
      <c r="K133" s="28">
        <f t="shared" si="27"/>
        <v>0</v>
      </c>
      <c r="L133" s="18">
        <f t="shared" si="33"/>
        <v>0</v>
      </c>
      <c r="M133" s="79">
        <f t="shared" si="33"/>
        <v>0</v>
      </c>
      <c r="N133" s="71">
        <f t="shared" si="31"/>
        <v>0</v>
      </c>
      <c r="O133" s="77"/>
      <c r="Q133" s="45"/>
    </row>
    <row r="134" spans="1:17" ht="25.2" customHeight="1">
      <c r="A134" s="76">
        <v>26</v>
      </c>
      <c r="B134" s="143" t="s">
        <v>137</v>
      </c>
      <c r="C134" s="35">
        <v>103518.8</v>
      </c>
      <c r="D134" s="35">
        <v>103518.8</v>
      </c>
      <c r="E134" s="17">
        <f t="shared" si="29"/>
        <v>0</v>
      </c>
      <c r="F134" s="33">
        <v>0</v>
      </c>
      <c r="G134" s="78">
        <f t="shared" si="30"/>
        <v>0</v>
      </c>
      <c r="H134" s="35">
        <v>103518.8</v>
      </c>
      <c r="I134" s="19">
        <f t="shared" si="32"/>
        <v>0</v>
      </c>
      <c r="J134" s="33">
        <v>0</v>
      </c>
      <c r="K134" s="28">
        <f t="shared" si="27"/>
        <v>0</v>
      </c>
      <c r="L134" s="18">
        <f t="shared" si="33"/>
        <v>0</v>
      </c>
      <c r="M134" s="79">
        <f t="shared" si="33"/>
        <v>0</v>
      </c>
      <c r="N134" s="71">
        <f t="shared" si="31"/>
        <v>0</v>
      </c>
      <c r="O134" s="77"/>
      <c r="Q134" s="45"/>
    </row>
    <row r="135" spans="1:17" ht="25.2" customHeight="1">
      <c r="A135" s="144">
        <v>27</v>
      </c>
      <c r="B135" s="143" t="s">
        <v>138</v>
      </c>
      <c r="C135" s="35">
        <v>110466.2</v>
      </c>
      <c r="D135" s="35">
        <v>110466.2</v>
      </c>
      <c r="E135" s="35">
        <f t="shared" si="29"/>
        <v>0</v>
      </c>
      <c r="F135" s="33">
        <v>0</v>
      </c>
      <c r="G135" s="78">
        <f t="shared" si="30"/>
        <v>0</v>
      </c>
      <c r="H135" s="35">
        <v>110466.2</v>
      </c>
      <c r="I135" s="19">
        <f t="shared" si="32"/>
        <v>0</v>
      </c>
      <c r="J135" s="33">
        <v>0</v>
      </c>
      <c r="K135" s="28">
        <f t="shared" si="27"/>
        <v>0</v>
      </c>
      <c r="L135" s="18">
        <f t="shared" si="33"/>
        <v>0</v>
      </c>
      <c r="M135" s="79">
        <f t="shared" si="33"/>
        <v>0</v>
      </c>
      <c r="N135" s="71">
        <f t="shared" si="31"/>
        <v>0</v>
      </c>
      <c r="O135" s="77"/>
      <c r="Q135" s="45"/>
    </row>
    <row r="136" spans="1:17" ht="18">
      <c r="A136" s="196" t="s">
        <v>28</v>
      </c>
      <c r="B136" s="197"/>
      <c r="C136" s="123"/>
      <c r="D136" s="123"/>
      <c r="E136" s="40">
        <f>SUM(E109:E135)</f>
        <v>0</v>
      </c>
      <c r="F136" s="40">
        <f>SUM(F109:F135)</f>
        <v>0</v>
      </c>
      <c r="G136" s="39"/>
      <c r="H136" s="39"/>
      <c r="I136" s="40">
        <f>SUM(I109:I135)</f>
        <v>19.0600000000004</v>
      </c>
      <c r="J136" s="40">
        <f>SUM(J109:J135)</f>
        <v>126</v>
      </c>
      <c r="K136" s="145"/>
      <c r="L136" s="146">
        <f>SUM(L109:L135)</f>
        <v>19.0600000000004</v>
      </c>
      <c r="M136" s="147">
        <f>SUM(M109:M135)</f>
        <v>126</v>
      </c>
      <c r="N136" s="34"/>
      <c r="O136" s="37"/>
      <c r="P136" s="72"/>
    </row>
    <row r="137" spans="1:17" ht="21.6" thickBot="1">
      <c r="A137" s="148"/>
      <c r="B137" s="149"/>
      <c r="C137" s="149"/>
      <c r="D137" s="149"/>
      <c r="E137" s="149" t="s">
        <v>139</v>
      </c>
      <c r="F137" s="150">
        <f>F17+F23+F32+F38+F44+G105+F136</f>
        <v>0</v>
      </c>
      <c r="G137" s="149"/>
      <c r="H137" s="149"/>
      <c r="I137" s="151" t="s">
        <v>140</v>
      </c>
      <c r="J137" s="150">
        <f>J17+J23+J32+J38+J44+M105+J136</f>
        <v>1354</v>
      </c>
      <c r="K137" s="198" t="s">
        <v>141</v>
      </c>
      <c r="L137" s="198"/>
      <c r="M137" s="198"/>
      <c r="N137" s="198"/>
      <c r="O137" s="152"/>
    </row>
    <row r="138" spans="1:17" ht="15">
      <c r="B138" s="153"/>
      <c r="C138" s="152"/>
      <c r="D138" s="152"/>
      <c r="E138" s="152"/>
      <c r="F138" s="152"/>
      <c r="G138" s="152"/>
      <c r="H138" s="152"/>
      <c r="I138" s="152"/>
      <c r="J138" s="154"/>
      <c r="K138" s="155" t="s">
        <v>142</v>
      </c>
      <c r="L138" s="199">
        <f>N2</f>
        <v>46206</v>
      </c>
      <c r="M138" s="200"/>
      <c r="N138" s="156"/>
      <c r="O138" s="157">
        <f>M136-N144</f>
        <v>126</v>
      </c>
    </row>
    <row r="139" spans="1:17" ht="18">
      <c r="B139" s="158" t="s">
        <v>143</v>
      </c>
      <c r="C139" s="159">
        <f>F137</f>
        <v>0</v>
      </c>
      <c r="D139" s="160"/>
      <c r="E139" s="160"/>
      <c r="F139" s="159"/>
      <c r="G139" s="160"/>
      <c r="H139" s="160"/>
      <c r="I139" s="160"/>
      <c r="J139" s="45"/>
      <c r="K139" s="188" t="s">
        <v>144</v>
      </c>
      <c r="L139" s="189"/>
      <c r="M139" s="190"/>
      <c r="N139" s="161">
        <f>P105</f>
        <v>0</v>
      </c>
      <c r="O139" s="152"/>
    </row>
    <row r="140" spans="1:17" ht="18">
      <c r="B140" s="158" t="s">
        <v>145</v>
      </c>
      <c r="C140" s="159">
        <f>J137</f>
        <v>1354</v>
      </c>
      <c r="D140" s="160"/>
      <c r="E140" s="160"/>
      <c r="F140" s="159"/>
      <c r="G140" s="159"/>
      <c r="H140" s="160"/>
      <c r="I140" s="160"/>
      <c r="J140" s="45"/>
      <c r="K140" s="188" t="s">
        <v>146</v>
      </c>
      <c r="L140" s="189"/>
      <c r="M140" s="190"/>
      <c r="N140" s="161">
        <f>M17</f>
        <v>478</v>
      </c>
      <c r="O140" s="152"/>
    </row>
    <row r="141" spans="1:17" ht="18">
      <c r="B141" s="158" t="s">
        <v>28</v>
      </c>
      <c r="C141" s="159">
        <f>C139+C140</f>
        <v>1354</v>
      </c>
      <c r="D141" s="160"/>
      <c r="E141" s="160"/>
      <c r="F141" s="160"/>
      <c r="G141" s="159"/>
      <c r="H141" s="160"/>
      <c r="I141" s="160"/>
      <c r="K141" s="188" t="s">
        <v>147</v>
      </c>
      <c r="L141" s="189"/>
      <c r="M141" s="190"/>
      <c r="N141" s="161">
        <f>M32</f>
        <v>391</v>
      </c>
    </row>
    <row r="142" spans="1:17" ht="18">
      <c r="C142" s="45"/>
      <c r="D142" s="45"/>
      <c r="E142" s="45"/>
      <c r="F142" s="45"/>
      <c r="G142" s="45"/>
      <c r="H142" s="160" t="s">
        <v>94</v>
      </c>
      <c r="I142" s="45"/>
      <c r="K142" s="188" t="s">
        <v>148</v>
      </c>
      <c r="L142" s="189"/>
      <c r="M142" s="190"/>
      <c r="N142" s="161">
        <f>M38</f>
        <v>200</v>
      </c>
    </row>
    <row r="143" spans="1:17" ht="25.2" customHeight="1">
      <c r="B143" s="162" t="s">
        <v>149</v>
      </c>
      <c r="C143" s="193"/>
      <c r="D143" s="193"/>
      <c r="E143" s="193"/>
      <c r="F143" s="193"/>
      <c r="G143" s="193"/>
      <c r="H143" s="193"/>
      <c r="I143" s="193"/>
      <c r="J143" s="193"/>
      <c r="K143" s="188" t="s">
        <v>150</v>
      </c>
      <c r="L143" s="189"/>
      <c r="M143" s="190"/>
      <c r="N143" s="161">
        <f>M44</f>
        <v>0</v>
      </c>
    </row>
    <row r="144" spans="1:17" ht="18">
      <c r="C144" s="45"/>
      <c r="D144" s="45"/>
      <c r="E144" s="26"/>
      <c r="F144" s="26"/>
      <c r="G144" s="45"/>
      <c r="H144" s="160"/>
      <c r="I144" s="45"/>
      <c r="K144" s="188" t="s">
        <v>151</v>
      </c>
      <c r="L144" s="189"/>
      <c r="M144" s="190"/>
      <c r="N144" s="161">
        <f>M113+M114+M115+M116</f>
        <v>0</v>
      </c>
    </row>
    <row r="145" spans="1:16" ht="18">
      <c r="E145" s="38"/>
      <c r="F145" s="45"/>
      <c r="G145" s="45"/>
      <c r="H145" s="160"/>
      <c r="I145" s="45"/>
      <c r="K145" s="188" t="s">
        <v>152</v>
      </c>
      <c r="L145" s="189"/>
      <c r="M145" s="190"/>
      <c r="N145" s="161">
        <f>O138</f>
        <v>126</v>
      </c>
    </row>
    <row r="146" spans="1:16" ht="18.600000000000001" thickBot="1">
      <c r="C146" s="38"/>
      <c r="D146" s="38"/>
      <c r="G146" s="163"/>
      <c r="H146" s="160"/>
      <c r="K146" s="188" t="s">
        <v>153</v>
      </c>
      <c r="L146" s="189"/>
      <c r="M146" s="190"/>
      <c r="N146" s="164">
        <f>M23</f>
        <v>159</v>
      </c>
      <c r="P146" s="38"/>
    </row>
    <row r="147" spans="1:16" ht="16.8" thickBot="1">
      <c r="C147" s="38"/>
      <c r="D147" s="38"/>
      <c r="E147" s="38"/>
      <c r="F147" s="38"/>
      <c r="H147" s="38"/>
      <c r="K147" s="191" t="s">
        <v>154</v>
      </c>
      <c r="L147" s="192"/>
      <c r="M147" s="192"/>
      <c r="N147" s="165">
        <f>SUM(N139:N146)</f>
        <v>1354</v>
      </c>
    </row>
    <row r="148" spans="1:16">
      <c r="C148" s="38"/>
      <c r="D148" s="38"/>
      <c r="E148" s="159"/>
      <c r="F148" s="159"/>
      <c r="H148" s="38"/>
      <c r="I148" s="38"/>
    </row>
    <row r="149" spans="1:16">
      <c r="C149" s="38"/>
      <c r="D149" s="38"/>
      <c r="E149" s="38"/>
      <c r="F149" s="38"/>
      <c r="H149" s="160"/>
    </row>
    <row r="150" spans="1:16">
      <c r="A150" s="159"/>
      <c r="B150" s="159"/>
      <c r="C150" s="159"/>
      <c r="D150" s="159"/>
      <c r="E150" s="159"/>
      <c r="F150" s="159"/>
      <c r="G150" s="38"/>
      <c r="H150" s="38"/>
      <c r="N150" s="45"/>
    </row>
    <row r="151" spans="1:16">
      <c r="A151" s="159"/>
    </row>
  </sheetData>
  <mergeCells count="72">
    <mergeCell ref="A1:N1"/>
    <mergeCell ref="A2:L2"/>
    <mergeCell ref="A3:A4"/>
    <mergeCell ref="B3:B4"/>
    <mergeCell ref="C3:G3"/>
    <mergeCell ref="H3:L3"/>
    <mergeCell ref="M3:M4"/>
    <mergeCell ref="N3:N4"/>
    <mergeCell ref="O3:O4"/>
    <mergeCell ref="P3:P4"/>
    <mergeCell ref="A17:B17"/>
    <mergeCell ref="A18:L18"/>
    <mergeCell ref="A19:A20"/>
    <mergeCell ref="B19:B20"/>
    <mergeCell ref="C19:G19"/>
    <mergeCell ref="H19:K19"/>
    <mergeCell ref="M19:M20"/>
    <mergeCell ref="N19:N20"/>
    <mergeCell ref="A23:B23"/>
    <mergeCell ref="A24:L24"/>
    <mergeCell ref="A25:A26"/>
    <mergeCell ref="B25:B26"/>
    <mergeCell ref="C25:G25"/>
    <mergeCell ref="H25:K25"/>
    <mergeCell ref="M25:M26"/>
    <mergeCell ref="N25:N26"/>
    <mergeCell ref="A32:B32"/>
    <mergeCell ref="A33:L33"/>
    <mergeCell ref="A34:A35"/>
    <mergeCell ref="B34:B35"/>
    <mergeCell ref="C34:G34"/>
    <mergeCell ref="H34:K34"/>
    <mergeCell ref="M34:M35"/>
    <mergeCell ref="N34:N35"/>
    <mergeCell ref="A38:B38"/>
    <mergeCell ref="A39:L39"/>
    <mergeCell ref="A40:A41"/>
    <mergeCell ref="B40:B41"/>
    <mergeCell ref="C40:G40"/>
    <mergeCell ref="H40:K40"/>
    <mergeCell ref="M40:M41"/>
    <mergeCell ref="N40:N41"/>
    <mergeCell ref="A44:B44"/>
    <mergeCell ref="A45:L45"/>
    <mergeCell ref="A46:A47"/>
    <mergeCell ref="B46:B47"/>
    <mergeCell ref="C46:H46"/>
    <mergeCell ref="I46:N46"/>
    <mergeCell ref="K140:M140"/>
    <mergeCell ref="O46:O47"/>
    <mergeCell ref="P46:P47"/>
    <mergeCell ref="Q46:Q47"/>
    <mergeCell ref="R46:R47"/>
    <mergeCell ref="A106:L106"/>
    <mergeCell ref="A107:A108"/>
    <mergeCell ref="B107:B108"/>
    <mergeCell ref="C107:G107"/>
    <mergeCell ref="H107:K107"/>
    <mergeCell ref="M107:M108"/>
    <mergeCell ref="N107:N108"/>
    <mergeCell ref="A136:B136"/>
    <mergeCell ref="K137:N137"/>
    <mergeCell ref="L138:M138"/>
    <mergeCell ref="K139:M139"/>
    <mergeCell ref="K146:M146"/>
    <mergeCell ref="K147:M147"/>
    <mergeCell ref="K141:M141"/>
    <mergeCell ref="K142:M142"/>
    <mergeCell ref="C143:J143"/>
    <mergeCell ref="K143:M143"/>
    <mergeCell ref="K144:M144"/>
    <mergeCell ref="K145:M145"/>
  </mergeCells>
  <conditionalFormatting sqref="N6:N14 N15:O15 N16:N18 N21:N22 N27:N31 N36:N37 N42:N43">
    <cfRule type="cellIs" dxfId="47" priority="2" operator="greaterThan">
      <formula>40</formula>
    </cfRule>
  </conditionalFormatting>
  <conditionalFormatting sqref="Q48:Q105">
    <cfRule type="cellIs" dxfId="46" priority="1" operator="lessThan">
      <formula>0.5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6A2D3-F965-4F97-9E04-37A839292CCA}">
  <dimension ref="A1:AA146"/>
  <sheetViews>
    <sheetView zoomScale="74" zoomScaleNormal="74" workbookViewId="0">
      <pane ySplit="1" topLeftCell="A59" activePane="bottomLeft" state="frozen"/>
      <selection pane="bottomLeft" activeCell="Q9" sqref="Q9"/>
    </sheetView>
  </sheetViews>
  <sheetFormatPr defaultColWidth="9" defaultRowHeight="14.4"/>
  <cols>
    <col min="1" max="1" width="8.5546875" customWidth="1"/>
    <col min="2" max="2" width="29.44140625" bestFit="1" customWidth="1"/>
    <col min="3" max="3" width="11.6640625" customWidth="1"/>
    <col min="4" max="4" width="8.77734375" customWidth="1"/>
    <col min="5" max="5" width="9.77734375" customWidth="1"/>
    <col min="6" max="6" width="13.6640625" customWidth="1"/>
    <col min="7" max="7" width="10" customWidth="1"/>
    <col min="8" max="8" width="9.77734375" customWidth="1"/>
    <col min="9" max="9" width="12.77734375" bestFit="1" customWidth="1"/>
    <col min="10" max="10" width="10.6640625" bestFit="1" customWidth="1"/>
    <col min="11" max="11" width="15.77734375" customWidth="1"/>
    <col min="12" max="12" width="10.77734375" customWidth="1"/>
    <col min="13" max="13" width="12.5546875" customWidth="1"/>
    <col min="14" max="14" width="17.88671875" customWidth="1"/>
    <col min="15" max="15" width="12" customWidth="1"/>
    <col min="16" max="16" width="10.44140625" customWidth="1"/>
    <col min="17" max="17" width="11.109375" bestFit="1" customWidth="1"/>
    <col min="19" max="19" width="9.21875" bestFit="1" customWidth="1"/>
    <col min="20" max="20" width="8.21875" bestFit="1" customWidth="1"/>
    <col min="21" max="22" width="11.21875" customWidth="1"/>
  </cols>
  <sheetData>
    <row r="1" spans="1:22" ht="18.600000000000001" thickBot="1">
      <c r="A1" s="249" t="s">
        <v>0</v>
      </c>
      <c r="B1" s="249"/>
      <c r="C1" s="249"/>
      <c r="D1" s="249"/>
      <c r="E1" s="249"/>
      <c r="F1" s="249"/>
      <c r="G1" s="249"/>
      <c r="H1" s="249"/>
      <c r="I1" s="249"/>
      <c r="J1" s="249"/>
      <c r="K1" s="249"/>
      <c r="L1" s="249"/>
      <c r="M1" s="249"/>
      <c r="N1" s="249"/>
      <c r="O1" s="1"/>
      <c r="V1" s="2"/>
    </row>
    <row r="2" spans="1:22" ht="19.8" customHeight="1" thickBot="1">
      <c r="A2" s="250" t="s">
        <v>1</v>
      </c>
      <c r="B2" s="251"/>
      <c r="C2" s="252"/>
      <c r="D2" s="252"/>
      <c r="E2" s="252"/>
      <c r="F2" s="252"/>
      <c r="G2" s="252"/>
      <c r="H2" s="252"/>
      <c r="I2" s="252"/>
      <c r="J2" s="252"/>
      <c r="K2" s="252"/>
      <c r="L2" s="251"/>
      <c r="M2" s="3" t="s">
        <v>2</v>
      </c>
      <c r="N2" s="4">
        <v>46207</v>
      </c>
      <c r="O2" s="1"/>
    </row>
    <row r="3" spans="1:22" ht="18" customHeight="1">
      <c r="A3" s="209" t="s">
        <v>3</v>
      </c>
      <c r="B3" s="211" t="s">
        <v>4</v>
      </c>
      <c r="C3" s="213" t="s">
        <v>5</v>
      </c>
      <c r="D3" s="214"/>
      <c r="E3" s="214"/>
      <c r="F3" s="214"/>
      <c r="G3" s="215"/>
      <c r="H3" s="253" t="s">
        <v>6</v>
      </c>
      <c r="I3" s="254"/>
      <c r="J3" s="254"/>
      <c r="K3" s="254"/>
      <c r="L3" s="255"/>
      <c r="M3" s="219" t="s">
        <v>7</v>
      </c>
      <c r="N3" s="194" t="s">
        <v>8</v>
      </c>
      <c r="O3" s="243" t="s">
        <v>9</v>
      </c>
      <c r="P3" s="222" t="s">
        <v>10</v>
      </c>
    </row>
    <row r="4" spans="1:22" ht="22.8" customHeight="1">
      <c r="A4" s="247"/>
      <c r="B4" s="248"/>
      <c r="C4" s="6" t="s">
        <v>11</v>
      </c>
      <c r="D4" s="6" t="s">
        <v>12</v>
      </c>
      <c r="E4" s="6" t="s">
        <v>13</v>
      </c>
      <c r="F4" s="6" t="s">
        <v>14</v>
      </c>
      <c r="G4" s="6" t="s">
        <v>8</v>
      </c>
      <c r="H4" s="6" t="s">
        <v>12</v>
      </c>
      <c r="I4" s="6" t="s">
        <v>13</v>
      </c>
      <c r="J4" s="6" t="s">
        <v>14</v>
      </c>
      <c r="K4" s="7" t="s">
        <v>8</v>
      </c>
      <c r="L4" s="8" t="s">
        <v>15</v>
      </c>
      <c r="M4" s="236"/>
      <c r="N4" s="237"/>
      <c r="O4" s="248"/>
      <c r="P4" s="243"/>
    </row>
    <row r="5" spans="1:22" ht="22.8" customHeight="1">
      <c r="A5" s="5">
        <v>1</v>
      </c>
      <c r="B5" s="9" t="s">
        <v>16</v>
      </c>
      <c r="C5" s="2">
        <v>31943.4</v>
      </c>
      <c r="D5" s="2">
        <v>31943.4</v>
      </c>
      <c r="E5" s="2">
        <f>D5-C5</f>
        <v>0</v>
      </c>
      <c r="F5" s="2">
        <v>0</v>
      </c>
      <c r="G5" s="10">
        <f>IFERROR(F5/E5,0)</f>
        <v>0</v>
      </c>
      <c r="H5" s="2">
        <v>31943.4</v>
      </c>
      <c r="I5" s="167">
        <f>H5-D5</f>
        <v>0</v>
      </c>
      <c r="J5" s="2">
        <v>0</v>
      </c>
      <c r="K5" s="11">
        <f>IFERROR(J5/I5,0)</f>
        <v>0</v>
      </c>
      <c r="L5" s="12">
        <f>E5+I5</f>
        <v>0</v>
      </c>
      <c r="M5" s="13">
        <f>F5+J5</f>
        <v>0</v>
      </c>
      <c r="N5" s="14">
        <f>IFERROR(M5/L5,0)</f>
        <v>0</v>
      </c>
      <c r="O5" s="2">
        <v>0</v>
      </c>
      <c r="P5" s="5"/>
    </row>
    <row r="6" spans="1:22" ht="22.8" customHeight="1">
      <c r="A6" s="81">
        <v>2</v>
      </c>
      <c r="B6" s="16" t="s">
        <v>170</v>
      </c>
      <c r="C6" s="49">
        <v>0</v>
      </c>
      <c r="D6" s="49">
        <v>0</v>
      </c>
      <c r="E6" s="2">
        <f>D6-C6</f>
        <v>0</v>
      </c>
      <c r="F6" s="49">
        <v>0</v>
      </c>
      <c r="G6" s="10">
        <f>IFERROR(F6/E6,0)</f>
        <v>0</v>
      </c>
      <c r="H6" s="49">
        <v>0</v>
      </c>
      <c r="I6" s="167">
        <f>H6-D6</f>
        <v>0</v>
      </c>
      <c r="J6" s="49">
        <v>0</v>
      </c>
      <c r="K6" s="11">
        <f>IFERROR(J6/I6,0)</f>
        <v>0</v>
      </c>
      <c r="L6" s="169">
        <v>0</v>
      </c>
      <c r="M6" s="13">
        <f>F6+J6</f>
        <v>0</v>
      </c>
      <c r="N6" s="170">
        <v>0</v>
      </c>
      <c r="O6" s="49">
        <v>0</v>
      </c>
      <c r="P6" s="81"/>
    </row>
    <row r="7" spans="1:22" ht="24" customHeight="1">
      <c r="A7" s="5">
        <v>3</v>
      </c>
      <c r="B7" s="16" t="s">
        <v>17</v>
      </c>
      <c r="C7" s="17">
        <v>32493.3</v>
      </c>
      <c r="D7" s="17">
        <v>32493.3</v>
      </c>
      <c r="E7" s="17">
        <f t="shared" ref="E7:E17" si="0">D7-C7</f>
        <v>0</v>
      </c>
      <c r="F7" s="18">
        <v>0</v>
      </c>
      <c r="G7" s="10">
        <f>IFERROR(F7/E7,0)</f>
        <v>0</v>
      </c>
      <c r="H7" s="17">
        <v>32493.3</v>
      </c>
      <c r="I7" s="19">
        <f t="shared" ref="I7:I14" si="1">H7-D7</f>
        <v>0</v>
      </c>
      <c r="J7" s="20">
        <v>0</v>
      </c>
      <c r="K7" s="21">
        <f>IFERROR(J7/I7,0)</f>
        <v>0</v>
      </c>
      <c r="L7" s="18">
        <f>E7+I7</f>
        <v>0</v>
      </c>
      <c r="M7" s="22">
        <f>F7+J7</f>
        <v>0</v>
      </c>
      <c r="N7" s="23">
        <f>IFERROR(M7/L7,0)</f>
        <v>0</v>
      </c>
      <c r="O7" s="24">
        <v>0</v>
      </c>
      <c r="P7" s="25"/>
      <c r="Q7" s="26"/>
    </row>
    <row r="8" spans="1:22" ht="25.8" customHeight="1">
      <c r="A8" s="81">
        <v>4</v>
      </c>
      <c r="B8" s="16" t="s">
        <v>18</v>
      </c>
      <c r="C8" s="17">
        <v>24509</v>
      </c>
      <c r="D8" s="17">
        <v>24509</v>
      </c>
      <c r="E8" s="17">
        <f t="shared" si="0"/>
        <v>0</v>
      </c>
      <c r="F8" s="18">
        <v>0</v>
      </c>
      <c r="G8" s="10">
        <f t="shared" ref="G8:G13" si="2">IFERROR(F8/E8,0)</f>
        <v>0</v>
      </c>
      <c r="H8" s="17">
        <v>24509</v>
      </c>
      <c r="I8" s="19">
        <f t="shared" si="1"/>
        <v>0</v>
      </c>
      <c r="J8" s="20">
        <v>0</v>
      </c>
      <c r="K8" s="28">
        <f t="shared" ref="K8:K14" si="3">IFERROR(J8/I8,0)</f>
        <v>0</v>
      </c>
      <c r="L8" s="18">
        <f t="shared" ref="L8:M16" si="4">E8+I8</f>
        <v>0</v>
      </c>
      <c r="M8" s="22">
        <f t="shared" si="4"/>
        <v>0</v>
      </c>
      <c r="N8" s="23">
        <f t="shared" ref="N8:N17" si="5">IFERROR(M8/L8,0)</f>
        <v>0</v>
      </c>
      <c r="O8" s="29">
        <v>0</v>
      </c>
      <c r="P8" s="30"/>
      <c r="Q8" s="26"/>
      <c r="S8" s="26"/>
    </row>
    <row r="9" spans="1:22" ht="25.8" customHeight="1">
      <c r="A9" s="5">
        <v>5</v>
      </c>
      <c r="B9" s="31" t="s">
        <v>19</v>
      </c>
      <c r="C9" s="17">
        <v>32463.4</v>
      </c>
      <c r="D9" s="17">
        <v>32463.4</v>
      </c>
      <c r="E9" s="17">
        <f t="shared" si="0"/>
        <v>0</v>
      </c>
      <c r="F9" s="32">
        <v>0</v>
      </c>
      <c r="G9" s="10">
        <f t="shared" si="2"/>
        <v>0</v>
      </c>
      <c r="H9" s="17">
        <v>32463.4</v>
      </c>
      <c r="I9" s="19">
        <f t="shared" si="1"/>
        <v>0</v>
      </c>
      <c r="J9" s="33">
        <v>0</v>
      </c>
      <c r="K9" s="28">
        <f t="shared" si="3"/>
        <v>0</v>
      </c>
      <c r="L9" s="18">
        <f t="shared" si="4"/>
        <v>0</v>
      </c>
      <c r="M9" s="22">
        <f t="shared" si="4"/>
        <v>0</v>
      </c>
      <c r="N9" s="23">
        <f t="shared" si="5"/>
        <v>0</v>
      </c>
      <c r="O9" s="29">
        <v>0</v>
      </c>
      <c r="P9" s="30"/>
      <c r="Q9" s="26"/>
      <c r="S9" s="26"/>
    </row>
    <row r="10" spans="1:22" ht="25.8" customHeight="1">
      <c r="A10" s="81">
        <v>6</v>
      </c>
      <c r="B10" s="16" t="s">
        <v>20</v>
      </c>
      <c r="C10" s="17">
        <v>33398.199999999997</v>
      </c>
      <c r="D10" s="17">
        <v>33398.199999999997</v>
      </c>
      <c r="E10" s="17">
        <f t="shared" si="0"/>
        <v>0</v>
      </c>
      <c r="F10" s="34">
        <v>0</v>
      </c>
      <c r="G10" s="10">
        <f t="shared" si="2"/>
        <v>0</v>
      </c>
      <c r="H10" s="17">
        <v>33398.199999999997</v>
      </c>
      <c r="I10" s="19">
        <f t="shared" si="1"/>
        <v>0</v>
      </c>
      <c r="J10" s="33">
        <v>0</v>
      </c>
      <c r="K10" s="28">
        <f t="shared" si="3"/>
        <v>0</v>
      </c>
      <c r="L10" s="18">
        <f t="shared" si="4"/>
        <v>0</v>
      </c>
      <c r="M10" s="22">
        <f t="shared" si="4"/>
        <v>0</v>
      </c>
      <c r="N10" s="23">
        <f t="shared" si="5"/>
        <v>0</v>
      </c>
      <c r="O10" s="29">
        <v>0</v>
      </c>
      <c r="P10" s="30"/>
      <c r="Q10" s="26"/>
      <c r="S10" s="26"/>
    </row>
    <row r="11" spans="1:22" ht="22.8" customHeight="1">
      <c r="A11" s="5">
        <v>7</v>
      </c>
      <c r="B11" s="16" t="s">
        <v>21</v>
      </c>
      <c r="C11" s="17">
        <v>27893.1</v>
      </c>
      <c r="D11" s="17">
        <v>27893.1</v>
      </c>
      <c r="E11" s="17">
        <f t="shared" si="0"/>
        <v>0</v>
      </c>
      <c r="F11" s="32">
        <v>0</v>
      </c>
      <c r="G11" s="10">
        <f t="shared" si="2"/>
        <v>0</v>
      </c>
      <c r="H11" s="17">
        <v>27893.1</v>
      </c>
      <c r="I11" s="19">
        <f t="shared" si="1"/>
        <v>0</v>
      </c>
      <c r="J11" s="20">
        <v>0</v>
      </c>
      <c r="K11" s="28">
        <f t="shared" si="3"/>
        <v>0</v>
      </c>
      <c r="L11" s="18">
        <f t="shared" si="4"/>
        <v>0</v>
      </c>
      <c r="M11" s="22">
        <f t="shared" si="4"/>
        <v>0</v>
      </c>
      <c r="N11" s="23">
        <f t="shared" si="5"/>
        <v>0</v>
      </c>
      <c r="O11" s="29">
        <v>0</v>
      </c>
      <c r="P11" s="30"/>
      <c r="Q11" s="26"/>
      <c r="S11" s="26"/>
    </row>
    <row r="12" spans="1:22" ht="22.8" customHeight="1">
      <c r="A12" s="81">
        <v>8</v>
      </c>
      <c r="B12" s="31" t="s">
        <v>22</v>
      </c>
      <c r="C12" s="35">
        <v>27281.200000000001</v>
      </c>
      <c r="D12" s="35">
        <v>27281.200000000001</v>
      </c>
      <c r="E12" s="17">
        <f t="shared" si="0"/>
        <v>0</v>
      </c>
      <c r="F12" s="32">
        <v>0</v>
      </c>
      <c r="G12" s="10">
        <f t="shared" si="2"/>
        <v>0</v>
      </c>
      <c r="H12" s="35">
        <v>27281.200000000001</v>
      </c>
      <c r="I12" s="19">
        <f t="shared" si="1"/>
        <v>0</v>
      </c>
      <c r="J12" s="33">
        <v>0</v>
      </c>
      <c r="K12" s="28">
        <f t="shared" si="3"/>
        <v>0</v>
      </c>
      <c r="L12" s="18">
        <f t="shared" si="4"/>
        <v>0</v>
      </c>
      <c r="M12" s="22">
        <f t="shared" si="4"/>
        <v>0</v>
      </c>
      <c r="N12" s="23">
        <f t="shared" si="5"/>
        <v>0</v>
      </c>
      <c r="O12" s="29">
        <v>0</v>
      </c>
      <c r="P12" s="30"/>
      <c r="Q12" s="26"/>
      <c r="S12" s="26"/>
    </row>
    <row r="13" spans="1:22" ht="24" customHeight="1">
      <c r="A13" s="5">
        <v>9</v>
      </c>
      <c r="B13" s="31" t="s">
        <v>23</v>
      </c>
      <c r="C13" s="17">
        <v>22437.59</v>
      </c>
      <c r="D13" s="17">
        <v>22437.59</v>
      </c>
      <c r="E13" s="17">
        <f t="shared" si="0"/>
        <v>0</v>
      </c>
      <c r="F13" s="34">
        <v>0</v>
      </c>
      <c r="G13" s="10">
        <f t="shared" si="2"/>
        <v>0</v>
      </c>
      <c r="H13" s="17">
        <v>22437.59</v>
      </c>
      <c r="I13" s="19">
        <f t="shared" si="1"/>
        <v>0</v>
      </c>
      <c r="J13" s="20">
        <v>0</v>
      </c>
      <c r="K13" s="28">
        <f t="shared" si="3"/>
        <v>0</v>
      </c>
      <c r="L13" s="18">
        <f t="shared" si="4"/>
        <v>0</v>
      </c>
      <c r="M13" s="22">
        <f t="shared" si="4"/>
        <v>0</v>
      </c>
      <c r="N13" s="23">
        <f t="shared" si="5"/>
        <v>0</v>
      </c>
      <c r="O13" s="29">
        <v>0</v>
      </c>
      <c r="P13" s="36"/>
      <c r="Q13" s="26"/>
      <c r="S13" s="26"/>
    </row>
    <row r="14" spans="1:22" ht="24" customHeight="1">
      <c r="A14" s="81">
        <v>10</v>
      </c>
      <c r="B14" s="31" t="s">
        <v>24</v>
      </c>
      <c r="C14" s="17">
        <v>22446.959999999999</v>
      </c>
      <c r="D14" s="17">
        <v>22446.959999999999</v>
      </c>
      <c r="E14" s="17">
        <f t="shared" si="0"/>
        <v>0</v>
      </c>
      <c r="F14" s="32">
        <v>0</v>
      </c>
      <c r="G14" s="10">
        <f>IFERROR(F14/E14,0)</f>
        <v>0</v>
      </c>
      <c r="H14" s="17">
        <v>22446.959999999999</v>
      </c>
      <c r="I14" s="19">
        <f t="shared" si="1"/>
        <v>0</v>
      </c>
      <c r="J14" s="20">
        <v>0</v>
      </c>
      <c r="K14" s="28">
        <f t="shared" si="3"/>
        <v>0</v>
      </c>
      <c r="L14" s="18">
        <f t="shared" si="4"/>
        <v>0</v>
      </c>
      <c r="M14" s="22">
        <f t="shared" si="4"/>
        <v>0</v>
      </c>
      <c r="N14" s="23">
        <f t="shared" si="5"/>
        <v>0</v>
      </c>
      <c r="O14" s="29">
        <v>0</v>
      </c>
      <c r="P14" s="37"/>
      <c r="Q14" s="26"/>
      <c r="S14" s="26"/>
    </row>
    <row r="15" spans="1:22" ht="24" customHeight="1">
      <c r="A15" s="5">
        <v>11</v>
      </c>
      <c r="B15" s="31" t="s">
        <v>25</v>
      </c>
      <c r="C15" s="17">
        <v>19893.240000000002</v>
      </c>
      <c r="D15" s="17">
        <v>19893.240000000002</v>
      </c>
      <c r="E15" s="17">
        <f t="shared" si="0"/>
        <v>0</v>
      </c>
      <c r="F15" s="32">
        <v>0</v>
      </c>
      <c r="G15" s="10">
        <f>IFERROR(F15/E15,0)</f>
        <v>0</v>
      </c>
      <c r="H15" s="17">
        <v>19893.240000000002</v>
      </c>
      <c r="I15" s="19">
        <f>H15-D15</f>
        <v>0</v>
      </c>
      <c r="J15" s="20">
        <v>0</v>
      </c>
      <c r="K15" s="28">
        <f>IFERROR(J15/I15,0)</f>
        <v>0</v>
      </c>
      <c r="L15" s="18">
        <f>E15+I15</f>
        <v>0</v>
      </c>
      <c r="M15" s="22">
        <f t="shared" si="4"/>
        <v>0</v>
      </c>
      <c r="N15" s="23">
        <f t="shared" si="5"/>
        <v>0</v>
      </c>
      <c r="O15" s="29">
        <v>0</v>
      </c>
      <c r="P15" s="37"/>
      <c r="Q15" s="26"/>
      <c r="S15" s="26"/>
      <c r="T15" s="38"/>
    </row>
    <row r="16" spans="1:22" ht="24" customHeight="1">
      <c r="A16" s="81">
        <v>12</v>
      </c>
      <c r="B16" s="31" t="s">
        <v>27</v>
      </c>
      <c r="C16" s="17">
        <v>18190.3</v>
      </c>
      <c r="D16" s="17">
        <v>18190.3</v>
      </c>
      <c r="E16" s="17">
        <f t="shared" si="0"/>
        <v>0</v>
      </c>
      <c r="F16" s="18">
        <v>0</v>
      </c>
      <c r="G16" s="10">
        <f>IFERROR(F16/E16,0)</f>
        <v>0</v>
      </c>
      <c r="H16" s="17">
        <v>18190.3</v>
      </c>
      <c r="I16" s="19">
        <f t="shared" ref="I16" si="6">H16-D16</f>
        <v>0</v>
      </c>
      <c r="J16" s="20">
        <v>0</v>
      </c>
      <c r="K16" s="28">
        <f t="shared" ref="K16" si="7">IFERROR(J16/I16,0)</f>
        <v>0</v>
      </c>
      <c r="L16" s="18">
        <f t="shared" ref="L16" si="8">E16+I16</f>
        <v>0</v>
      </c>
      <c r="M16" s="22">
        <f t="shared" si="4"/>
        <v>0</v>
      </c>
      <c r="N16" s="23">
        <f t="shared" si="5"/>
        <v>0</v>
      </c>
      <c r="O16" s="23">
        <v>0</v>
      </c>
      <c r="P16" s="37"/>
      <c r="Q16" s="26"/>
      <c r="S16" s="26"/>
      <c r="T16" s="38"/>
    </row>
    <row r="17" spans="1:20" ht="24" customHeight="1">
      <c r="A17" s="5">
        <v>13</v>
      </c>
      <c r="B17" s="31" t="s">
        <v>26</v>
      </c>
      <c r="C17" s="17">
        <v>15231.7</v>
      </c>
      <c r="D17" s="17">
        <v>15231.7</v>
      </c>
      <c r="E17" s="17">
        <f t="shared" si="0"/>
        <v>0</v>
      </c>
      <c r="F17" s="32">
        <v>0</v>
      </c>
      <c r="G17" s="10">
        <f>IFERROR(F17/E17,0)</f>
        <v>0</v>
      </c>
      <c r="H17" s="17">
        <v>15231.7</v>
      </c>
      <c r="I17" s="19">
        <f>H17-D17</f>
        <v>0</v>
      </c>
      <c r="J17" s="20">
        <v>0</v>
      </c>
      <c r="K17" s="28">
        <f>IFERROR(J17/I17,0)</f>
        <v>0</v>
      </c>
      <c r="L17" s="18">
        <f>E17+I17</f>
        <v>0</v>
      </c>
      <c r="M17" s="22">
        <f>F17+J17</f>
        <v>0</v>
      </c>
      <c r="N17" s="23">
        <f t="shared" si="5"/>
        <v>0</v>
      </c>
      <c r="O17" s="29">
        <v>0</v>
      </c>
      <c r="P17" s="37"/>
      <c r="Q17" s="26"/>
      <c r="S17" s="26"/>
      <c r="T17" s="38"/>
    </row>
    <row r="18" spans="1:20" ht="24" customHeight="1">
      <c r="A18" s="196" t="s">
        <v>28</v>
      </c>
      <c r="B18" s="197"/>
      <c r="C18" s="39"/>
      <c r="D18" s="39"/>
      <c r="E18" s="40">
        <f>SUM(E7:E17)</f>
        <v>0</v>
      </c>
      <c r="F18" s="41">
        <f>SUM(F5:F17)</f>
        <v>0</v>
      </c>
      <c r="G18" s="39"/>
      <c r="H18" s="39"/>
      <c r="I18" s="40">
        <f>SUM(I7:I17)</f>
        <v>0</v>
      </c>
      <c r="J18" s="41">
        <f>SUM(J5:J17)</f>
        <v>0</v>
      </c>
      <c r="K18" s="28">
        <f>IFERROR(J18/I18,0)</f>
        <v>0</v>
      </c>
      <c r="L18" s="42">
        <f>SUM(L7:L17)</f>
        <v>0</v>
      </c>
      <c r="M18" s="43">
        <f>SUM(M5:M17)</f>
        <v>0</v>
      </c>
      <c r="N18" s="23">
        <f>IFERROR(M18/L18,0)</f>
        <v>0</v>
      </c>
      <c r="O18" s="44">
        <f>SUM(O7:O17)</f>
        <v>0</v>
      </c>
      <c r="P18" s="45"/>
      <c r="S18" s="26"/>
    </row>
    <row r="19" spans="1:20" ht="18" customHeight="1" thickBot="1">
      <c r="A19" s="206" t="s">
        <v>29</v>
      </c>
      <c r="B19" s="207"/>
      <c r="C19" s="207"/>
      <c r="D19" s="207"/>
      <c r="E19" s="207"/>
      <c r="F19" s="207"/>
      <c r="G19" s="207"/>
      <c r="H19" s="207"/>
      <c r="I19" s="207"/>
      <c r="J19" s="207"/>
      <c r="K19" s="207"/>
      <c r="L19" s="208"/>
      <c r="M19" s="46"/>
      <c r="N19" s="47"/>
      <c r="O19" s="37"/>
    </row>
    <row r="20" spans="1:20" ht="22.8" customHeight="1">
      <c r="A20" s="209" t="s">
        <v>3</v>
      </c>
      <c r="B20" s="211" t="s">
        <v>4</v>
      </c>
      <c r="C20" s="234" t="s">
        <v>5</v>
      </c>
      <c r="D20" s="234"/>
      <c r="E20" s="234"/>
      <c r="F20" s="234"/>
      <c r="G20" s="234"/>
      <c r="H20" s="235" t="s">
        <v>6</v>
      </c>
      <c r="I20" s="235"/>
      <c r="J20" s="235"/>
      <c r="K20" s="235"/>
      <c r="L20" s="48"/>
      <c r="M20" s="219" t="s">
        <v>7</v>
      </c>
      <c r="N20" s="194" t="s">
        <v>8</v>
      </c>
      <c r="O20" s="37"/>
    </row>
    <row r="21" spans="1:20" s="51" customFormat="1" ht="24" customHeight="1" thickBot="1">
      <c r="A21" s="210"/>
      <c r="B21" s="212"/>
      <c r="C21" s="49" t="s">
        <v>11</v>
      </c>
      <c r="D21" s="49" t="s">
        <v>12</v>
      </c>
      <c r="E21" s="49" t="s">
        <v>13</v>
      </c>
      <c r="F21" s="2" t="s">
        <v>14</v>
      </c>
      <c r="G21" s="2" t="s">
        <v>8</v>
      </c>
      <c r="H21" s="49" t="s">
        <v>12</v>
      </c>
      <c r="I21" s="49" t="s">
        <v>13</v>
      </c>
      <c r="J21" s="49" t="s">
        <v>14</v>
      </c>
      <c r="K21" s="7" t="s">
        <v>8</v>
      </c>
      <c r="L21" s="50" t="s">
        <v>15</v>
      </c>
      <c r="M21" s="220"/>
      <c r="N21" s="195"/>
      <c r="O21" s="37"/>
      <c r="Q21"/>
      <c r="R21"/>
      <c r="S21"/>
      <c r="T21"/>
    </row>
    <row r="22" spans="1:20" s="51" customFormat="1" ht="24" customHeight="1">
      <c r="A22" s="27">
        <v>1</v>
      </c>
      <c r="B22" s="52" t="s">
        <v>30</v>
      </c>
      <c r="C22" s="6">
        <v>18721.3</v>
      </c>
      <c r="D22" s="6">
        <v>18721.3</v>
      </c>
      <c r="E22" s="53">
        <f>D22-C22</f>
        <v>0</v>
      </c>
      <c r="F22" s="54">
        <v>0</v>
      </c>
      <c r="G22" s="55">
        <f>IFERROR(F22/E22,0)</f>
        <v>0</v>
      </c>
      <c r="H22" s="6">
        <v>18721.3</v>
      </c>
      <c r="I22" s="56">
        <f>H22-D22</f>
        <v>0</v>
      </c>
      <c r="J22" s="54">
        <v>0</v>
      </c>
      <c r="K22" s="57">
        <f>IFERROR(J22/I22,0)</f>
        <v>0</v>
      </c>
      <c r="L22" s="58">
        <f>E22+I22</f>
        <v>0</v>
      </c>
      <c r="M22" s="59">
        <f t="shared" ref="M22:M23" si="9">F22+J22</f>
        <v>0</v>
      </c>
      <c r="N22" s="60">
        <f>IFERROR(M22/L22,0)</f>
        <v>0</v>
      </c>
      <c r="O22" s="61"/>
      <c r="Q22"/>
      <c r="R22"/>
      <c r="S22"/>
      <c r="T22"/>
    </row>
    <row r="23" spans="1:20" ht="24" customHeight="1">
      <c r="A23" s="62">
        <v>2</v>
      </c>
      <c r="B23" s="52" t="s">
        <v>31</v>
      </c>
      <c r="C23" s="63">
        <v>11113.1</v>
      </c>
      <c r="D23" s="63">
        <v>11113.1</v>
      </c>
      <c r="E23" s="53">
        <f>D23-C23</f>
        <v>0</v>
      </c>
      <c r="F23" s="54">
        <v>0</v>
      </c>
      <c r="G23" s="55">
        <f>IFERROR(F23/E23,0)</f>
        <v>0</v>
      </c>
      <c r="H23" s="63">
        <v>11113.1</v>
      </c>
      <c r="I23" s="64">
        <f>H23-D23</f>
        <v>0</v>
      </c>
      <c r="J23" s="54">
        <v>0</v>
      </c>
      <c r="K23" s="57">
        <f>IFERROR(J23/I23,0)</f>
        <v>0</v>
      </c>
      <c r="L23" s="58">
        <f>E23+I23</f>
        <v>0</v>
      </c>
      <c r="M23" s="59">
        <f t="shared" si="9"/>
        <v>0</v>
      </c>
      <c r="N23" s="60">
        <f>IFERROR(M23/L23,0)</f>
        <v>0</v>
      </c>
      <c r="O23" s="65"/>
    </row>
    <row r="24" spans="1:20" ht="24" customHeight="1" thickBot="1">
      <c r="A24" s="238" t="s">
        <v>28</v>
      </c>
      <c r="B24" s="239"/>
      <c r="C24" s="66"/>
      <c r="D24" s="66"/>
      <c r="E24" s="67">
        <f>SUM(E22:E23)</f>
        <v>0</v>
      </c>
      <c r="F24" s="67">
        <f>SUM(F22:F23)</f>
        <v>0</v>
      </c>
      <c r="G24" s="68"/>
      <c r="H24" s="68"/>
      <c r="I24" s="67">
        <f>SUM(I22:I23)</f>
        <v>0</v>
      </c>
      <c r="J24" s="67">
        <f>SUM(J22:J23)</f>
        <v>0</v>
      </c>
      <c r="K24" s="69">
        <f>SUM(K22:K23)</f>
        <v>0</v>
      </c>
      <c r="L24" s="70">
        <f>SUM(L22:L23)</f>
        <v>0</v>
      </c>
      <c r="M24" s="43">
        <f>SUM(M22:M23)</f>
        <v>0</v>
      </c>
      <c r="N24" s="71"/>
      <c r="O24" s="37"/>
      <c r="P24" s="72"/>
    </row>
    <row r="25" spans="1:20" ht="18" customHeight="1" thickBot="1">
      <c r="A25" s="245" t="s">
        <v>32</v>
      </c>
      <c r="B25" s="246"/>
      <c r="C25" s="226"/>
      <c r="D25" s="226"/>
      <c r="E25" s="226"/>
      <c r="F25" s="226"/>
      <c r="G25" s="226"/>
      <c r="H25" s="226"/>
      <c r="I25" s="226"/>
      <c r="J25" s="226"/>
      <c r="K25" s="226"/>
      <c r="L25" s="246"/>
      <c r="M25" s="46"/>
      <c r="N25" s="47"/>
      <c r="O25" s="37"/>
    </row>
    <row r="26" spans="1:20" ht="22.8" customHeight="1">
      <c r="A26" s="209" t="s">
        <v>3</v>
      </c>
      <c r="B26" s="211" t="s">
        <v>4</v>
      </c>
      <c r="C26" s="234" t="s">
        <v>5</v>
      </c>
      <c r="D26" s="234"/>
      <c r="E26" s="234"/>
      <c r="F26" s="234"/>
      <c r="G26" s="234"/>
      <c r="H26" s="235" t="s">
        <v>6</v>
      </c>
      <c r="I26" s="235"/>
      <c r="J26" s="235"/>
      <c r="K26" s="235"/>
      <c r="L26" s="48"/>
      <c r="M26" s="219" t="s">
        <v>7</v>
      </c>
      <c r="N26" s="194" t="s">
        <v>8</v>
      </c>
      <c r="O26" s="37"/>
      <c r="S26" s="51"/>
    </row>
    <row r="27" spans="1:20" ht="24" customHeight="1">
      <c r="A27" s="247"/>
      <c r="B27" s="248"/>
      <c r="C27" s="6" t="s">
        <v>11</v>
      </c>
      <c r="D27" s="6" t="s">
        <v>12</v>
      </c>
      <c r="E27" s="6" t="s">
        <v>13</v>
      </c>
      <c r="F27" s="6" t="s">
        <v>14</v>
      </c>
      <c r="G27" s="6" t="s">
        <v>8</v>
      </c>
      <c r="H27" s="6" t="s">
        <v>12</v>
      </c>
      <c r="I27" s="6" t="s">
        <v>13</v>
      </c>
      <c r="J27" s="6" t="s">
        <v>14</v>
      </c>
      <c r="K27" s="7" t="s">
        <v>8</v>
      </c>
      <c r="L27" s="73" t="s">
        <v>15</v>
      </c>
      <c r="M27" s="236"/>
      <c r="N27" s="237"/>
      <c r="O27" s="37"/>
      <c r="P27" s="74"/>
      <c r="S27" s="51"/>
      <c r="T27" s="75"/>
    </row>
    <row r="28" spans="1:20" ht="24" customHeight="1">
      <c r="A28" s="76">
        <v>1</v>
      </c>
      <c r="B28" s="31" t="s">
        <v>33</v>
      </c>
      <c r="C28" s="35">
        <v>21539.8</v>
      </c>
      <c r="D28" s="35">
        <v>21539.8</v>
      </c>
      <c r="E28" s="35">
        <f>D28-C28</f>
        <v>0</v>
      </c>
      <c r="F28" s="33">
        <v>0</v>
      </c>
      <c r="G28" s="10">
        <f t="shared" ref="G28:G32" si="10">IFERROR(F28/E28,0)</f>
        <v>0</v>
      </c>
      <c r="H28" s="35">
        <v>21539.8</v>
      </c>
      <c r="I28" s="56">
        <f>H28-D28</f>
        <v>0</v>
      </c>
      <c r="J28" s="33">
        <v>0</v>
      </c>
      <c r="K28" s="28">
        <f t="shared" ref="K28:K32" si="11">IFERROR(J28/I28,0)</f>
        <v>0</v>
      </c>
      <c r="L28" s="18">
        <f t="shared" ref="L28:M32" si="12">E28+I28</f>
        <v>0</v>
      </c>
      <c r="M28" s="22">
        <f t="shared" si="12"/>
        <v>0</v>
      </c>
      <c r="N28" s="23">
        <f>IFERROR(M28/L28,0)</f>
        <v>0</v>
      </c>
      <c r="O28" s="37"/>
    </row>
    <row r="29" spans="1:20" ht="24" customHeight="1">
      <c r="A29" s="76">
        <v>2</v>
      </c>
      <c r="B29" s="31" t="s">
        <v>34</v>
      </c>
      <c r="C29" s="35">
        <v>20945.099999999999</v>
      </c>
      <c r="D29" s="35">
        <v>20945.099999999999</v>
      </c>
      <c r="E29" s="35">
        <f>D29-C29</f>
        <v>0</v>
      </c>
      <c r="F29" s="33">
        <v>0</v>
      </c>
      <c r="G29" s="10">
        <f t="shared" si="10"/>
        <v>0</v>
      </c>
      <c r="H29" s="35">
        <v>20945.099999999999</v>
      </c>
      <c r="I29" s="56">
        <f>H29-D29</f>
        <v>0</v>
      </c>
      <c r="J29" s="33">
        <v>0</v>
      </c>
      <c r="K29" s="28">
        <f>IFERROR(J29/I29,0)</f>
        <v>0</v>
      </c>
      <c r="L29" s="18">
        <f t="shared" si="12"/>
        <v>0</v>
      </c>
      <c r="M29" s="22">
        <f t="shared" si="12"/>
        <v>0</v>
      </c>
      <c r="N29" s="23">
        <f>IFERROR(M29/L29,0)</f>
        <v>0</v>
      </c>
      <c r="O29" s="37"/>
    </row>
    <row r="30" spans="1:20" ht="24" customHeight="1">
      <c r="A30" s="76">
        <v>3</v>
      </c>
      <c r="B30" s="31" t="s">
        <v>35</v>
      </c>
      <c r="C30" s="35">
        <v>8871</v>
      </c>
      <c r="D30" s="35">
        <v>8871</v>
      </c>
      <c r="E30" s="17">
        <f t="shared" ref="E30:E32" si="13">D30-C30</f>
        <v>0</v>
      </c>
      <c r="F30" s="33">
        <v>0</v>
      </c>
      <c r="G30" s="10">
        <f t="shared" si="10"/>
        <v>0</v>
      </c>
      <c r="H30" s="35">
        <v>8871</v>
      </c>
      <c r="I30" s="19">
        <f>H30-D30</f>
        <v>0</v>
      </c>
      <c r="J30" s="33">
        <v>0</v>
      </c>
      <c r="K30" s="28">
        <f t="shared" si="11"/>
        <v>0</v>
      </c>
      <c r="L30" s="18">
        <f t="shared" si="12"/>
        <v>0</v>
      </c>
      <c r="M30" s="22">
        <f t="shared" si="12"/>
        <v>0</v>
      </c>
      <c r="N30" s="23">
        <f>IFERROR(M30/L30,0)</f>
        <v>0</v>
      </c>
      <c r="O30" s="77"/>
    </row>
    <row r="31" spans="1:20" ht="24.6" customHeight="1">
      <c r="A31" s="76">
        <v>4</v>
      </c>
      <c r="B31" s="31" t="s">
        <v>36</v>
      </c>
      <c r="C31" s="35">
        <v>3270.5</v>
      </c>
      <c r="D31" s="35">
        <v>3270.5</v>
      </c>
      <c r="E31" s="17">
        <f t="shared" si="13"/>
        <v>0</v>
      </c>
      <c r="F31" s="33">
        <v>0</v>
      </c>
      <c r="G31" s="78">
        <f t="shared" si="10"/>
        <v>0</v>
      </c>
      <c r="H31" s="35">
        <v>3270.5</v>
      </c>
      <c r="I31" s="19">
        <f t="shared" ref="I31:I32" si="14">H31-D31</f>
        <v>0</v>
      </c>
      <c r="J31" s="33">
        <v>0</v>
      </c>
      <c r="K31" s="28">
        <f t="shared" si="11"/>
        <v>0</v>
      </c>
      <c r="L31" s="18">
        <f t="shared" si="12"/>
        <v>0</v>
      </c>
      <c r="M31" s="79">
        <f t="shared" si="12"/>
        <v>0</v>
      </c>
      <c r="N31" s="23">
        <f>IFERROR(M31/L31,0)</f>
        <v>0</v>
      </c>
      <c r="O31" s="80"/>
    </row>
    <row r="32" spans="1:20" ht="24.6" customHeight="1">
      <c r="A32" s="76">
        <v>5</v>
      </c>
      <c r="B32" s="31" t="s">
        <v>37</v>
      </c>
      <c r="C32" s="35">
        <v>581.29999999999995</v>
      </c>
      <c r="D32" s="35">
        <v>581.29999999999995</v>
      </c>
      <c r="E32" s="17">
        <f t="shared" si="13"/>
        <v>0</v>
      </c>
      <c r="F32" s="33">
        <v>0</v>
      </c>
      <c r="G32" s="78">
        <f t="shared" si="10"/>
        <v>0</v>
      </c>
      <c r="H32" s="35">
        <v>581.29999999999995</v>
      </c>
      <c r="I32" s="19">
        <f t="shared" si="14"/>
        <v>0</v>
      </c>
      <c r="J32" s="33">
        <v>0</v>
      </c>
      <c r="K32" s="28">
        <f t="shared" si="11"/>
        <v>0</v>
      </c>
      <c r="L32" s="18">
        <f t="shared" si="12"/>
        <v>0</v>
      </c>
      <c r="M32" s="79">
        <f t="shared" si="12"/>
        <v>0</v>
      </c>
      <c r="N32" s="23">
        <f>IFERROR(M32/L32,0)</f>
        <v>0</v>
      </c>
      <c r="O32" s="80"/>
    </row>
    <row r="33" spans="1:26" ht="22.8" customHeight="1" thickBot="1">
      <c r="A33" s="238" t="s">
        <v>28</v>
      </c>
      <c r="B33" s="239"/>
      <c r="C33" s="66"/>
      <c r="D33" s="66"/>
      <c r="E33" s="67">
        <f>SUM(E28:E32)</f>
        <v>0</v>
      </c>
      <c r="F33" s="67">
        <f>SUM(F28:F32)</f>
        <v>0</v>
      </c>
      <c r="G33" s="68"/>
      <c r="H33" s="68"/>
      <c r="I33" s="67">
        <f>SUM(I28:I32)</f>
        <v>0</v>
      </c>
      <c r="J33" s="67">
        <f>SUM(J28:J32)</f>
        <v>0</v>
      </c>
      <c r="K33" s="69">
        <f>SUM(K28:K32)</f>
        <v>0</v>
      </c>
      <c r="L33" s="70">
        <f>SUM(L28:L32)</f>
        <v>0</v>
      </c>
      <c r="M33" s="43">
        <f>SUM(M28:M32)</f>
        <v>0</v>
      </c>
      <c r="N33" s="71">
        <f>IFERROR(M33/K33,0)</f>
        <v>0</v>
      </c>
      <c r="O33" s="37"/>
      <c r="P33" s="72"/>
      <c r="S33" s="51"/>
    </row>
    <row r="34" spans="1:26" ht="24" customHeight="1">
      <c r="A34" s="240" t="s">
        <v>38</v>
      </c>
      <c r="B34" s="241"/>
      <c r="C34" s="241"/>
      <c r="D34" s="241"/>
      <c r="E34" s="241"/>
      <c r="F34" s="241"/>
      <c r="G34" s="241"/>
      <c r="H34" s="241"/>
      <c r="I34" s="241"/>
      <c r="J34" s="241"/>
      <c r="K34" s="241"/>
      <c r="L34" s="242"/>
      <c r="M34" s="46"/>
      <c r="N34" s="47"/>
      <c r="O34" s="61"/>
      <c r="S34" s="51"/>
    </row>
    <row r="35" spans="1:26" ht="24" customHeight="1">
      <c r="A35" s="243" t="s">
        <v>3</v>
      </c>
      <c r="B35" s="243" t="s">
        <v>4</v>
      </c>
      <c r="C35" s="213" t="s">
        <v>5</v>
      </c>
      <c r="D35" s="214"/>
      <c r="E35" s="214"/>
      <c r="F35" s="214"/>
      <c r="G35" s="215"/>
      <c r="H35" s="216" t="s">
        <v>6</v>
      </c>
      <c r="I35" s="217"/>
      <c r="J35" s="217"/>
      <c r="K35" s="218"/>
      <c r="L35" s="5"/>
      <c r="M35" s="221" t="s">
        <v>7</v>
      </c>
      <c r="N35" s="222" t="s">
        <v>8</v>
      </c>
      <c r="O35" s="37"/>
    </row>
    <row r="36" spans="1:26" ht="24" customHeight="1">
      <c r="A36" s="244"/>
      <c r="B36" s="244"/>
      <c r="C36" s="2" t="s">
        <v>11</v>
      </c>
      <c r="D36" s="2" t="s">
        <v>12</v>
      </c>
      <c r="E36" s="2" t="s">
        <v>13</v>
      </c>
      <c r="F36" s="2" t="s">
        <v>14</v>
      </c>
      <c r="G36" s="2" t="s">
        <v>8</v>
      </c>
      <c r="H36" s="2" t="s">
        <v>12</v>
      </c>
      <c r="I36" s="2" t="s">
        <v>13</v>
      </c>
      <c r="J36" s="2" t="s">
        <v>14</v>
      </c>
      <c r="K36" s="82" t="s">
        <v>8</v>
      </c>
      <c r="L36" s="12" t="s">
        <v>15</v>
      </c>
      <c r="M36" s="221"/>
      <c r="N36" s="222"/>
      <c r="O36" s="37"/>
    </row>
    <row r="37" spans="1:26" ht="24" customHeight="1">
      <c r="A37" s="76">
        <v>1</v>
      </c>
      <c r="B37" s="31" t="s">
        <v>39</v>
      </c>
      <c r="C37" s="83">
        <v>16479</v>
      </c>
      <c r="D37" s="83">
        <v>16479</v>
      </c>
      <c r="E37" s="35">
        <f>D37-C37</f>
        <v>0</v>
      </c>
      <c r="F37" s="33">
        <v>0</v>
      </c>
      <c r="G37" s="78">
        <f t="shared" ref="G37:G38" si="15">IFERROR(F37/E37,0)</f>
        <v>0</v>
      </c>
      <c r="H37" s="83">
        <v>16479</v>
      </c>
      <c r="I37" s="56">
        <f>H37-D37</f>
        <v>0</v>
      </c>
      <c r="J37" s="33">
        <v>0</v>
      </c>
      <c r="K37" s="28">
        <f>IFERROR(J37/I37,0)</f>
        <v>0</v>
      </c>
      <c r="L37" s="84">
        <f t="shared" ref="L37:L38" si="16">E37+I37</f>
        <v>0</v>
      </c>
      <c r="M37" s="79">
        <f>F37+J37</f>
        <v>0</v>
      </c>
      <c r="N37" s="34">
        <f>IFERROR(M37/L37,0)</f>
        <v>0</v>
      </c>
      <c r="O37" s="37"/>
    </row>
    <row r="38" spans="1:26" ht="27" customHeight="1">
      <c r="A38" s="76">
        <v>2</v>
      </c>
      <c r="B38" s="31" t="s">
        <v>40</v>
      </c>
      <c r="C38" s="35">
        <v>4285.6000000000004</v>
      </c>
      <c r="D38" s="35">
        <v>4285.6000000000004</v>
      </c>
      <c r="E38" s="17">
        <f>D38-C38</f>
        <v>0</v>
      </c>
      <c r="F38" s="33">
        <v>0</v>
      </c>
      <c r="G38" s="10">
        <f t="shared" si="15"/>
        <v>0</v>
      </c>
      <c r="H38" s="35">
        <v>4285.6000000000004</v>
      </c>
      <c r="I38" s="19">
        <f>H38-D38</f>
        <v>0</v>
      </c>
      <c r="J38" s="33">
        <v>0</v>
      </c>
      <c r="K38" s="28">
        <f>IFERROR(J38/I38,0)</f>
        <v>0</v>
      </c>
      <c r="L38" s="18">
        <f t="shared" si="16"/>
        <v>0</v>
      </c>
      <c r="M38" s="22">
        <f>F38+J38</f>
        <v>0</v>
      </c>
      <c r="N38" s="23">
        <f>IFERROR(M38/L38,0)</f>
        <v>0</v>
      </c>
      <c r="O38" s="37"/>
      <c r="S38" s="51"/>
    </row>
    <row r="39" spans="1:26" ht="22.8" customHeight="1" thickBot="1">
      <c r="A39" s="196" t="s">
        <v>28</v>
      </c>
      <c r="B39" s="233"/>
      <c r="C39" s="68"/>
      <c r="D39" s="66"/>
      <c r="E39" s="67">
        <f>SUM(E37:E38)</f>
        <v>0</v>
      </c>
      <c r="F39" s="67">
        <f>SUM(F37:F38:F38)</f>
        <v>0</v>
      </c>
      <c r="G39" s="68"/>
      <c r="H39" s="68"/>
      <c r="I39" s="67">
        <f>SUM(I37:I38)</f>
        <v>0</v>
      </c>
      <c r="J39" s="67">
        <f>SUM(J37:J38)</f>
        <v>0</v>
      </c>
      <c r="K39" s="69">
        <f>SUM(K37:K38)</f>
        <v>0</v>
      </c>
      <c r="L39" s="70">
        <f>SUM(L37:L38)</f>
        <v>0</v>
      </c>
      <c r="M39" s="43">
        <f>SUM(M37:M38)</f>
        <v>0</v>
      </c>
      <c r="N39" s="71">
        <f>IFERROR(M39/K39,0)</f>
        <v>0</v>
      </c>
      <c r="O39" s="37"/>
      <c r="P39" s="72"/>
      <c r="S39" s="51"/>
    </row>
    <row r="40" spans="1:26" ht="24" customHeight="1">
      <c r="A40" s="225" t="s">
        <v>41</v>
      </c>
      <c r="B40" s="226"/>
      <c r="C40" s="226"/>
      <c r="D40" s="226"/>
      <c r="E40" s="226"/>
      <c r="F40" s="226"/>
      <c r="G40" s="226"/>
      <c r="H40" s="226"/>
      <c r="I40" s="226"/>
      <c r="J40" s="226"/>
      <c r="K40" s="226"/>
      <c r="L40" s="226"/>
      <c r="M40" s="46"/>
      <c r="N40" s="47"/>
      <c r="O40" s="61"/>
    </row>
    <row r="41" spans="1:26" ht="24" customHeight="1">
      <c r="A41" s="222" t="s">
        <v>3</v>
      </c>
      <c r="B41" s="222" t="s">
        <v>4</v>
      </c>
      <c r="C41" s="234" t="s">
        <v>5</v>
      </c>
      <c r="D41" s="234"/>
      <c r="E41" s="234"/>
      <c r="F41" s="234"/>
      <c r="G41" s="234"/>
      <c r="H41" s="235" t="s">
        <v>6</v>
      </c>
      <c r="I41" s="235"/>
      <c r="J41" s="235"/>
      <c r="K41" s="235"/>
      <c r="L41" s="5"/>
      <c r="M41" s="221" t="s">
        <v>7</v>
      </c>
      <c r="N41" s="222" t="s">
        <v>8</v>
      </c>
      <c r="O41" s="37"/>
    </row>
    <row r="42" spans="1:26" ht="25.8" customHeight="1">
      <c r="A42" s="222"/>
      <c r="B42" s="222"/>
      <c r="C42" s="2" t="s">
        <v>11</v>
      </c>
      <c r="D42" s="2" t="s">
        <v>12</v>
      </c>
      <c r="E42" s="2" t="s">
        <v>13</v>
      </c>
      <c r="F42" s="2" t="s">
        <v>14</v>
      </c>
      <c r="G42" s="2" t="s">
        <v>8</v>
      </c>
      <c r="H42" s="2" t="s">
        <v>12</v>
      </c>
      <c r="I42" s="2" t="s">
        <v>13</v>
      </c>
      <c r="J42" s="2" t="s">
        <v>14</v>
      </c>
      <c r="K42" s="82" t="s">
        <v>8</v>
      </c>
      <c r="L42" s="12" t="s">
        <v>15</v>
      </c>
      <c r="M42" s="221"/>
      <c r="N42" s="222"/>
      <c r="O42" s="37"/>
    </row>
    <row r="43" spans="1:26" ht="24.6" customHeight="1">
      <c r="A43" s="76">
        <v>1</v>
      </c>
      <c r="B43" s="85" t="s">
        <v>42</v>
      </c>
      <c r="C43" s="33">
        <v>8580.4</v>
      </c>
      <c r="D43" s="33">
        <v>8580.4</v>
      </c>
      <c r="E43" s="20">
        <f>D43-C43</f>
        <v>0</v>
      </c>
      <c r="F43" s="33">
        <v>0</v>
      </c>
      <c r="G43" s="10">
        <f t="shared" ref="G43:G44" si="17">IFERROR(F43/E43,0)</f>
        <v>0</v>
      </c>
      <c r="H43" s="33">
        <v>8580.4</v>
      </c>
      <c r="I43" s="86">
        <f>H43-D43</f>
        <v>0</v>
      </c>
      <c r="J43" s="33">
        <v>0</v>
      </c>
      <c r="K43" s="28">
        <f>IFERROR(J43/I43,0)</f>
        <v>0</v>
      </c>
      <c r="L43" s="18">
        <f>E43+I43</f>
        <v>0</v>
      </c>
      <c r="M43" s="22">
        <f>F43+J43</f>
        <v>0</v>
      </c>
      <c r="N43" s="23">
        <f>IFERROR(M43/L43,0)</f>
        <v>0</v>
      </c>
      <c r="O43" s="87"/>
      <c r="S43" s="51"/>
    </row>
    <row r="44" spans="1:26" ht="22.8" customHeight="1">
      <c r="A44" s="76">
        <v>2</v>
      </c>
      <c r="B44" s="85" t="s">
        <v>43</v>
      </c>
      <c r="C44" s="33">
        <v>1572.8</v>
      </c>
      <c r="D44" s="33">
        <v>1572.8</v>
      </c>
      <c r="E44" s="20">
        <f>D44-C44</f>
        <v>0</v>
      </c>
      <c r="F44" s="33">
        <v>0</v>
      </c>
      <c r="G44" s="10">
        <f t="shared" si="17"/>
        <v>0</v>
      </c>
      <c r="H44" s="33">
        <v>1572.8</v>
      </c>
      <c r="I44" s="86">
        <f>H44-D44</f>
        <v>0</v>
      </c>
      <c r="J44" s="33">
        <v>0</v>
      </c>
      <c r="K44" s="28">
        <f>IFERROR(J44/I44,0)</f>
        <v>0</v>
      </c>
      <c r="L44" s="18">
        <f>E44+I44</f>
        <v>0</v>
      </c>
      <c r="M44" s="22">
        <f t="shared" ref="M44" si="18">F44+J44</f>
        <v>0</v>
      </c>
      <c r="N44" s="23">
        <f>IFERROR(M44/L44,0)</f>
        <v>0</v>
      </c>
      <c r="O44" s="87"/>
      <c r="P44" s="88"/>
      <c r="Q44" s="89"/>
    </row>
    <row r="45" spans="1:26" ht="24" customHeight="1" thickBot="1">
      <c r="A45" s="223" t="s">
        <v>28</v>
      </c>
      <c r="B45" s="224"/>
      <c r="C45" s="90"/>
      <c r="D45" s="90"/>
      <c r="E45" s="91">
        <f>SUM(E43:E44)</f>
        <v>0</v>
      </c>
      <c r="F45" s="91">
        <f>SUM(F43:F44)</f>
        <v>0</v>
      </c>
      <c r="G45" s="92"/>
      <c r="H45" s="92"/>
      <c r="I45" s="91">
        <f>SUM(I43:I44)</f>
        <v>0</v>
      </c>
      <c r="J45" s="91">
        <f>SUM(J43:J44)</f>
        <v>0</v>
      </c>
      <c r="K45" s="93">
        <f>SUM(K43:K44)</f>
        <v>0</v>
      </c>
      <c r="L45" s="94">
        <f>SUM(L43:L44)</f>
        <v>0</v>
      </c>
      <c r="M45" s="95">
        <f>SUM(M43:M44)</f>
        <v>0</v>
      </c>
      <c r="N45" s="96" t="e">
        <f>M45/L45</f>
        <v>#DIV/0!</v>
      </c>
      <c r="O45" s="37"/>
      <c r="P45" s="97"/>
      <c r="Q45" s="89"/>
    </row>
    <row r="46" spans="1:26" ht="24" customHeight="1">
      <c r="A46" s="225" t="s">
        <v>44</v>
      </c>
      <c r="B46" s="226"/>
      <c r="C46" s="226"/>
      <c r="D46" s="226"/>
      <c r="E46" s="226"/>
      <c r="F46" s="226"/>
      <c r="G46" s="226"/>
      <c r="H46" s="226"/>
      <c r="I46" s="226"/>
      <c r="J46" s="226"/>
      <c r="K46" s="226"/>
      <c r="L46" s="226"/>
      <c r="M46" s="98"/>
      <c r="N46" s="99"/>
      <c r="O46" s="37"/>
      <c r="P46" s="100"/>
      <c r="Q46" s="100"/>
    </row>
    <row r="47" spans="1:26" ht="24" customHeight="1">
      <c r="A47" s="222" t="s">
        <v>3</v>
      </c>
      <c r="B47" s="222" t="s">
        <v>4</v>
      </c>
      <c r="C47" s="227" t="s">
        <v>5</v>
      </c>
      <c r="D47" s="228"/>
      <c r="E47" s="228"/>
      <c r="F47" s="228"/>
      <c r="G47" s="228"/>
      <c r="H47" s="229"/>
      <c r="I47" s="230" t="s">
        <v>6</v>
      </c>
      <c r="J47" s="231"/>
      <c r="K47" s="231"/>
      <c r="L47" s="231"/>
      <c r="M47" s="231"/>
      <c r="N47" s="232"/>
      <c r="O47" s="201" t="s">
        <v>45</v>
      </c>
      <c r="P47" s="203" t="s">
        <v>46</v>
      </c>
      <c r="Q47" s="203" t="s">
        <v>47</v>
      </c>
      <c r="R47" s="205" t="s">
        <v>48</v>
      </c>
      <c r="Z47" s="101"/>
    </row>
    <row r="48" spans="1:26" ht="33" customHeight="1">
      <c r="A48" s="222"/>
      <c r="B48" s="222"/>
      <c r="C48" s="2" t="s">
        <v>49</v>
      </c>
      <c r="D48" s="2" t="s">
        <v>50</v>
      </c>
      <c r="E48" s="2" t="s">
        <v>51</v>
      </c>
      <c r="F48" s="102" t="s">
        <v>11</v>
      </c>
      <c r="G48" s="2" t="s">
        <v>14</v>
      </c>
      <c r="H48" s="2" t="s">
        <v>8</v>
      </c>
      <c r="I48" s="2" t="s">
        <v>50</v>
      </c>
      <c r="J48" s="2" t="s">
        <v>45</v>
      </c>
      <c r="K48" s="102" t="s">
        <v>12</v>
      </c>
      <c r="L48" s="102" t="s">
        <v>15</v>
      </c>
      <c r="M48" s="2" t="s">
        <v>14</v>
      </c>
      <c r="N48" s="82" t="s">
        <v>8</v>
      </c>
      <c r="O48" s="202"/>
      <c r="P48" s="204"/>
      <c r="Q48" s="204"/>
      <c r="R48" s="205"/>
    </row>
    <row r="49" spans="1:27" ht="21" customHeight="1">
      <c r="A49" s="81">
        <v>1</v>
      </c>
      <c r="B49" s="103" t="s">
        <v>52</v>
      </c>
      <c r="C49" s="2">
        <v>278630.7</v>
      </c>
      <c r="D49" s="2">
        <v>278630.7</v>
      </c>
      <c r="E49" s="104">
        <f t="shared" ref="E49:E56" si="19">D49-C49</f>
        <v>0</v>
      </c>
      <c r="F49" s="105">
        <v>22041</v>
      </c>
      <c r="G49" s="49">
        <v>0</v>
      </c>
      <c r="H49" s="10">
        <f t="shared" ref="H49:H56" si="20">IFERROR(E49/G49,0)</f>
        <v>0</v>
      </c>
      <c r="I49" s="2">
        <v>278630.7</v>
      </c>
      <c r="J49" s="106">
        <f t="shared" ref="J49:J109" si="21">I49-D49</f>
        <v>0</v>
      </c>
      <c r="K49" s="105">
        <v>22041</v>
      </c>
      <c r="L49" s="107">
        <f t="shared" ref="L49:L109" si="22">K49-F49</f>
        <v>0</v>
      </c>
      <c r="M49" s="2">
        <v>0</v>
      </c>
      <c r="N49" s="28">
        <f t="shared" ref="N49:N109" si="23">IFERROR(J49/M49,0)</f>
        <v>0</v>
      </c>
      <c r="O49" s="84">
        <f t="shared" ref="O49:O55" si="24">J49+E49</f>
        <v>0</v>
      </c>
      <c r="P49" s="79">
        <f t="shared" ref="P49:P55" si="25">G49+M49</f>
        <v>0</v>
      </c>
      <c r="Q49" s="34">
        <f t="shared" ref="Q49:Q55" si="26">IFERROR(O49/P49,0)</f>
        <v>0</v>
      </c>
      <c r="R49" s="108">
        <v>0</v>
      </c>
    </row>
    <row r="50" spans="1:27" ht="21" customHeight="1">
      <c r="A50" s="81">
        <v>2</v>
      </c>
      <c r="B50" s="103" t="s">
        <v>155</v>
      </c>
      <c r="C50" s="2">
        <v>0</v>
      </c>
      <c r="D50" s="2">
        <v>0</v>
      </c>
      <c r="E50" s="104">
        <f t="shared" si="19"/>
        <v>0</v>
      </c>
      <c r="F50" s="105">
        <v>0</v>
      </c>
      <c r="G50" s="49">
        <v>0</v>
      </c>
      <c r="H50" s="10">
        <f t="shared" si="20"/>
        <v>0</v>
      </c>
      <c r="I50" s="2">
        <v>0</v>
      </c>
      <c r="J50" s="106">
        <f t="shared" si="21"/>
        <v>0</v>
      </c>
      <c r="K50" s="105">
        <v>0</v>
      </c>
      <c r="L50" s="107">
        <f t="shared" si="22"/>
        <v>0</v>
      </c>
      <c r="M50" s="2">
        <v>0</v>
      </c>
      <c r="N50" s="28">
        <f t="shared" si="23"/>
        <v>0</v>
      </c>
      <c r="O50" s="84">
        <f t="shared" si="24"/>
        <v>0</v>
      </c>
      <c r="P50" s="79">
        <f t="shared" si="25"/>
        <v>0</v>
      </c>
      <c r="Q50" s="34">
        <f t="shared" si="26"/>
        <v>0</v>
      </c>
      <c r="R50" s="108">
        <v>0</v>
      </c>
    </row>
    <row r="51" spans="1:27" ht="21" customHeight="1">
      <c r="A51" s="81">
        <v>3</v>
      </c>
      <c r="B51" s="103" t="s">
        <v>171</v>
      </c>
      <c r="C51" s="2">
        <v>0</v>
      </c>
      <c r="D51" s="2">
        <v>0</v>
      </c>
      <c r="E51" s="104">
        <f t="shared" si="19"/>
        <v>0</v>
      </c>
      <c r="F51" s="105">
        <v>0</v>
      </c>
      <c r="G51" s="49">
        <v>0</v>
      </c>
      <c r="H51" s="10">
        <f t="shared" si="20"/>
        <v>0</v>
      </c>
      <c r="I51" s="2">
        <v>0</v>
      </c>
      <c r="J51" s="106">
        <f t="shared" si="21"/>
        <v>0</v>
      </c>
      <c r="K51" s="105">
        <v>0</v>
      </c>
      <c r="L51" s="107">
        <f t="shared" si="22"/>
        <v>0</v>
      </c>
      <c r="M51" s="2">
        <v>0</v>
      </c>
      <c r="N51" s="28">
        <f t="shared" si="23"/>
        <v>0</v>
      </c>
      <c r="O51" s="84">
        <f t="shared" si="24"/>
        <v>0</v>
      </c>
      <c r="P51" s="79">
        <f t="shared" si="25"/>
        <v>0</v>
      </c>
      <c r="Q51" s="34">
        <f t="shared" si="26"/>
        <v>0</v>
      </c>
      <c r="R51" s="108">
        <v>0</v>
      </c>
    </row>
    <row r="52" spans="1:27" ht="21" customHeight="1">
      <c r="A52" s="81">
        <v>4</v>
      </c>
      <c r="B52" s="103" t="s">
        <v>156</v>
      </c>
      <c r="C52" s="2">
        <v>0</v>
      </c>
      <c r="D52" s="2">
        <v>0</v>
      </c>
      <c r="E52" s="104">
        <f t="shared" si="19"/>
        <v>0</v>
      </c>
      <c r="F52" s="105">
        <v>0</v>
      </c>
      <c r="G52" s="49">
        <v>0</v>
      </c>
      <c r="H52" s="10">
        <f t="shared" si="20"/>
        <v>0</v>
      </c>
      <c r="I52" s="2">
        <v>0</v>
      </c>
      <c r="J52" s="106">
        <f t="shared" si="21"/>
        <v>0</v>
      </c>
      <c r="K52" s="105">
        <v>0</v>
      </c>
      <c r="L52" s="107">
        <f t="shared" si="22"/>
        <v>0</v>
      </c>
      <c r="M52" s="2">
        <v>0</v>
      </c>
      <c r="N52" s="28">
        <f t="shared" si="23"/>
        <v>0</v>
      </c>
      <c r="O52" s="84">
        <f t="shared" si="24"/>
        <v>0</v>
      </c>
      <c r="P52" s="79">
        <f t="shared" si="25"/>
        <v>0</v>
      </c>
      <c r="Q52" s="34">
        <f t="shared" si="26"/>
        <v>0</v>
      </c>
      <c r="R52" s="108">
        <v>0</v>
      </c>
    </row>
    <row r="53" spans="1:27" ht="21" customHeight="1">
      <c r="A53" s="81">
        <v>5</v>
      </c>
      <c r="B53" s="103" t="s">
        <v>157</v>
      </c>
      <c r="C53" s="2">
        <v>0</v>
      </c>
      <c r="D53" s="2">
        <v>0</v>
      </c>
      <c r="E53" s="104">
        <f t="shared" si="19"/>
        <v>0</v>
      </c>
      <c r="F53" s="105">
        <v>0</v>
      </c>
      <c r="G53" s="49">
        <v>0</v>
      </c>
      <c r="H53" s="10">
        <f t="shared" si="20"/>
        <v>0</v>
      </c>
      <c r="I53" s="2">
        <v>0</v>
      </c>
      <c r="J53" s="106">
        <f t="shared" si="21"/>
        <v>0</v>
      </c>
      <c r="K53" s="105">
        <v>0</v>
      </c>
      <c r="L53" s="107">
        <f t="shared" si="22"/>
        <v>0</v>
      </c>
      <c r="M53" s="2">
        <v>0</v>
      </c>
      <c r="N53" s="28">
        <f t="shared" si="23"/>
        <v>0</v>
      </c>
      <c r="O53" s="84">
        <f t="shared" si="24"/>
        <v>0</v>
      </c>
      <c r="P53" s="79">
        <f t="shared" si="25"/>
        <v>0</v>
      </c>
      <c r="Q53" s="34">
        <f t="shared" si="26"/>
        <v>0</v>
      </c>
      <c r="R53" s="108">
        <v>0</v>
      </c>
    </row>
    <row r="54" spans="1:27" ht="21" customHeight="1">
      <c r="A54" s="81">
        <v>6</v>
      </c>
      <c r="B54" s="103" t="s">
        <v>172</v>
      </c>
      <c r="C54" s="2">
        <v>0</v>
      </c>
      <c r="D54" s="2">
        <v>0</v>
      </c>
      <c r="E54" s="104">
        <f t="shared" si="19"/>
        <v>0</v>
      </c>
      <c r="F54" s="105">
        <v>0</v>
      </c>
      <c r="G54" s="49">
        <v>0</v>
      </c>
      <c r="H54" s="10">
        <f t="shared" si="20"/>
        <v>0</v>
      </c>
      <c r="I54" s="2">
        <v>0</v>
      </c>
      <c r="J54" s="106">
        <f t="shared" si="21"/>
        <v>0</v>
      </c>
      <c r="K54" s="105">
        <v>0</v>
      </c>
      <c r="L54" s="107">
        <f t="shared" si="22"/>
        <v>0</v>
      </c>
      <c r="M54" s="2">
        <v>0</v>
      </c>
      <c r="N54" s="28">
        <f t="shared" si="23"/>
        <v>0</v>
      </c>
      <c r="O54" s="84">
        <f t="shared" si="24"/>
        <v>0</v>
      </c>
      <c r="P54" s="79">
        <f t="shared" si="25"/>
        <v>0</v>
      </c>
      <c r="Q54" s="34">
        <f t="shared" si="26"/>
        <v>0</v>
      </c>
      <c r="R54" s="108">
        <v>0</v>
      </c>
    </row>
    <row r="55" spans="1:27" ht="21" customHeight="1">
      <c r="A55" s="81">
        <v>7</v>
      </c>
      <c r="B55" s="103" t="s">
        <v>173</v>
      </c>
      <c r="C55" s="2">
        <v>0</v>
      </c>
      <c r="D55" s="2">
        <v>0</v>
      </c>
      <c r="E55" s="104">
        <f t="shared" si="19"/>
        <v>0</v>
      </c>
      <c r="F55" s="105">
        <v>0</v>
      </c>
      <c r="G55" s="49">
        <v>0</v>
      </c>
      <c r="H55" s="10">
        <f t="shared" si="20"/>
        <v>0</v>
      </c>
      <c r="I55" s="2">
        <v>0</v>
      </c>
      <c r="J55" s="106">
        <f t="shared" si="21"/>
        <v>0</v>
      </c>
      <c r="K55" s="105">
        <v>0</v>
      </c>
      <c r="L55" s="107">
        <f t="shared" si="22"/>
        <v>0</v>
      </c>
      <c r="M55" s="2">
        <v>0</v>
      </c>
      <c r="N55" s="28">
        <f t="shared" si="23"/>
        <v>0</v>
      </c>
      <c r="O55" s="84">
        <f t="shared" si="24"/>
        <v>0</v>
      </c>
      <c r="P55" s="79">
        <f t="shared" si="25"/>
        <v>0</v>
      </c>
      <c r="Q55" s="34">
        <f t="shared" si="26"/>
        <v>0</v>
      </c>
      <c r="R55" s="108">
        <v>0</v>
      </c>
    </row>
    <row r="56" spans="1:27" ht="24" customHeight="1">
      <c r="A56" s="81">
        <v>8</v>
      </c>
      <c r="B56" s="31" t="s">
        <v>53</v>
      </c>
      <c r="C56" s="35">
        <v>334306.5</v>
      </c>
      <c r="D56" s="35">
        <v>334306.5</v>
      </c>
      <c r="E56" s="104">
        <f t="shared" si="19"/>
        <v>0</v>
      </c>
      <c r="F56" s="110">
        <v>29835</v>
      </c>
      <c r="G56" s="111">
        <v>0</v>
      </c>
      <c r="H56" s="10">
        <f t="shared" si="20"/>
        <v>0</v>
      </c>
      <c r="I56" s="35">
        <v>334306.5</v>
      </c>
      <c r="J56" s="106">
        <f t="shared" si="21"/>
        <v>0</v>
      </c>
      <c r="K56" s="110">
        <v>29835</v>
      </c>
      <c r="L56" s="107">
        <f t="shared" si="22"/>
        <v>0</v>
      </c>
      <c r="M56" s="112">
        <v>0</v>
      </c>
      <c r="N56" s="28">
        <f t="shared" si="23"/>
        <v>0</v>
      </c>
      <c r="O56" s="84">
        <f t="shared" ref="O56:O109" si="27">J56+E56</f>
        <v>0</v>
      </c>
      <c r="P56" s="79">
        <f t="shared" ref="P56:P109" si="28">G56+M56</f>
        <v>0</v>
      </c>
      <c r="Q56" s="34">
        <f t="shared" ref="Q56:Q109" si="29">IFERROR(O56/P56,0)</f>
        <v>0</v>
      </c>
      <c r="R56" s="1">
        <v>0</v>
      </c>
    </row>
    <row r="57" spans="1:27" ht="24" customHeight="1">
      <c r="A57" s="81">
        <v>9</v>
      </c>
      <c r="B57" s="31" t="s">
        <v>54</v>
      </c>
      <c r="C57" s="104">
        <v>291746.5</v>
      </c>
      <c r="D57" s="104">
        <v>291746.5</v>
      </c>
      <c r="E57" s="104">
        <f t="shared" ref="E57:E109" si="30">D57-C57</f>
        <v>0</v>
      </c>
      <c r="F57" s="110">
        <v>27949</v>
      </c>
      <c r="G57" s="111">
        <v>0</v>
      </c>
      <c r="H57" s="10">
        <f t="shared" ref="H57:H109" si="31">IFERROR(E57/G57,0)</f>
        <v>0</v>
      </c>
      <c r="I57" s="104">
        <v>291746.5</v>
      </c>
      <c r="J57" s="106">
        <f>I57-D57</f>
        <v>0</v>
      </c>
      <c r="K57" s="110">
        <v>27949</v>
      </c>
      <c r="L57" s="107">
        <f t="shared" si="22"/>
        <v>0</v>
      </c>
      <c r="M57" s="111">
        <v>0</v>
      </c>
      <c r="N57" s="28">
        <f t="shared" si="23"/>
        <v>0</v>
      </c>
      <c r="O57" s="84">
        <f t="shared" si="27"/>
        <v>0</v>
      </c>
      <c r="P57" s="79">
        <f t="shared" si="28"/>
        <v>0</v>
      </c>
      <c r="Q57" s="34">
        <f t="shared" si="29"/>
        <v>0</v>
      </c>
      <c r="R57" s="1">
        <v>0</v>
      </c>
      <c r="AA57" s="101"/>
    </row>
    <row r="58" spans="1:27" ht="24" customHeight="1">
      <c r="A58" s="81">
        <v>10</v>
      </c>
      <c r="B58" s="31" t="s">
        <v>55</v>
      </c>
      <c r="C58" s="104">
        <v>298907.40000000002</v>
      </c>
      <c r="D58" s="104">
        <v>298907.40000000002</v>
      </c>
      <c r="E58" s="104">
        <f t="shared" si="30"/>
        <v>0</v>
      </c>
      <c r="F58" s="110">
        <v>27086</v>
      </c>
      <c r="G58" s="111">
        <v>0</v>
      </c>
      <c r="H58" s="10">
        <f t="shared" si="31"/>
        <v>0</v>
      </c>
      <c r="I58" s="104">
        <v>298907.40000000002</v>
      </c>
      <c r="J58" s="106">
        <f>I58-D58</f>
        <v>0</v>
      </c>
      <c r="K58" s="110">
        <v>27086</v>
      </c>
      <c r="L58" s="107">
        <f t="shared" si="22"/>
        <v>0</v>
      </c>
      <c r="M58" s="111">
        <v>0</v>
      </c>
      <c r="N58" s="28">
        <f t="shared" si="23"/>
        <v>0</v>
      </c>
      <c r="O58" s="84">
        <f t="shared" si="27"/>
        <v>0</v>
      </c>
      <c r="P58" s="79">
        <f t="shared" si="28"/>
        <v>0</v>
      </c>
      <c r="Q58" s="34">
        <f t="shared" si="29"/>
        <v>0</v>
      </c>
      <c r="R58" s="1">
        <v>0</v>
      </c>
      <c r="AA58" s="101"/>
    </row>
    <row r="59" spans="1:27" ht="24" customHeight="1">
      <c r="A59" s="81">
        <v>11</v>
      </c>
      <c r="B59" s="31" t="s">
        <v>56</v>
      </c>
      <c r="C59" s="104">
        <v>339541.3</v>
      </c>
      <c r="D59" s="104">
        <v>339541.3</v>
      </c>
      <c r="E59" s="104">
        <f t="shared" si="30"/>
        <v>0</v>
      </c>
      <c r="F59" s="110">
        <v>26812</v>
      </c>
      <c r="G59" s="111">
        <v>0</v>
      </c>
      <c r="H59" s="10">
        <f t="shared" si="31"/>
        <v>0</v>
      </c>
      <c r="I59" s="104">
        <v>339541.3</v>
      </c>
      <c r="J59" s="106">
        <f>I59-D59</f>
        <v>0</v>
      </c>
      <c r="K59" s="110">
        <v>26812</v>
      </c>
      <c r="L59" s="107">
        <f t="shared" si="22"/>
        <v>0</v>
      </c>
      <c r="M59" s="111">
        <v>0</v>
      </c>
      <c r="N59" s="28">
        <f t="shared" si="23"/>
        <v>0</v>
      </c>
      <c r="O59" s="84">
        <f t="shared" si="27"/>
        <v>0</v>
      </c>
      <c r="P59" s="79">
        <f t="shared" si="28"/>
        <v>0</v>
      </c>
      <c r="Q59" s="34">
        <f t="shared" si="29"/>
        <v>0</v>
      </c>
      <c r="R59" s="1">
        <v>0</v>
      </c>
      <c r="AA59" s="101"/>
    </row>
    <row r="60" spans="1:27" ht="24" customHeight="1">
      <c r="A60" s="81">
        <v>12</v>
      </c>
      <c r="B60" s="31" t="s">
        <v>57</v>
      </c>
      <c r="C60" s="104">
        <v>342293.6</v>
      </c>
      <c r="D60" s="104">
        <v>342293.6</v>
      </c>
      <c r="E60" s="104">
        <f t="shared" si="30"/>
        <v>0</v>
      </c>
      <c r="F60" s="110">
        <v>26617</v>
      </c>
      <c r="G60" s="111">
        <v>0</v>
      </c>
      <c r="H60" s="10">
        <f t="shared" si="31"/>
        <v>0</v>
      </c>
      <c r="I60" s="104">
        <v>342293.6</v>
      </c>
      <c r="J60" s="106">
        <f>I60-D60</f>
        <v>0</v>
      </c>
      <c r="K60" s="110">
        <v>26617</v>
      </c>
      <c r="L60" s="107">
        <f t="shared" si="22"/>
        <v>0</v>
      </c>
      <c r="M60" s="111">
        <v>0</v>
      </c>
      <c r="N60" s="28">
        <f t="shared" si="23"/>
        <v>0</v>
      </c>
      <c r="O60" s="84">
        <f t="shared" si="27"/>
        <v>0</v>
      </c>
      <c r="P60" s="79">
        <f t="shared" si="28"/>
        <v>0</v>
      </c>
      <c r="Q60" s="34">
        <f t="shared" si="29"/>
        <v>0</v>
      </c>
      <c r="R60" s="1">
        <v>0</v>
      </c>
      <c r="AA60" s="101"/>
    </row>
    <row r="61" spans="1:27" ht="24" customHeight="1">
      <c r="A61" s="81">
        <v>13</v>
      </c>
      <c r="B61" s="31" t="s">
        <v>58</v>
      </c>
      <c r="C61" s="35">
        <v>299562.8</v>
      </c>
      <c r="D61" s="35">
        <v>299562.8</v>
      </c>
      <c r="E61" s="104">
        <f t="shared" si="30"/>
        <v>0</v>
      </c>
      <c r="F61" s="110">
        <v>26599.279999999999</v>
      </c>
      <c r="G61" s="111">
        <v>0</v>
      </c>
      <c r="H61" s="10">
        <f t="shared" si="31"/>
        <v>0</v>
      </c>
      <c r="I61" s="35">
        <v>299562.8</v>
      </c>
      <c r="J61" s="106">
        <f t="shared" si="21"/>
        <v>0</v>
      </c>
      <c r="K61" s="110">
        <v>26599.279999999999</v>
      </c>
      <c r="L61" s="107">
        <f t="shared" si="22"/>
        <v>0</v>
      </c>
      <c r="M61" s="112">
        <v>0</v>
      </c>
      <c r="N61" s="28">
        <f>IFERROR(J61/M61,0)</f>
        <v>0</v>
      </c>
      <c r="O61" s="84">
        <f t="shared" si="27"/>
        <v>0</v>
      </c>
      <c r="P61" s="79">
        <f t="shared" si="28"/>
        <v>0</v>
      </c>
      <c r="Q61" s="34">
        <f t="shared" si="29"/>
        <v>0</v>
      </c>
      <c r="R61" s="1">
        <v>0</v>
      </c>
      <c r="U61" s="113"/>
    </row>
    <row r="62" spans="1:27" ht="24" customHeight="1">
      <c r="A62" s="81">
        <v>14</v>
      </c>
      <c r="B62" s="31" t="s">
        <v>59</v>
      </c>
      <c r="C62" s="35">
        <v>271405.8</v>
      </c>
      <c r="D62" s="35">
        <v>271405.8</v>
      </c>
      <c r="E62" s="104">
        <f t="shared" si="30"/>
        <v>0</v>
      </c>
      <c r="F62" s="110">
        <v>25357.5</v>
      </c>
      <c r="G62" s="111">
        <v>0</v>
      </c>
      <c r="H62" s="10">
        <f t="shared" si="31"/>
        <v>0</v>
      </c>
      <c r="I62" s="35">
        <v>271405.8</v>
      </c>
      <c r="J62" s="106">
        <f>I62-D62</f>
        <v>0</v>
      </c>
      <c r="K62" s="110">
        <v>25357.5</v>
      </c>
      <c r="L62" s="107">
        <f t="shared" si="22"/>
        <v>0</v>
      </c>
      <c r="M62" s="111">
        <v>0</v>
      </c>
      <c r="N62" s="28">
        <f>IFERROR(J62/M62,0)</f>
        <v>0</v>
      </c>
      <c r="O62" s="84">
        <f t="shared" si="27"/>
        <v>0</v>
      </c>
      <c r="P62" s="79">
        <f t="shared" si="28"/>
        <v>0</v>
      </c>
      <c r="Q62" s="34">
        <f t="shared" si="29"/>
        <v>0</v>
      </c>
      <c r="R62" s="1">
        <v>0</v>
      </c>
      <c r="X62" t="s">
        <v>60</v>
      </c>
    </row>
    <row r="63" spans="1:27" ht="24" customHeight="1">
      <c r="A63" s="81">
        <v>15</v>
      </c>
      <c r="B63" s="31" t="s">
        <v>61</v>
      </c>
      <c r="C63" s="104">
        <v>284733.09999999998</v>
      </c>
      <c r="D63" s="104">
        <v>284733.09999999998</v>
      </c>
      <c r="E63" s="104">
        <f t="shared" si="30"/>
        <v>0</v>
      </c>
      <c r="F63" s="110">
        <v>26568</v>
      </c>
      <c r="G63" s="111">
        <v>0</v>
      </c>
      <c r="H63" s="10">
        <f t="shared" si="31"/>
        <v>0</v>
      </c>
      <c r="I63" s="104">
        <v>284733.09999999998</v>
      </c>
      <c r="J63" s="106">
        <f>I63-D63</f>
        <v>0</v>
      </c>
      <c r="K63" s="110">
        <v>26568</v>
      </c>
      <c r="L63" s="107">
        <f t="shared" si="22"/>
        <v>0</v>
      </c>
      <c r="M63" s="112">
        <v>0</v>
      </c>
      <c r="N63" s="28">
        <f t="shared" si="23"/>
        <v>0</v>
      </c>
      <c r="O63" s="84">
        <f t="shared" si="27"/>
        <v>0</v>
      </c>
      <c r="P63" s="79">
        <f t="shared" si="28"/>
        <v>0</v>
      </c>
      <c r="Q63" s="34">
        <f t="shared" si="29"/>
        <v>0</v>
      </c>
      <c r="R63" s="1">
        <v>0</v>
      </c>
    </row>
    <row r="64" spans="1:27" ht="24" customHeight="1">
      <c r="A64" s="81">
        <v>16</v>
      </c>
      <c r="B64" s="31" t="s">
        <v>62</v>
      </c>
      <c r="C64" s="35">
        <v>302852.5</v>
      </c>
      <c r="D64" s="35">
        <v>302852.5</v>
      </c>
      <c r="E64" s="104">
        <f t="shared" si="30"/>
        <v>0</v>
      </c>
      <c r="F64" s="110">
        <v>27212.01</v>
      </c>
      <c r="G64" s="111">
        <v>0</v>
      </c>
      <c r="H64" s="10">
        <f t="shared" si="31"/>
        <v>0</v>
      </c>
      <c r="I64" s="35">
        <v>302852.5</v>
      </c>
      <c r="J64" s="106">
        <f t="shared" si="21"/>
        <v>0</v>
      </c>
      <c r="K64" s="110">
        <v>27212.01</v>
      </c>
      <c r="L64" s="107">
        <f t="shared" si="22"/>
        <v>0</v>
      </c>
      <c r="M64" s="112">
        <v>0</v>
      </c>
      <c r="N64" s="28">
        <f t="shared" si="23"/>
        <v>0</v>
      </c>
      <c r="O64" s="84">
        <f t="shared" si="27"/>
        <v>0</v>
      </c>
      <c r="P64" s="79">
        <f t="shared" si="28"/>
        <v>0</v>
      </c>
      <c r="Q64" s="34">
        <f t="shared" si="29"/>
        <v>0</v>
      </c>
      <c r="R64" s="1">
        <v>0</v>
      </c>
    </row>
    <row r="65" spans="1:18" ht="24" customHeight="1">
      <c r="A65" s="81">
        <v>17</v>
      </c>
      <c r="B65" s="31" t="s">
        <v>158</v>
      </c>
      <c r="C65" s="17">
        <v>274791</v>
      </c>
      <c r="D65" s="17">
        <v>274791</v>
      </c>
      <c r="E65" s="104">
        <f t="shared" si="30"/>
        <v>0</v>
      </c>
      <c r="F65" s="110">
        <v>25063</v>
      </c>
      <c r="G65" s="111">
        <v>0</v>
      </c>
      <c r="H65" s="10">
        <f t="shared" si="31"/>
        <v>0</v>
      </c>
      <c r="I65" s="17">
        <v>274791</v>
      </c>
      <c r="J65" s="106">
        <f t="shared" si="21"/>
        <v>0</v>
      </c>
      <c r="K65" s="110">
        <v>25063</v>
      </c>
      <c r="L65" s="107">
        <f t="shared" si="22"/>
        <v>0</v>
      </c>
      <c r="M65" s="111">
        <v>0</v>
      </c>
      <c r="N65" s="28">
        <f t="shared" si="23"/>
        <v>0</v>
      </c>
      <c r="O65" s="84">
        <f t="shared" si="27"/>
        <v>0</v>
      </c>
      <c r="P65" s="79">
        <f t="shared" si="28"/>
        <v>0</v>
      </c>
      <c r="Q65" s="34">
        <f t="shared" si="29"/>
        <v>0</v>
      </c>
      <c r="R65" s="1">
        <v>0</v>
      </c>
    </row>
    <row r="66" spans="1:18" ht="24" customHeight="1">
      <c r="A66" s="81">
        <v>18</v>
      </c>
      <c r="B66" s="31" t="s">
        <v>159</v>
      </c>
      <c r="C66" s="17">
        <v>277907</v>
      </c>
      <c r="D66" s="17">
        <v>277907</v>
      </c>
      <c r="E66" s="104">
        <f t="shared" si="30"/>
        <v>0</v>
      </c>
      <c r="F66" s="110">
        <v>25896</v>
      </c>
      <c r="G66" s="111">
        <v>0</v>
      </c>
      <c r="H66" s="10">
        <f t="shared" si="31"/>
        <v>0</v>
      </c>
      <c r="I66" s="17">
        <v>277907</v>
      </c>
      <c r="J66" s="106">
        <f t="shared" si="21"/>
        <v>0</v>
      </c>
      <c r="K66" s="110">
        <v>25896</v>
      </c>
      <c r="L66" s="107">
        <f t="shared" si="22"/>
        <v>0</v>
      </c>
      <c r="M66" s="111">
        <v>0</v>
      </c>
      <c r="N66" s="28">
        <f t="shared" si="23"/>
        <v>0</v>
      </c>
      <c r="O66" s="84">
        <f t="shared" si="27"/>
        <v>0</v>
      </c>
      <c r="P66" s="79">
        <f t="shared" si="28"/>
        <v>0</v>
      </c>
      <c r="Q66" s="34">
        <f t="shared" si="29"/>
        <v>0</v>
      </c>
      <c r="R66" s="1">
        <v>0</v>
      </c>
    </row>
    <row r="67" spans="1:18" ht="24" customHeight="1">
      <c r="A67" s="81">
        <v>19</v>
      </c>
      <c r="B67" s="31" t="s">
        <v>160</v>
      </c>
      <c r="C67" s="17">
        <v>304994</v>
      </c>
      <c r="D67" s="17">
        <v>304994</v>
      </c>
      <c r="E67" s="104">
        <f t="shared" si="30"/>
        <v>0</v>
      </c>
      <c r="F67" s="110">
        <v>25082</v>
      </c>
      <c r="G67" s="111">
        <v>0</v>
      </c>
      <c r="H67" s="10">
        <f t="shared" si="31"/>
        <v>0</v>
      </c>
      <c r="I67" s="17">
        <v>304994</v>
      </c>
      <c r="J67" s="106">
        <f t="shared" si="21"/>
        <v>0</v>
      </c>
      <c r="K67" s="110">
        <v>25082</v>
      </c>
      <c r="L67" s="107">
        <f t="shared" si="22"/>
        <v>0</v>
      </c>
      <c r="M67" s="111">
        <v>0</v>
      </c>
      <c r="N67" s="28">
        <f t="shared" si="23"/>
        <v>0</v>
      </c>
      <c r="O67" s="84">
        <f t="shared" si="27"/>
        <v>0</v>
      </c>
      <c r="P67" s="79">
        <f t="shared" si="28"/>
        <v>0</v>
      </c>
      <c r="Q67" s="34">
        <f t="shared" si="29"/>
        <v>0</v>
      </c>
      <c r="R67" s="1">
        <v>0</v>
      </c>
    </row>
    <row r="68" spans="1:18" ht="24" customHeight="1">
      <c r="A68" s="81">
        <v>20</v>
      </c>
      <c r="B68" s="31" t="s">
        <v>161</v>
      </c>
      <c r="C68" s="17">
        <v>302969</v>
      </c>
      <c r="D68" s="17">
        <v>302969</v>
      </c>
      <c r="E68" s="104">
        <f t="shared" si="30"/>
        <v>0</v>
      </c>
      <c r="F68" s="110">
        <v>25305</v>
      </c>
      <c r="G68" s="116">
        <v>0</v>
      </c>
      <c r="H68" s="10">
        <f t="shared" si="31"/>
        <v>0</v>
      </c>
      <c r="I68" s="17">
        <v>302969</v>
      </c>
      <c r="J68" s="106">
        <f t="shared" si="21"/>
        <v>0</v>
      </c>
      <c r="K68" s="110">
        <v>25305</v>
      </c>
      <c r="L68" s="107">
        <f t="shared" si="22"/>
        <v>0</v>
      </c>
      <c r="M68" s="111">
        <v>0</v>
      </c>
      <c r="N68" s="28">
        <f t="shared" si="23"/>
        <v>0</v>
      </c>
      <c r="O68" s="84">
        <f t="shared" si="27"/>
        <v>0</v>
      </c>
      <c r="P68" s="79">
        <f t="shared" si="28"/>
        <v>0</v>
      </c>
      <c r="Q68" s="34">
        <f t="shared" si="29"/>
        <v>0</v>
      </c>
      <c r="R68" s="1">
        <v>0</v>
      </c>
    </row>
    <row r="69" spans="1:18" ht="24" customHeight="1">
      <c r="A69" s="81">
        <v>21</v>
      </c>
      <c r="B69" s="31" t="s">
        <v>162</v>
      </c>
      <c r="C69" s="17">
        <v>319817</v>
      </c>
      <c r="D69" s="17">
        <v>319817</v>
      </c>
      <c r="E69" s="104">
        <f t="shared" si="30"/>
        <v>0</v>
      </c>
      <c r="F69" s="110">
        <v>26510</v>
      </c>
      <c r="G69" s="111">
        <v>0</v>
      </c>
      <c r="H69" s="10">
        <f t="shared" si="31"/>
        <v>0</v>
      </c>
      <c r="I69" s="17">
        <v>319817</v>
      </c>
      <c r="J69" s="106">
        <f t="shared" si="21"/>
        <v>0</v>
      </c>
      <c r="K69" s="110">
        <v>26510</v>
      </c>
      <c r="L69" s="107">
        <f t="shared" si="22"/>
        <v>0</v>
      </c>
      <c r="M69" s="111">
        <v>0</v>
      </c>
      <c r="N69" s="28">
        <f t="shared" si="23"/>
        <v>0</v>
      </c>
      <c r="O69" s="84">
        <f t="shared" si="27"/>
        <v>0</v>
      </c>
      <c r="P69" s="79">
        <f t="shared" si="28"/>
        <v>0</v>
      </c>
      <c r="Q69" s="34">
        <f t="shared" si="29"/>
        <v>0</v>
      </c>
      <c r="R69" s="1">
        <v>0</v>
      </c>
    </row>
    <row r="70" spans="1:18" ht="24" customHeight="1">
      <c r="A70" s="81">
        <v>22</v>
      </c>
      <c r="B70" s="31" t="s">
        <v>68</v>
      </c>
      <c r="C70" s="17">
        <v>275477.90000000002</v>
      </c>
      <c r="D70" s="17">
        <v>275477.90000000002</v>
      </c>
      <c r="E70" s="104">
        <f t="shared" si="30"/>
        <v>0</v>
      </c>
      <c r="F70" s="110">
        <v>22344</v>
      </c>
      <c r="G70" s="111">
        <v>0</v>
      </c>
      <c r="H70" s="10">
        <f t="shared" si="31"/>
        <v>0</v>
      </c>
      <c r="I70" s="17">
        <v>275477.90000000002</v>
      </c>
      <c r="J70" s="106">
        <f t="shared" si="21"/>
        <v>0</v>
      </c>
      <c r="K70" s="110">
        <v>22344</v>
      </c>
      <c r="L70" s="107">
        <f t="shared" si="22"/>
        <v>0</v>
      </c>
      <c r="M70" s="112">
        <v>0</v>
      </c>
      <c r="N70" s="28">
        <f t="shared" si="23"/>
        <v>0</v>
      </c>
      <c r="O70" s="84">
        <f t="shared" si="27"/>
        <v>0</v>
      </c>
      <c r="P70" s="79">
        <f t="shared" si="28"/>
        <v>0</v>
      </c>
      <c r="Q70" s="34">
        <f t="shared" si="29"/>
        <v>0</v>
      </c>
      <c r="R70" s="1">
        <v>0</v>
      </c>
    </row>
    <row r="71" spans="1:18" ht="24" customHeight="1">
      <c r="A71" s="81">
        <v>23</v>
      </c>
      <c r="B71" s="31" t="s">
        <v>69</v>
      </c>
      <c r="C71" s="17">
        <v>257585.8</v>
      </c>
      <c r="D71" s="17">
        <v>257585.8</v>
      </c>
      <c r="E71" s="104">
        <f t="shared" si="30"/>
        <v>0</v>
      </c>
      <c r="F71" s="110">
        <v>19725</v>
      </c>
      <c r="G71" s="111">
        <v>0</v>
      </c>
      <c r="H71" s="10">
        <f t="shared" si="31"/>
        <v>0</v>
      </c>
      <c r="I71" s="17">
        <v>257585.8</v>
      </c>
      <c r="J71" s="106">
        <f t="shared" si="21"/>
        <v>0</v>
      </c>
      <c r="K71" s="110">
        <v>19725</v>
      </c>
      <c r="L71" s="107">
        <f t="shared" si="22"/>
        <v>0</v>
      </c>
      <c r="M71" s="112">
        <v>0</v>
      </c>
      <c r="N71" s="28">
        <f t="shared" si="23"/>
        <v>0</v>
      </c>
      <c r="O71" s="84">
        <f t="shared" si="27"/>
        <v>0</v>
      </c>
      <c r="P71" s="79">
        <f t="shared" si="28"/>
        <v>0</v>
      </c>
      <c r="Q71" s="34">
        <f t="shared" si="29"/>
        <v>0</v>
      </c>
      <c r="R71" s="1">
        <v>0</v>
      </c>
    </row>
    <row r="72" spans="1:18" ht="24" customHeight="1">
      <c r="A72" s="81">
        <v>24</v>
      </c>
      <c r="B72" s="31" t="s">
        <v>70</v>
      </c>
      <c r="C72" s="104">
        <v>302130.90000000002</v>
      </c>
      <c r="D72" s="104">
        <v>302130.90000000002</v>
      </c>
      <c r="E72" s="104">
        <f t="shared" si="30"/>
        <v>0</v>
      </c>
      <c r="F72" s="110">
        <v>4897</v>
      </c>
      <c r="G72" s="111">
        <v>0</v>
      </c>
      <c r="H72" s="10">
        <f t="shared" si="31"/>
        <v>0</v>
      </c>
      <c r="I72" s="104">
        <v>302130.90000000002</v>
      </c>
      <c r="J72" s="106">
        <f t="shared" si="21"/>
        <v>0</v>
      </c>
      <c r="K72" s="110">
        <v>4897</v>
      </c>
      <c r="L72" s="107">
        <f t="shared" si="22"/>
        <v>0</v>
      </c>
      <c r="M72" s="111">
        <v>0</v>
      </c>
      <c r="N72" s="28">
        <f t="shared" si="23"/>
        <v>0</v>
      </c>
      <c r="O72" s="84">
        <f t="shared" si="27"/>
        <v>0</v>
      </c>
      <c r="P72" s="79">
        <f t="shared" si="28"/>
        <v>0</v>
      </c>
      <c r="Q72" s="34">
        <f t="shared" si="29"/>
        <v>0</v>
      </c>
      <c r="R72" s="1">
        <v>0</v>
      </c>
    </row>
    <row r="73" spans="1:18" ht="24" customHeight="1">
      <c r="A73" s="81">
        <v>25</v>
      </c>
      <c r="B73" s="31" t="s">
        <v>71</v>
      </c>
      <c r="C73" s="35">
        <v>312119.8</v>
      </c>
      <c r="D73" s="35">
        <v>312119.8</v>
      </c>
      <c r="E73" s="104">
        <f t="shared" si="30"/>
        <v>0</v>
      </c>
      <c r="F73" s="110">
        <v>22791</v>
      </c>
      <c r="G73" s="111">
        <v>0</v>
      </c>
      <c r="H73" s="10">
        <f t="shared" si="31"/>
        <v>0</v>
      </c>
      <c r="I73" s="35">
        <v>312119.8</v>
      </c>
      <c r="J73" s="106">
        <f t="shared" si="21"/>
        <v>0</v>
      </c>
      <c r="K73" s="110">
        <v>22791</v>
      </c>
      <c r="L73" s="107">
        <f t="shared" si="22"/>
        <v>0</v>
      </c>
      <c r="M73" s="111">
        <v>0</v>
      </c>
      <c r="N73" s="28">
        <f>IFERROR(J73/M73,0)</f>
        <v>0</v>
      </c>
      <c r="O73" s="84">
        <f t="shared" si="27"/>
        <v>0</v>
      </c>
      <c r="P73" s="79">
        <f>G73+M73</f>
        <v>0</v>
      </c>
      <c r="Q73" s="34">
        <f t="shared" si="29"/>
        <v>0</v>
      </c>
      <c r="R73" s="1">
        <v>0</v>
      </c>
    </row>
    <row r="74" spans="1:18" ht="24" customHeight="1">
      <c r="A74" s="81">
        <v>26</v>
      </c>
      <c r="B74" s="31" t="s">
        <v>72</v>
      </c>
      <c r="C74" s="35">
        <v>282871.3</v>
      </c>
      <c r="D74" s="35">
        <v>282871.3</v>
      </c>
      <c r="E74" s="104">
        <f t="shared" si="30"/>
        <v>0</v>
      </c>
      <c r="F74" s="110">
        <v>20422</v>
      </c>
      <c r="G74" s="111">
        <v>0</v>
      </c>
      <c r="H74" s="10">
        <f t="shared" si="31"/>
        <v>0</v>
      </c>
      <c r="I74" s="35">
        <v>282871.3</v>
      </c>
      <c r="J74" s="106">
        <f t="shared" si="21"/>
        <v>0</v>
      </c>
      <c r="K74" s="110">
        <v>20422</v>
      </c>
      <c r="L74" s="107">
        <f t="shared" si="22"/>
        <v>0</v>
      </c>
      <c r="M74" s="112">
        <v>0</v>
      </c>
      <c r="N74" s="28">
        <f t="shared" si="23"/>
        <v>0</v>
      </c>
      <c r="O74" s="84">
        <f t="shared" si="27"/>
        <v>0</v>
      </c>
      <c r="P74" s="79">
        <f t="shared" si="28"/>
        <v>0</v>
      </c>
      <c r="Q74" s="34">
        <f t="shared" si="29"/>
        <v>0</v>
      </c>
      <c r="R74" s="1">
        <v>0</v>
      </c>
    </row>
    <row r="75" spans="1:18" ht="24" customHeight="1">
      <c r="A75" s="81">
        <v>27</v>
      </c>
      <c r="B75" s="31" t="s">
        <v>73</v>
      </c>
      <c r="C75" s="104">
        <v>310561</v>
      </c>
      <c r="D75" s="104">
        <v>310561</v>
      </c>
      <c r="E75" s="104">
        <f t="shared" si="30"/>
        <v>0</v>
      </c>
      <c r="F75" s="110">
        <v>22515</v>
      </c>
      <c r="G75" s="111">
        <v>0</v>
      </c>
      <c r="H75" s="10">
        <f t="shared" si="31"/>
        <v>0</v>
      </c>
      <c r="I75" s="104">
        <v>310561</v>
      </c>
      <c r="J75" s="106">
        <f t="shared" si="21"/>
        <v>0</v>
      </c>
      <c r="K75" s="110">
        <v>22515</v>
      </c>
      <c r="L75" s="107">
        <f t="shared" si="22"/>
        <v>0</v>
      </c>
      <c r="M75" s="112">
        <v>0</v>
      </c>
      <c r="N75" s="28">
        <f t="shared" si="23"/>
        <v>0</v>
      </c>
      <c r="O75" s="84">
        <f t="shared" si="27"/>
        <v>0</v>
      </c>
      <c r="P75" s="79">
        <f t="shared" si="28"/>
        <v>0</v>
      </c>
      <c r="Q75" s="34">
        <f t="shared" si="29"/>
        <v>0</v>
      </c>
      <c r="R75" s="1">
        <v>0</v>
      </c>
    </row>
    <row r="76" spans="1:18" ht="24" customHeight="1">
      <c r="A76" s="81">
        <v>28</v>
      </c>
      <c r="B76" s="31" t="s">
        <v>74</v>
      </c>
      <c r="C76" s="35">
        <v>280947.59999999998</v>
      </c>
      <c r="D76" s="35">
        <v>280947.59999999998</v>
      </c>
      <c r="E76" s="104">
        <f t="shared" si="30"/>
        <v>0</v>
      </c>
      <c r="F76" s="110">
        <v>4047</v>
      </c>
      <c r="G76" s="111">
        <v>0</v>
      </c>
      <c r="H76" s="10">
        <f t="shared" si="31"/>
        <v>0</v>
      </c>
      <c r="I76" s="35">
        <v>280947.59999999998</v>
      </c>
      <c r="J76" s="106">
        <f t="shared" si="21"/>
        <v>0</v>
      </c>
      <c r="K76" s="110">
        <v>4047</v>
      </c>
      <c r="L76" s="107">
        <f>K76-F76</f>
        <v>0</v>
      </c>
      <c r="M76" s="111">
        <v>0</v>
      </c>
      <c r="N76" s="28">
        <f t="shared" si="23"/>
        <v>0</v>
      </c>
      <c r="O76" s="84">
        <f t="shared" si="27"/>
        <v>0</v>
      </c>
      <c r="P76" s="79">
        <f t="shared" si="28"/>
        <v>0</v>
      </c>
      <c r="Q76" s="34">
        <f t="shared" si="29"/>
        <v>0</v>
      </c>
      <c r="R76" s="1">
        <v>0</v>
      </c>
    </row>
    <row r="77" spans="1:18" ht="24" customHeight="1">
      <c r="A77" s="81">
        <v>29</v>
      </c>
      <c r="B77" s="31" t="s">
        <v>75</v>
      </c>
      <c r="C77" s="104">
        <v>298676.7</v>
      </c>
      <c r="D77" s="104">
        <v>298676.7</v>
      </c>
      <c r="E77" s="104">
        <f t="shared" si="30"/>
        <v>0</v>
      </c>
      <c r="F77" s="110">
        <v>21467</v>
      </c>
      <c r="G77" s="111">
        <v>0</v>
      </c>
      <c r="H77" s="10">
        <f t="shared" si="31"/>
        <v>0</v>
      </c>
      <c r="I77" s="104">
        <v>298676.7</v>
      </c>
      <c r="J77" s="106">
        <f t="shared" si="21"/>
        <v>0</v>
      </c>
      <c r="K77" s="110">
        <v>21467</v>
      </c>
      <c r="L77" s="107">
        <f t="shared" si="22"/>
        <v>0</v>
      </c>
      <c r="M77" s="112">
        <v>0</v>
      </c>
      <c r="N77" s="28">
        <f t="shared" si="23"/>
        <v>0</v>
      </c>
      <c r="O77" s="84">
        <f t="shared" si="27"/>
        <v>0</v>
      </c>
      <c r="P77" s="79">
        <f t="shared" si="28"/>
        <v>0</v>
      </c>
      <c r="Q77" s="34">
        <f t="shared" si="29"/>
        <v>0</v>
      </c>
      <c r="R77" s="1">
        <v>0</v>
      </c>
    </row>
    <row r="78" spans="1:18" ht="24" customHeight="1">
      <c r="A78" s="81">
        <v>30</v>
      </c>
      <c r="B78" s="31" t="s">
        <v>76</v>
      </c>
      <c r="C78" s="104">
        <v>263594.40000000002</v>
      </c>
      <c r="D78" s="104">
        <v>263594.40000000002</v>
      </c>
      <c r="E78" s="104">
        <f t="shared" si="30"/>
        <v>0</v>
      </c>
      <c r="F78" s="110">
        <v>19413</v>
      </c>
      <c r="G78" s="111">
        <v>0</v>
      </c>
      <c r="H78" s="10">
        <f t="shared" si="31"/>
        <v>0</v>
      </c>
      <c r="I78" s="104">
        <v>263594.40000000002</v>
      </c>
      <c r="J78" s="106">
        <f t="shared" si="21"/>
        <v>0</v>
      </c>
      <c r="K78" s="110">
        <v>19413</v>
      </c>
      <c r="L78" s="107">
        <f t="shared" si="22"/>
        <v>0</v>
      </c>
      <c r="M78" s="111">
        <v>0</v>
      </c>
      <c r="N78" s="28">
        <f t="shared" si="23"/>
        <v>0</v>
      </c>
      <c r="O78" s="84">
        <f t="shared" si="27"/>
        <v>0</v>
      </c>
      <c r="P78" s="79">
        <f t="shared" si="28"/>
        <v>0</v>
      </c>
      <c r="Q78" s="34">
        <f t="shared" si="29"/>
        <v>0</v>
      </c>
      <c r="R78" s="1">
        <v>0</v>
      </c>
    </row>
    <row r="79" spans="1:18" ht="24" customHeight="1">
      <c r="A79" s="81">
        <v>31</v>
      </c>
      <c r="B79" s="31" t="s">
        <v>77</v>
      </c>
      <c r="C79" s="83">
        <v>261723.3</v>
      </c>
      <c r="D79" s="83">
        <v>261723.3</v>
      </c>
      <c r="E79" s="104">
        <f t="shared" si="30"/>
        <v>0</v>
      </c>
      <c r="F79" s="110">
        <v>19131</v>
      </c>
      <c r="G79" s="111">
        <v>0</v>
      </c>
      <c r="H79" s="10">
        <f t="shared" si="31"/>
        <v>0</v>
      </c>
      <c r="I79" s="83">
        <v>261723.3</v>
      </c>
      <c r="J79" s="106">
        <f t="shared" si="21"/>
        <v>0</v>
      </c>
      <c r="K79" s="110">
        <v>19131</v>
      </c>
      <c r="L79" s="107">
        <f>K79-F79</f>
        <v>0</v>
      </c>
      <c r="M79" s="111">
        <v>0</v>
      </c>
      <c r="N79" s="28">
        <f t="shared" si="23"/>
        <v>0</v>
      </c>
      <c r="O79" s="84">
        <f t="shared" si="27"/>
        <v>0</v>
      </c>
      <c r="P79" s="79">
        <f t="shared" si="28"/>
        <v>0</v>
      </c>
      <c r="Q79" s="34">
        <f t="shared" si="29"/>
        <v>0</v>
      </c>
      <c r="R79" s="1">
        <v>0</v>
      </c>
    </row>
    <row r="80" spans="1:18" ht="24" customHeight="1">
      <c r="A80" s="81">
        <v>32</v>
      </c>
      <c r="B80" s="31" t="s">
        <v>78</v>
      </c>
      <c r="C80" s="104">
        <v>287364.2</v>
      </c>
      <c r="D80" s="104">
        <v>287364.2</v>
      </c>
      <c r="E80" s="104">
        <f t="shared" si="30"/>
        <v>0</v>
      </c>
      <c r="F80" s="110">
        <v>20701</v>
      </c>
      <c r="G80" s="111">
        <v>0</v>
      </c>
      <c r="H80" s="10">
        <f t="shared" si="31"/>
        <v>0</v>
      </c>
      <c r="I80" s="104">
        <v>287364.2</v>
      </c>
      <c r="J80" s="106">
        <f t="shared" si="21"/>
        <v>0</v>
      </c>
      <c r="K80" s="110">
        <v>20701</v>
      </c>
      <c r="L80" s="107">
        <f t="shared" si="22"/>
        <v>0</v>
      </c>
      <c r="M80" s="111">
        <v>0</v>
      </c>
      <c r="N80" s="28">
        <f t="shared" si="23"/>
        <v>0</v>
      </c>
      <c r="O80" s="84">
        <f t="shared" si="27"/>
        <v>0</v>
      </c>
      <c r="P80" s="79">
        <f t="shared" si="28"/>
        <v>0</v>
      </c>
      <c r="Q80" s="34">
        <f t="shared" si="29"/>
        <v>0</v>
      </c>
      <c r="R80" s="1">
        <v>0</v>
      </c>
    </row>
    <row r="81" spans="1:19" ht="24" customHeight="1">
      <c r="A81" s="81">
        <v>33</v>
      </c>
      <c r="B81" s="31" t="s">
        <v>79</v>
      </c>
      <c r="C81" s="104">
        <v>302181.2</v>
      </c>
      <c r="D81" s="104">
        <v>302181.2</v>
      </c>
      <c r="E81" s="104">
        <f t="shared" si="30"/>
        <v>0</v>
      </c>
      <c r="F81" s="110">
        <v>21434</v>
      </c>
      <c r="G81" s="111">
        <v>0</v>
      </c>
      <c r="H81" s="10">
        <f t="shared" si="31"/>
        <v>0</v>
      </c>
      <c r="I81" s="104">
        <v>302181.2</v>
      </c>
      <c r="J81" s="106">
        <f t="shared" si="21"/>
        <v>0</v>
      </c>
      <c r="K81" s="110">
        <v>21434</v>
      </c>
      <c r="L81" s="107">
        <f t="shared" si="22"/>
        <v>0</v>
      </c>
      <c r="M81" s="111">
        <v>0</v>
      </c>
      <c r="N81" s="28">
        <f t="shared" si="23"/>
        <v>0</v>
      </c>
      <c r="O81" s="84">
        <f t="shared" si="27"/>
        <v>0</v>
      </c>
      <c r="P81" s="79">
        <f t="shared" si="28"/>
        <v>0</v>
      </c>
      <c r="Q81" s="34">
        <f t="shared" si="29"/>
        <v>0</v>
      </c>
      <c r="R81" s="1">
        <v>0</v>
      </c>
    </row>
    <row r="82" spans="1:19" ht="24" customHeight="1">
      <c r="A82" s="81">
        <v>34</v>
      </c>
      <c r="B82" s="31" t="s">
        <v>163</v>
      </c>
      <c r="C82" s="104">
        <v>243134.9</v>
      </c>
      <c r="D82" s="104">
        <v>243134.9</v>
      </c>
      <c r="E82" s="104">
        <f t="shared" si="30"/>
        <v>0</v>
      </c>
      <c r="F82" s="110">
        <v>18126</v>
      </c>
      <c r="G82" s="111">
        <v>0</v>
      </c>
      <c r="H82" s="10">
        <f t="shared" si="31"/>
        <v>0</v>
      </c>
      <c r="I82" s="104">
        <v>243134.9</v>
      </c>
      <c r="J82" s="106">
        <f t="shared" si="21"/>
        <v>0</v>
      </c>
      <c r="K82" s="110">
        <v>18126</v>
      </c>
      <c r="L82" s="107">
        <f t="shared" si="22"/>
        <v>0</v>
      </c>
      <c r="M82" s="111">
        <v>0</v>
      </c>
      <c r="N82" s="28">
        <f t="shared" si="23"/>
        <v>0</v>
      </c>
      <c r="O82" s="84">
        <f t="shared" si="27"/>
        <v>0</v>
      </c>
      <c r="P82" s="79">
        <f t="shared" si="28"/>
        <v>0</v>
      </c>
      <c r="Q82" s="34">
        <f t="shared" si="29"/>
        <v>0</v>
      </c>
      <c r="R82" s="1">
        <v>0</v>
      </c>
    </row>
    <row r="83" spans="1:19" ht="24" customHeight="1">
      <c r="A83" s="81">
        <v>35</v>
      </c>
      <c r="B83" s="31" t="s">
        <v>164</v>
      </c>
      <c r="C83" s="104">
        <v>242568.7</v>
      </c>
      <c r="D83" s="104">
        <v>242568.7</v>
      </c>
      <c r="E83" s="104">
        <f t="shared" si="30"/>
        <v>0</v>
      </c>
      <c r="F83" s="110">
        <v>18093</v>
      </c>
      <c r="G83" s="111">
        <v>0</v>
      </c>
      <c r="H83" s="10">
        <f t="shared" si="31"/>
        <v>0</v>
      </c>
      <c r="I83" s="104">
        <v>242568.7</v>
      </c>
      <c r="J83" s="106">
        <f t="shared" si="21"/>
        <v>0</v>
      </c>
      <c r="K83" s="110">
        <v>18093</v>
      </c>
      <c r="L83" s="107">
        <f t="shared" si="22"/>
        <v>0</v>
      </c>
      <c r="M83" s="111">
        <v>0</v>
      </c>
      <c r="N83" s="28">
        <f t="shared" si="23"/>
        <v>0</v>
      </c>
      <c r="O83" s="84">
        <f t="shared" si="27"/>
        <v>0</v>
      </c>
      <c r="P83" s="79">
        <f t="shared" si="28"/>
        <v>0</v>
      </c>
      <c r="Q83" s="34">
        <f t="shared" si="29"/>
        <v>0</v>
      </c>
      <c r="R83" s="1">
        <v>0</v>
      </c>
    </row>
    <row r="84" spans="1:19" ht="24" customHeight="1">
      <c r="A84" s="81">
        <v>36</v>
      </c>
      <c r="B84" s="31" t="s">
        <v>165</v>
      </c>
      <c r="C84" s="104">
        <v>249389.7</v>
      </c>
      <c r="D84" s="104">
        <v>249389.7</v>
      </c>
      <c r="E84" s="104">
        <f t="shared" si="30"/>
        <v>0</v>
      </c>
      <c r="F84" s="110">
        <v>17720</v>
      </c>
      <c r="G84" s="111">
        <v>0</v>
      </c>
      <c r="H84" s="10">
        <f t="shared" si="31"/>
        <v>0</v>
      </c>
      <c r="I84" s="104">
        <v>249389.7</v>
      </c>
      <c r="J84" s="106">
        <f t="shared" si="21"/>
        <v>0</v>
      </c>
      <c r="K84" s="110">
        <v>17720</v>
      </c>
      <c r="L84" s="107">
        <f t="shared" si="22"/>
        <v>0</v>
      </c>
      <c r="M84" s="112">
        <v>0</v>
      </c>
      <c r="N84" s="28">
        <f t="shared" si="23"/>
        <v>0</v>
      </c>
      <c r="O84" s="84">
        <f t="shared" si="27"/>
        <v>0</v>
      </c>
      <c r="P84" s="79">
        <f t="shared" si="28"/>
        <v>0</v>
      </c>
      <c r="Q84" s="34">
        <f t="shared" si="29"/>
        <v>0</v>
      </c>
      <c r="R84" s="1">
        <v>0</v>
      </c>
    </row>
    <row r="85" spans="1:19" ht="24" customHeight="1">
      <c r="A85" s="81">
        <v>37</v>
      </c>
      <c r="B85" s="31" t="s">
        <v>83</v>
      </c>
      <c r="C85" s="104">
        <v>258181.9</v>
      </c>
      <c r="D85" s="104">
        <v>258181.9</v>
      </c>
      <c r="E85" s="104">
        <f t="shared" si="30"/>
        <v>0</v>
      </c>
      <c r="F85" s="110">
        <v>18285</v>
      </c>
      <c r="G85" s="111">
        <v>0</v>
      </c>
      <c r="H85" s="10">
        <f t="shared" si="31"/>
        <v>0</v>
      </c>
      <c r="I85" s="104">
        <v>258181.9</v>
      </c>
      <c r="J85" s="106">
        <f t="shared" si="21"/>
        <v>0</v>
      </c>
      <c r="K85" s="110">
        <v>18285</v>
      </c>
      <c r="L85" s="107">
        <f t="shared" si="22"/>
        <v>0</v>
      </c>
      <c r="M85" s="112">
        <v>0</v>
      </c>
      <c r="N85" s="28">
        <f t="shared" si="23"/>
        <v>0</v>
      </c>
      <c r="O85" s="84">
        <f t="shared" si="27"/>
        <v>0</v>
      </c>
      <c r="P85" s="79">
        <f t="shared" si="28"/>
        <v>0</v>
      </c>
      <c r="Q85" s="34">
        <f t="shared" si="29"/>
        <v>0</v>
      </c>
      <c r="R85" s="1">
        <v>0</v>
      </c>
    </row>
    <row r="86" spans="1:19" ht="24" customHeight="1">
      <c r="A86" s="81">
        <v>38</v>
      </c>
      <c r="B86" s="31" t="s">
        <v>84</v>
      </c>
      <c r="C86" s="104">
        <v>269216.59999999998</v>
      </c>
      <c r="D86" s="104">
        <v>269216.59999999998</v>
      </c>
      <c r="E86" s="104">
        <f t="shared" si="30"/>
        <v>0</v>
      </c>
      <c r="F86" s="110">
        <v>17611</v>
      </c>
      <c r="G86" s="111">
        <v>0</v>
      </c>
      <c r="H86" s="10">
        <f t="shared" si="31"/>
        <v>0</v>
      </c>
      <c r="I86" s="104">
        <v>269216.59999999998</v>
      </c>
      <c r="J86" s="106">
        <f t="shared" si="21"/>
        <v>0</v>
      </c>
      <c r="K86" s="110">
        <v>17611</v>
      </c>
      <c r="L86" s="107">
        <f t="shared" si="22"/>
        <v>0</v>
      </c>
      <c r="M86" s="112">
        <v>0</v>
      </c>
      <c r="N86" s="28">
        <f t="shared" si="23"/>
        <v>0</v>
      </c>
      <c r="O86" s="84">
        <f t="shared" si="27"/>
        <v>0</v>
      </c>
      <c r="P86" s="79">
        <f t="shared" si="28"/>
        <v>0</v>
      </c>
      <c r="Q86" s="34">
        <f t="shared" si="29"/>
        <v>0</v>
      </c>
      <c r="R86" s="1">
        <v>0</v>
      </c>
    </row>
    <row r="87" spans="1:19" ht="24" customHeight="1">
      <c r="A87" s="81">
        <v>39</v>
      </c>
      <c r="B87" s="31" t="s">
        <v>85</v>
      </c>
      <c r="C87" s="35">
        <v>277369.59999999998</v>
      </c>
      <c r="D87" s="35">
        <v>277369.59999999998</v>
      </c>
      <c r="E87" s="104">
        <f t="shared" si="30"/>
        <v>0</v>
      </c>
      <c r="F87" s="110">
        <v>19532</v>
      </c>
      <c r="G87" s="111">
        <v>0</v>
      </c>
      <c r="H87" s="10">
        <f t="shared" si="31"/>
        <v>0</v>
      </c>
      <c r="I87" s="35">
        <v>277369.59999999998</v>
      </c>
      <c r="J87" s="106">
        <f t="shared" si="21"/>
        <v>0</v>
      </c>
      <c r="K87" s="110">
        <v>19532</v>
      </c>
      <c r="L87" s="107">
        <f t="shared" si="22"/>
        <v>0</v>
      </c>
      <c r="M87" s="112">
        <v>0</v>
      </c>
      <c r="N87" s="28">
        <f t="shared" si="23"/>
        <v>0</v>
      </c>
      <c r="O87" s="84">
        <f t="shared" si="27"/>
        <v>0</v>
      </c>
      <c r="P87" s="79">
        <f t="shared" si="28"/>
        <v>0</v>
      </c>
      <c r="Q87" s="34">
        <f t="shared" si="29"/>
        <v>0</v>
      </c>
      <c r="R87" s="1">
        <v>0</v>
      </c>
    </row>
    <row r="88" spans="1:19" ht="24" customHeight="1">
      <c r="A88" s="81">
        <v>40</v>
      </c>
      <c r="B88" s="31" t="s">
        <v>86</v>
      </c>
      <c r="C88" s="104">
        <v>248328.8</v>
      </c>
      <c r="D88" s="104">
        <v>248328.8</v>
      </c>
      <c r="E88" s="104">
        <f t="shared" si="30"/>
        <v>0</v>
      </c>
      <c r="F88" s="110">
        <v>17614</v>
      </c>
      <c r="G88" s="111">
        <v>0</v>
      </c>
      <c r="H88" s="10">
        <f t="shared" si="31"/>
        <v>0</v>
      </c>
      <c r="I88" s="104">
        <v>248328.8</v>
      </c>
      <c r="J88" s="106">
        <f t="shared" si="21"/>
        <v>0</v>
      </c>
      <c r="K88" s="110">
        <v>17614</v>
      </c>
      <c r="L88" s="107">
        <f t="shared" si="22"/>
        <v>0</v>
      </c>
      <c r="M88" s="112">
        <v>0</v>
      </c>
      <c r="N88" s="28">
        <f t="shared" si="23"/>
        <v>0</v>
      </c>
      <c r="O88" s="84">
        <f t="shared" si="27"/>
        <v>0</v>
      </c>
      <c r="P88" s="79">
        <f t="shared" si="28"/>
        <v>0</v>
      </c>
      <c r="Q88" s="34">
        <f t="shared" si="29"/>
        <v>0</v>
      </c>
      <c r="R88" s="1">
        <v>0</v>
      </c>
    </row>
    <row r="89" spans="1:19" ht="24" customHeight="1">
      <c r="A89" s="81">
        <v>41</v>
      </c>
      <c r="B89" s="31" t="s">
        <v>87</v>
      </c>
      <c r="C89" s="104">
        <v>277313.8</v>
      </c>
      <c r="D89" s="104">
        <v>277313.8</v>
      </c>
      <c r="E89" s="104">
        <f t="shared" si="30"/>
        <v>0</v>
      </c>
      <c r="F89" s="110">
        <v>19116</v>
      </c>
      <c r="G89" s="111">
        <v>0</v>
      </c>
      <c r="H89" s="10">
        <f t="shared" si="31"/>
        <v>0</v>
      </c>
      <c r="I89" s="104">
        <v>277313.8</v>
      </c>
      <c r="J89" s="106">
        <f t="shared" si="21"/>
        <v>0</v>
      </c>
      <c r="K89" s="110">
        <v>19116</v>
      </c>
      <c r="L89" s="107">
        <f t="shared" si="22"/>
        <v>0</v>
      </c>
      <c r="M89" s="111">
        <v>0</v>
      </c>
      <c r="N89" s="28">
        <f t="shared" si="23"/>
        <v>0</v>
      </c>
      <c r="O89" s="84">
        <f t="shared" si="27"/>
        <v>0</v>
      </c>
      <c r="P89" s="79">
        <f t="shared" si="28"/>
        <v>0</v>
      </c>
      <c r="Q89" s="34">
        <f t="shared" si="29"/>
        <v>0</v>
      </c>
      <c r="R89" s="1">
        <v>0</v>
      </c>
    </row>
    <row r="90" spans="1:19" ht="24" customHeight="1">
      <c r="A90" s="81">
        <v>42</v>
      </c>
      <c r="B90" s="31" t="s">
        <v>88</v>
      </c>
      <c r="C90" s="104">
        <v>272980.09999999998</v>
      </c>
      <c r="D90" s="104">
        <v>272980.09999999998</v>
      </c>
      <c r="E90" s="104">
        <f t="shared" si="30"/>
        <v>0</v>
      </c>
      <c r="F90" s="110">
        <v>18477</v>
      </c>
      <c r="G90" s="111">
        <v>0</v>
      </c>
      <c r="H90" s="10">
        <f t="shared" si="31"/>
        <v>0</v>
      </c>
      <c r="I90" s="104">
        <v>272980.09999999998</v>
      </c>
      <c r="J90" s="106">
        <f t="shared" si="21"/>
        <v>0</v>
      </c>
      <c r="K90" s="110">
        <v>18477</v>
      </c>
      <c r="L90" s="107">
        <f t="shared" si="22"/>
        <v>0</v>
      </c>
      <c r="M90" s="111">
        <v>0</v>
      </c>
      <c r="N90" s="28">
        <f t="shared" si="23"/>
        <v>0</v>
      </c>
      <c r="O90" s="84">
        <f t="shared" si="27"/>
        <v>0</v>
      </c>
      <c r="P90" s="79">
        <f t="shared" si="28"/>
        <v>0</v>
      </c>
      <c r="Q90" s="34">
        <f t="shared" si="29"/>
        <v>0</v>
      </c>
      <c r="R90" s="1">
        <v>0</v>
      </c>
    </row>
    <row r="91" spans="1:19" ht="24" customHeight="1">
      <c r="A91" s="81">
        <v>43</v>
      </c>
      <c r="B91" s="31" t="s">
        <v>89</v>
      </c>
      <c r="C91" s="35">
        <v>265455.5</v>
      </c>
      <c r="D91" s="35">
        <v>265455.5</v>
      </c>
      <c r="E91" s="104">
        <f t="shared" si="30"/>
        <v>0</v>
      </c>
      <c r="F91" s="110">
        <v>18146</v>
      </c>
      <c r="G91" s="111">
        <v>0</v>
      </c>
      <c r="H91" s="10">
        <f t="shared" si="31"/>
        <v>0</v>
      </c>
      <c r="I91" s="35">
        <v>265455.5</v>
      </c>
      <c r="J91" s="106">
        <f t="shared" si="21"/>
        <v>0</v>
      </c>
      <c r="K91" s="110">
        <v>18146</v>
      </c>
      <c r="L91" s="107">
        <f t="shared" si="22"/>
        <v>0</v>
      </c>
      <c r="M91" s="111">
        <v>0</v>
      </c>
      <c r="N91" s="28">
        <f t="shared" si="23"/>
        <v>0</v>
      </c>
      <c r="O91" s="84">
        <f t="shared" si="27"/>
        <v>0</v>
      </c>
      <c r="P91" s="79">
        <f t="shared" si="28"/>
        <v>0</v>
      </c>
      <c r="Q91" s="34">
        <f t="shared" si="29"/>
        <v>0</v>
      </c>
      <c r="R91" s="1">
        <v>0</v>
      </c>
    </row>
    <row r="92" spans="1:19" ht="24" customHeight="1">
      <c r="A92" s="81">
        <v>44</v>
      </c>
      <c r="B92" s="31" t="s">
        <v>90</v>
      </c>
      <c r="C92" s="104">
        <v>242873.5</v>
      </c>
      <c r="D92" s="104">
        <v>242873.5</v>
      </c>
      <c r="E92" s="104">
        <f t="shared" si="30"/>
        <v>0</v>
      </c>
      <c r="F92" s="110">
        <v>17467</v>
      </c>
      <c r="G92" s="111">
        <v>0</v>
      </c>
      <c r="H92" s="10">
        <f>IFERROR(E92/G92,0)</f>
        <v>0</v>
      </c>
      <c r="I92" s="104">
        <v>242873.5</v>
      </c>
      <c r="J92" s="106">
        <f t="shared" si="21"/>
        <v>0</v>
      </c>
      <c r="K92" s="110">
        <v>17467</v>
      </c>
      <c r="L92" s="107">
        <f t="shared" si="22"/>
        <v>0</v>
      </c>
      <c r="M92" s="111">
        <v>0</v>
      </c>
      <c r="N92" s="28">
        <f t="shared" si="23"/>
        <v>0</v>
      </c>
      <c r="O92" s="84">
        <f t="shared" si="27"/>
        <v>0</v>
      </c>
      <c r="P92" s="79">
        <f t="shared" si="28"/>
        <v>0</v>
      </c>
      <c r="Q92" s="34">
        <f t="shared" si="29"/>
        <v>0</v>
      </c>
      <c r="R92" s="1">
        <v>0</v>
      </c>
    </row>
    <row r="93" spans="1:19" ht="24" customHeight="1">
      <c r="A93" s="81">
        <v>45</v>
      </c>
      <c r="B93" s="31" t="s">
        <v>91</v>
      </c>
      <c r="C93" s="104">
        <v>254153.9</v>
      </c>
      <c r="D93" s="104">
        <v>254153.9</v>
      </c>
      <c r="E93" s="104">
        <f t="shared" si="30"/>
        <v>0</v>
      </c>
      <c r="F93" s="110">
        <v>17731</v>
      </c>
      <c r="G93" s="111">
        <v>0</v>
      </c>
      <c r="H93" s="10">
        <f t="shared" si="31"/>
        <v>0</v>
      </c>
      <c r="I93" s="104">
        <v>254153.9</v>
      </c>
      <c r="J93" s="106">
        <f t="shared" si="21"/>
        <v>0</v>
      </c>
      <c r="K93" s="110">
        <v>17731</v>
      </c>
      <c r="L93" s="107">
        <f t="shared" si="22"/>
        <v>0</v>
      </c>
      <c r="M93" s="111">
        <v>0</v>
      </c>
      <c r="N93" s="28">
        <f t="shared" si="23"/>
        <v>0</v>
      </c>
      <c r="O93" s="84">
        <f t="shared" si="27"/>
        <v>0</v>
      </c>
      <c r="P93" s="79">
        <f t="shared" si="28"/>
        <v>0</v>
      </c>
      <c r="Q93" s="34">
        <f t="shared" si="29"/>
        <v>0</v>
      </c>
      <c r="R93" s="1">
        <v>0</v>
      </c>
    </row>
    <row r="94" spans="1:19" ht="24" customHeight="1">
      <c r="A94" s="81">
        <v>46</v>
      </c>
      <c r="B94" s="31" t="s">
        <v>92</v>
      </c>
      <c r="C94" s="35">
        <v>236734.6</v>
      </c>
      <c r="D94" s="35">
        <v>236734.6</v>
      </c>
      <c r="E94" s="104">
        <f>D94-C94</f>
        <v>0</v>
      </c>
      <c r="F94" s="110">
        <v>17104</v>
      </c>
      <c r="G94" s="111">
        <v>0</v>
      </c>
      <c r="H94" s="10">
        <f t="shared" si="31"/>
        <v>0</v>
      </c>
      <c r="I94" s="35">
        <v>236734.6</v>
      </c>
      <c r="J94" s="106">
        <f>I94-D94</f>
        <v>0</v>
      </c>
      <c r="K94" s="110">
        <v>17104</v>
      </c>
      <c r="L94" s="107">
        <f t="shared" si="22"/>
        <v>0</v>
      </c>
      <c r="M94" s="111">
        <v>0</v>
      </c>
      <c r="N94" s="28">
        <f t="shared" si="23"/>
        <v>0</v>
      </c>
      <c r="O94" s="84">
        <f t="shared" si="27"/>
        <v>0</v>
      </c>
      <c r="P94" s="79">
        <f>G94+M94</f>
        <v>0</v>
      </c>
      <c r="Q94" s="34">
        <f t="shared" si="29"/>
        <v>0</v>
      </c>
      <c r="R94" s="1">
        <v>0</v>
      </c>
    </row>
    <row r="95" spans="1:19" ht="24" customHeight="1">
      <c r="A95" s="81">
        <v>47</v>
      </c>
      <c r="B95" s="31" t="s">
        <v>93</v>
      </c>
      <c r="C95" s="104">
        <v>245069.3</v>
      </c>
      <c r="D95" s="104">
        <v>245069.3</v>
      </c>
      <c r="E95" s="104">
        <f>D95-C95</f>
        <v>0</v>
      </c>
      <c r="F95" s="110">
        <v>16590</v>
      </c>
      <c r="G95" s="111">
        <v>0</v>
      </c>
      <c r="H95" s="10">
        <f t="shared" si="31"/>
        <v>0</v>
      </c>
      <c r="I95" s="104">
        <v>245069.3</v>
      </c>
      <c r="J95" s="106">
        <f>I95-D95</f>
        <v>0</v>
      </c>
      <c r="K95" s="110">
        <v>16590</v>
      </c>
      <c r="L95" s="107">
        <f t="shared" si="22"/>
        <v>0</v>
      </c>
      <c r="M95" s="111">
        <v>0</v>
      </c>
      <c r="N95" s="28">
        <f t="shared" si="23"/>
        <v>0</v>
      </c>
      <c r="O95" s="84">
        <f t="shared" si="27"/>
        <v>0</v>
      </c>
      <c r="P95" s="79">
        <f t="shared" si="28"/>
        <v>0</v>
      </c>
      <c r="Q95" s="34">
        <f t="shared" si="29"/>
        <v>0</v>
      </c>
      <c r="R95" s="1">
        <v>0</v>
      </c>
      <c r="S95" t="s">
        <v>94</v>
      </c>
    </row>
    <row r="96" spans="1:19" ht="24" customHeight="1">
      <c r="A96" s="81">
        <v>48</v>
      </c>
      <c r="B96" s="31" t="s">
        <v>95</v>
      </c>
      <c r="C96" s="104">
        <v>242247.6</v>
      </c>
      <c r="D96" s="104">
        <v>242247.6</v>
      </c>
      <c r="E96" s="104">
        <f t="shared" si="30"/>
        <v>0</v>
      </c>
      <c r="F96" s="110">
        <v>18040</v>
      </c>
      <c r="G96" s="111">
        <v>0</v>
      </c>
      <c r="H96" s="10">
        <f t="shared" si="31"/>
        <v>0</v>
      </c>
      <c r="I96" s="104">
        <v>242247.6</v>
      </c>
      <c r="J96" s="106">
        <f t="shared" si="21"/>
        <v>0</v>
      </c>
      <c r="K96" s="110">
        <v>18040</v>
      </c>
      <c r="L96" s="107">
        <f t="shared" si="22"/>
        <v>0</v>
      </c>
      <c r="M96" s="111">
        <v>0</v>
      </c>
      <c r="N96" s="28">
        <f t="shared" si="23"/>
        <v>0</v>
      </c>
      <c r="O96" s="84">
        <f t="shared" si="27"/>
        <v>0</v>
      </c>
      <c r="P96" s="79">
        <f t="shared" si="28"/>
        <v>0</v>
      </c>
      <c r="Q96" s="34">
        <f t="shared" si="29"/>
        <v>0</v>
      </c>
      <c r="R96" s="1">
        <v>0</v>
      </c>
    </row>
    <row r="97" spans="1:18" ht="24" customHeight="1">
      <c r="A97" s="81">
        <v>49</v>
      </c>
      <c r="B97" s="31" t="s">
        <v>96</v>
      </c>
      <c r="C97" s="35">
        <v>246890</v>
      </c>
      <c r="D97" s="35">
        <v>246890</v>
      </c>
      <c r="E97" s="104">
        <f t="shared" si="30"/>
        <v>0</v>
      </c>
      <c r="F97" s="110">
        <v>17724</v>
      </c>
      <c r="G97" s="111">
        <v>0</v>
      </c>
      <c r="H97" s="10">
        <f>IFERROR(E97/G97,0)</f>
        <v>0</v>
      </c>
      <c r="I97" s="35">
        <v>246890</v>
      </c>
      <c r="J97" s="106">
        <f t="shared" si="21"/>
        <v>0</v>
      </c>
      <c r="K97" s="110">
        <v>17724</v>
      </c>
      <c r="L97" s="107">
        <f t="shared" si="22"/>
        <v>0</v>
      </c>
      <c r="M97" s="111">
        <v>0</v>
      </c>
      <c r="N97" s="28">
        <f t="shared" si="23"/>
        <v>0</v>
      </c>
      <c r="O97" s="84">
        <f t="shared" si="27"/>
        <v>0</v>
      </c>
      <c r="P97" s="79">
        <f t="shared" si="28"/>
        <v>0</v>
      </c>
      <c r="Q97" s="34">
        <f t="shared" si="29"/>
        <v>0</v>
      </c>
      <c r="R97" s="1">
        <v>0</v>
      </c>
    </row>
    <row r="98" spans="1:18" ht="24" customHeight="1">
      <c r="A98" s="81">
        <v>50</v>
      </c>
      <c r="B98" s="31" t="s">
        <v>97</v>
      </c>
      <c r="C98" s="104">
        <v>235262.5</v>
      </c>
      <c r="D98" s="104">
        <v>235262.5</v>
      </c>
      <c r="E98" s="104">
        <f t="shared" si="30"/>
        <v>0</v>
      </c>
      <c r="F98" s="110">
        <v>16240</v>
      </c>
      <c r="G98" s="111">
        <v>0</v>
      </c>
      <c r="H98" s="10">
        <f t="shared" si="31"/>
        <v>0</v>
      </c>
      <c r="I98" s="104">
        <v>235262.5</v>
      </c>
      <c r="J98" s="106">
        <f t="shared" si="21"/>
        <v>0</v>
      </c>
      <c r="K98" s="110">
        <v>16240</v>
      </c>
      <c r="L98" s="107">
        <f t="shared" si="22"/>
        <v>0</v>
      </c>
      <c r="M98" s="111">
        <v>0</v>
      </c>
      <c r="N98" s="28">
        <f t="shared" si="23"/>
        <v>0</v>
      </c>
      <c r="O98" s="84">
        <f t="shared" si="27"/>
        <v>0</v>
      </c>
      <c r="P98" s="79">
        <f t="shared" si="28"/>
        <v>0</v>
      </c>
      <c r="Q98" s="34">
        <f t="shared" si="29"/>
        <v>0</v>
      </c>
      <c r="R98" s="1">
        <v>0</v>
      </c>
    </row>
    <row r="99" spans="1:18" ht="24" customHeight="1">
      <c r="A99" s="81">
        <v>51</v>
      </c>
      <c r="B99" s="121" t="s">
        <v>166</v>
      </c>
      <c r="C99" s="104">
        <v>204372</v>
      </c>
      <c r="D99" s="104">
        <v>204372</v>
      </c>
      <c r="E99" s="118">
        <f t="shared" si="30"/>
        <v>0</v>
      </c>
      <c r="F99" s="110">
        <v>17402</v>
      </c>
      <c r="G99" s="111">
        <v>0</v>
      </c>
      <c r="H99" s="55">
        <f t="shared" si="31"/>
        <v>0</v>
      </c>
      <c r="I99" s="104">
        <v>204372</v>
      </c>
      <c r="J99" s="119">
        <f t="shared" si="21"/>
        <v>0</v>
      </c>
      <c r="K99" s="110">
        <v>17402</v>
      </c>
      <c r="L99" s="120">
        <f t="shared" si="22"/>
        <v>0</v>
      </c>
      <c r="M99" s="111">
        <v>0</v>
      </c>
      <c r="N99" s="28">
        <f t="shared" si="23"/>
        <v>0</v>
      </c>
      <c r="O99" s="58">
        <f t="shared" si="27"/>
        <v>0</v>
      </c>
      <c r="P99" s="79">
        <f t="shared" si="28"/>
        <v>0</v>
      </c>
      <c r="Q99" s="34">
        <f t="shared" si="29"/>
        <v>0</v>
      </c>
      <c r="R99" s="1">
        <v>0</v>
      </c>
    </row>
    <row r="100" spans="1:18" ht="24" customHeight="1">
      <c r="A100" s="81">
        <v>52</v>
      </c>
      <c r="B100" s="121" t="s">
        <v>167</v>
      </c>
      <c r="C100" s="104">
        <v>186406</v>
      </c>
      <c r="D100" s="104">
        <v>186406</v>
      </c>
      <c r="E100" s="118">
        <f t="shared" si="30"/>
        <v>0</v>
      </c>
      <c r="F100" s="110">
        <v>16317</v>
      </c>
      <c r="G100" s="111">
        <v>0</v>
      </c>
      <c r="H100" s="55">
        <f t="shared" si="31"/>
        <v>0</v>
      </c>
      <c r="I100" s="104">
        <v>186406</v>
      </c>
      <c r="J100" s="119">
        <f t="shared" si="21"/>
        <v>0</v>
      </c>
      <c r="K100" s="110">
        <v>16317</v>
      </c>
      <c r="L100" s="120">
        <f t="shared" si="22"/>
        <v>0</v>
      </c>
      <c r="M100" s="111">
        <v>0</v>
      </c>
      <c r="N100" s="28">
        <f t="shared" si="23"/>
        <v>0</v>
      </c>
      <c r="O100" s="58">
        <f t="shared" si="27"/>
        <v>0</v>
      </c>
      <c r="P100" s="79">
        <f t="shared" si="28"/>
        <v>0</v>
      </c>
      <c r="Q100" s="34">
        <f t="shared" si="29"/>
        <v>0</v>
      </c>
      <c r="R100" s="1">
        <v>0</v>
      </c>
    </row>
    <row r="101" spans="1:18" ht="24" customHeight="1">
      <c r="A101" s="81">
        <v>53</v>
      </c>
      <c r="B101" s="121" t="s">
        <v>168</v>
      </c>
      <c r="C101" s="104">
        <v>190156</v>
      </c>
      <c r="D101" s="104">
        <v>190156</v>
      </c>
      <c r="E101" s="118">
        <f t="shared" si="30"/>
        <v>0</v>
      </c>
      <c r="F101" s="110">
        <v>16975</v>
      </c>
      <c r="G101" s="111">
        <v>0</v>
      </c>
      <c r="H101" s="55">
        <f t="shared" si="31"/>
        <v>0</v>
      </c>
      <c r="I101" s="104">
        <v>190156</v>
      </c>
      <c r="J101" s="119">
        <f t="shared" si="21"/>
        <v>0</v>
      </c>
      <c r="K101" s="110">
        <v>16975</v>
      </c>
      <c r="L101" s="120">
        <f t="shared" si="22"/>
        <v>0</v>
      </c>
      <c r="M101" s="111">
        <v>0</v>
      </c>
      <c r="N101" s="28">
        <f t="shared" si="23"/>
        <v>0</v>
      </c>
      <c r="O101" s="58">
        <f t="shared" si="27"/>
        <v>0</v>
      </c>
      <c r="P101" s="79">
        <f t="shared" si="28"/>
        <v>0</v>
      </c>
      <c r="Q101" s="34">
        <f t="shared" si="29"/>
        <v>0</v>
      </c>
      <c r="R101" s="1">
        <v>0</v>
      </c>
    </row>
    <row r="102" spans="1:18" ht="24" customHeight="1">
      <c r="A102" s="81">
        <v>54</v>
      </c>
      <c r="B102" s="121" t="s">
        <v>169</v>
      </c>
      <c r="C102" s="104">
        <v>194366</v>
      </c>
      <c r="D102" s="104">
        <v>194366</v>
      </c>
      <c r="E102" s="118">
        <f t="shared" si="30"/>
        <v>0</v>
      </c>
      <c r="F102" s="110">
        <v>16465</v>
      </c>
      <c r="G102" s="111">
        <v>0</v>
      </c>
      <c r="H102" s="55">
        <f t="shared" si="31"/>
        <v>0</v>
      </c>
      <c r="I102" s="104">
        <v>194366</v>
      </c>
      <c r="J102" s="119">
        <f t="shared" si="21"/>
        <v>0</v>
      </c>
      <c r="K102" s="110">
        <v>16465</v>
      </c>
      <c r="L102" s="120">
        <f t="shared" si="22"/>
        <v>0</v>
      </c>
      <c r="M102" s="111">
        <v>0</v>
      </c>
      <c r="N102" s="28">
        <f t="shared" si="23"/>
        <v>0</v>
      </c>
      <c r="O102" s="58">
        <f t="shared" si="27"/>
        <v>0</v>
      </c>
      <c r="P102" s="79">
        <f t="shared" si="28"/>
        <v>0</v>
      </c>
      <c r="Q102" s="34">
        <f t="shared" si="29"/>
        <v>0</v>
      </c>
      <c r="R102" s="1">
        <v>0</v>
      </c>
    </row>
    <row r="103" spans="1:18" ht="24" customHeight="1">
      <c r="A103" s="81">
        <v>55</v>
      </c>
      <c r="B103" s="121" t="s">
        <v>104</v>
      </c>
      <c r="C103" s="104">
        <v>69242.2</v>
      </c>
      <c r="D103" s="104">
        <v>69242.2</v>
      </c>
      <c r="E103" s="122">
        <f t="shared" si="30"/>
        <v>0</v>
      </c>
      <c r="F103" s="110">
        <v>4667</v>
      </c>
      <c r="G103" s="111">
        <v>0</v>
      </c>
      <c r="H103" s="78">
        <f t="shared" si="31"/>
        <v>0</v>
      </c>
      <c r="I103" s="104">
        <v>69242.2</v>
      </c>
      <c r="J103" s="112">
        <f t="shared" si="21"/>
        <v>0</v>
      </c>
      <c r="K103" s="110">
        <v>4667</v>
      </c>
      <c r="L103" s="107">
        <f t="shared" si="22"/>
        <v>0</v>
      </c>
      <c r="M103" s="111">
        <v>0</v>
      </c>
      <c r="N103" s="28">
        <f t="shared" si="23"/>
        <v>0</v>
      </c>
      <c r="O103" s="58">
        <f t="shared" si="27"/>
        <v>0</v>
      </c>
      <c r="P103" s="79">
        <f t="shared" si="28"/>
        <v>0</v>
      </c>
      <c r="Q103" s="34">
        <f t="shared" si="29"/>
        <v>0</v>
      </c>
      <c r="R103" s="1">
        <v>0</v>
      </c>
    </row>
    <row r="104" spans="1:18" ht="24" customHeight="1">
      <c r="A104" s="81">
        <v>56</v>
      </c>
      <c r="B104" s="121" t="s">
        <v>105</v>
      </c>
      <c r="C104" s="35">
        <v>67824.399999999994</v>
      </c>
      <c r="D104" s="35">
        <v>67824.399999999994</v>
      </c>
      <c r="E104" s="122">
        <f t="shared" si="30"/>
        <v>0</v>
      </c>
      <c r="F104" s="110">
        <v>4667</v>
      </c>
      <c r="G104" s="111">
        <v>0</v>
      </c>
      <c r="H104" s="78">
        <f t="shared" si="31"/>
        <v>0</v>
      </c>
      <c r="I104" s="35">
        <v>67824.399999999994</v>
      </c>
      <c r="J104" s="112">
        <f t="shared" si="21"/>
        <v>0</v>
      </c>
      <c r="K104" s="110">
        <v>4667</v>
      </c>
      <c r="L104" s="107">
        <f t="shared" si="22"/>
        <v>0</v>
      </c>
      <c r="M104" s="111">
        <v>0</v>
      </c>
      <c r="N104" s="28">
        <f t="shared" si="23"/>
        <v>0</v>
      </c>
      <c r="O104" s="58">
        <f t="shared" si="27"/>
        <v>0</v>
      </c>
      <c r="P104" s="79">
        <f t="shared" si="28"/>
        <v>0</v>
      </c>
      <c r="Q104" s="34">
        <f t="shared" si="29"/>
        <v>0</v>
      </c>
      <c r="R104" s="1">
        <v>0</v>
      </c>
    </row>
    <row r="105" spans="1:18" ht="24" customHeight="1">
      <c r="A105" s="81">
        <v>57</v>
      </c>
      <c r="B105" s="121" t="s">
        <v>106</v>
      </c>
      <c r="C105" s="104">
        <v>65871.399999999994</v>
      </c>
      <c r="D105" s="104">
        <v>65871.399999999994</v>
      </c>
      <c r="E105" s="122">
        <f t="shared" si="30"/>
        <v>0</v>
      </c>
      <c r="F105" s="110">
        <v>4692</v>
      </c>
      <c r="G105" s="111">
        <v>0</v>
      </c>
      <c r="H105" s="78">
        <f t="shared" si="31"/>
        <v>0</v>
      </c>
      <c r="I105" s="104">
        <v>65871.399999999994</v>
      </c>
      <c r="J105" s="112">
        <f t="shared" si="21"/>
        <v>0</v>
      </c>
      <c r="K105" s="110">
        <v>4692</v>
      </c>
      <c r="L105" s="107">
        <f t="shared" si="22"/>
        <v>0</v>
      </c>
      <c r="M105" s="111">
        <v>0</v>
      </c>
      <c r="N105" s="28">
        <f t="shared" si="23"/>
        <v>0</v>
      </c>
      <c r="O105" s="58">
        <f t="shared" si="27"/>
        <v>0</v>
      </c>
      <c r="P105" s="79">
        <f t="shared" si="28"/>
        <v>0</v>
      </c>
      <c r="Q105" s="34">
        <f t="shared" si="29"/>
        <v>0</v>
      </c>
      <c r="R105" s="1">
        <v>0</v>
      </c>
    </row>
    <row r="106" spans="1:18" ht="24" customHeight="1">
      <c r="A106" s="81">
        <v>58</v>
      </c>
      <c r="B106" s="121" t="s">
        <v>107</v>
      </c>
      <c r="C106" s="104">
        <v>68036.5</v>
      </c>
      <c r="D106" s="104">
        <v>68036.5</v>
      </c>
      <c r="E106" s="122">
        <f t="shared" si="30"/>
        <v>0</v>
      </c>
      <c r="F106" s="110">
        <v>4690</v>
      </c>
      <c r="G106" s="111">
        <v>0</v>
      </c>
      <c r="H106" s="78">
        <f t="shared" si="31"/>
        <v>0</v>
      </c>
      <c r="I106" s="104">
        <v>68036.5</v>
      </c>
      <c r="J106" s="112">
        <f t="shared" si="21"/>
        <v>0</v>
      </c>
      <c r="K106" s="110">
        <v>4690</v>
      </c>
      <c r="L106" s="107">
        <f t="shared" si="22"/>
        <v>0</v>
      </c>
      <c r="M106" s="111">
        <v>0</v>
      </c>
      <c r="N106" s="28">
        <f t="shared" si="23"/>
        <v>0</v>
      </c>
      <c r="O106" s="58">
        <f t="shared" si="27"/>
        <v>0</v>
      </c>
      <c r="P106" s="79">
        <f t="shared" si="28"/>
        <v>0</v>
      </c>
      <c r="Q106" s="34">
        <f t="shared" si="29"/>
        <v>0</v>
      </c>
      <c r="R106" s="1">
        <v>0</v>
      </c>
    </row>
    <row r="107" spans="1:18" ht="24" customHeight="1">
      <c r="A107" s="81">
        <v>59</v>
      </c>
      <c r="B107" s="121" t="s">
        <v>108</v>
      </c>
      <c r="C107" s="104">
        <v>67064.3</v>
      </c>
      <c r="D107" s="104">
        <v>67064.3</v>
      </c>
      <c r="E107" s="122">
        <f t="shared" si="30"/>
        <v>0</v>
      </c>
      <c r="F107" s="110">
        <v>4656</v>
      </c>
      <c r="G107" s="111">
        <v>0</v>
      </c>
      <c r="H107" s="78">
        <f t="shared" si="31"/>
        <v>0</v>
      </c>
      <c r="I107" s="104">
        <v>67064.3</v>
      </c>
      <c r="J107" s="112">
        <f t="shared" si="21"/>
        <v>0</v>
      </c>
      <c r="K107" s="110">
        <v>4656</v>
      </c>
      <c r="L107" s="107">
        <f t="shared" si="22"/>
        <v>0</v>
      </c>
      <c r="M107" s="111">
        <v>0</v>
      </c>
      <c r="N107" s="28">
        <f t="shared" si="23"/>
        <v>0</v>
      </c>
      <c r="O107" s="58">
        <f t="shared" si="27"/>
        <v>0</v>
      </c>
      <c r="P107" s="79">
        <f t="shared" si="28"/>
        <v>0</v>
      </c>
      <c r="Q107" s="34">
        <f t="shared" si="29"/>
        <v>0</v>
      </c>
      <c r="R107" s="1">
        <v>0</v>
      </c>
    </row>
    <row r="108" spans="1:18" ht="24" customHeight="1">
      <c r="A108" s="81">
        <v>60</v>
      </c>
      <c r="B108" s="121" t="s">
        <v>109</v>
      </c>
      <c r="C108" s="104">
        <v>69036.100000000006</v>
      </c>
      <c r="D108" s="104">
        <v>69036.100000000006</v>
      </c>
      <c r="E108" s="118">
        <f t="shared" si="30"/>
        <v>0</v>
      </c>
      <c r="F108" s="110">
        <v>4756</v>
      </c>
      <c r="G108" s="111">
        <v>0</v>
      </c>
      <c r="H108" s="55">
        <f t="shared" si="31"/>
        <v>0</v>
      </c>
      <c r="I108" s="104">
        <v>69036.100000000006</v>
      </c>
      <c r="J108" s="119">
        <f t="shared" si="21"/>
        <v>0</v>
      </c>
      <c r="K108" s="110">
        <v>4756</v>
      </c>
      <c r="L108" s="120">
        <f t="shared" si="22"/>
        <v>0</v>
      </c>
      <c r="M108" s="111">
        <v>0</v>
      </c>
      <c r="N108" s="28">
        <f t="shared" si="23"/>
        <v>0</v>
      </c>
      <c r="O108" s="58">
        <f t="shared" si="27"/>
        <v>0</v>
      </c>
      <c r="P108" s="79">
        <f t="shared" si="28"/>
        <v>0</v>
      </c>
      <c r="Q108" s="34">
        <f t="shared" si="29"/>
        <v>0</v>
      </c>
      <c r="R108" s="1">
        <v>0</v>
      </c>
    </row>
    <row r="109" spans="1:18" ht="24" customHeight="1">
      <c r="A109" s="81">
        <v>61</v>
      </c>
      <c r="B109" s="121" t="s">
        <v>110</v>
      </c>
      <c r="C109" s="104">
        <v>33050.6</v>
      </c>
      <c r="D109" s="104">
        <v>33050.6</v>
      </c>
      <c r="E109" s="118">
        <f t="shared" si="30"/>
        <v>0</v>
      </c>
      <c r="F109" s="110">
        <v>2672</v>
      </c>
      <c r="G109" s="111">
        <v>0</v>
      </c>
      <c r="H109" s="55">
        <f t="shared" si="31"/>
        <v>0</v>
      </c>
      <c r="I109" s="104">
        <v>33050.6</v>
      </c>
      <c r="J109" s="119">
        <f t="shared" si="21"/>
        <v>0</v>
      </c>
      <c r="K109" s="110">
        <v>2672</v>
      </c>
      <c r="L109" s="120">
        <f t="shared" si="22"/>
        <v>0</v>
      </c>
      <c r="M109" s="111">
        <v>0</v>
      </c>
      <c r="N109" s="28">
        <f t="shared" si="23"/>
        <v>0</v>
      </c>
      <c r="O109" s="58">
        <f t="shared" si="27"/>
        <v>0</v>
      </c>
      <c r="P109" s="79">
        <f t="shared" si="28"/>
        <v>0</v>
      </c>
      <c r="Q109" s="34">
        <f t="shared" si="29"/>
        <v>0</v>
      </c>
      <c r="R109" s="1">
        <v>0</v>
      </c>
    </row>
    <row r="110" spans="1:18" ht="22.2" customHeight="1">
      <c r="A110" s="123" t="s">
        <v>28</v>
      </c>
      <c r="B110" s="123"/>
      <c r="C110" s="40"/>
      <c r="D110" s="123"/>
      <c r="E110" s="124">
        <f>SUM(E49:E109)</f>
        <v>0</v>
      </c>
      <c r="F110" s="125"/>
      <c r="G110" s="126">
        <f>SUM(G49:G109)</f>
        <v>0</v>
      </c>
      <c r="H110" s="39"/>
      <c r="I110" s="40"/>
      <c r="J110" s="40">
        <f>SUM(J49:J109)</f>
        <v>0</v>
      </c>
      <c r="K110" s="127"/>
      <c r="L110" s="128">
        <f>SUM(L49:L109)</f>
        <v>0</v>
      </c>
      <c r="M110" s="128">
        <f>SUM(M49:M109)</f>
        <v>0</v>
      </c>
      <c r="N110" s="28">
        <f>IFERROR(J110/M110,0)</f>
        <v>0</v>
      </c>
      <c r="O110" s="129">
        <f>SUM(O49:O109)</f>
        <v>0</v>
      </c>
      <c r="P110" s="79">
        <f>G110+M110</f>
        <v>0</v>
      </c>
      <c r="Q110" s="34">
        <f>IFERROR(O110/P110,0)</f>
        <v>0</v>
      </c>
      <c r="R110" s="130">
        <f>SUM(R49:R109)</f>
        <v>0</v>
      </c>
    </row>
    <row r="111" spans="1:18" ht="22.2" customHeight="1" thickBot="1">
      <c r="A111" s="206" t="s">
        <v>111</v>
      </c>
      <c r="B111" s="207"/>
      <c r="C111" s="207"/>
      <c r="D111" s="207"/>
      <c r="E111" s="207"/>
      <c r="F111" s="207"/>
      <c r="G111" s="207"/>
      <c r="H111" s="207"/>
      <c r="I111" s="207"/>
      <c r="J111" s="207"/>
      <c r="K111" s="207"/>
      <c r="L111" s="208"/>
      <c r="M111" s="131"/>
      <c r="N111" s="132"/>
      <c r="O111" s="133"/>
    </row>
    <row r="112" spans="1:18" ht="22.2" customHeight="1">
      <c r="A112" s="209" t="s">
        <v>3</v>
      </c>
      <c r="B112" s="211" t="s">
        <v>4</v>
      </c>
      <c r="C112" s="213" t="s">
        <v>5</v>
      </c>
      <c r="D112" s="214"/>
      <c r="E112" s="214"/>
      <c r="F112" s="214"/>
      <c r="G112" s="215"/>
      <c r="H112" s="216" t="s">
        <v>6</v>
      </c>
      <c r="I112" s="217"/>
      <c r="J112" s="217"/>
      <c r="K112" s="218"/>
      <c r="L112" s="48"/>
      <c r="M112" s="219" t="s">
        <v>7</v>
      </c>
      <c r="N112" s="194" t="s">
        <v>8</v>
      </c>
      <c r="O112" s="37"/>
    </row>
    <row r="113" spans="1:17" ht="27.6" customHeight="1" thickBot="1">
      <c r="A113" s="210"/>
      <c r="B113" s="212"/>
      <c r="C113" s="49" t="s">
        <v>11</v>
      </c>
      <c r="D113" s="49" t="s">
        <v>12</v>
      </c>
      <c r="E113" s="49" t="s">
        <v>13</v>
      </c>
      <c r="F113" s="6" t="s">
        <v>14</v>
      </c>
      <c r="G113" s="6" t="s">
        <v>8</v>
      </c>
      <c r="H113" s="49" t="s">
        <v>12</v>
      </c>
      <c r="I113" s="49" t="s">
        <v>13</v>
      </c>
      <c r="J113" s="49" t="s">
        <v>14</v>
      </c>
      <c r="K113" s="7" t="s">
        <v>8</v>
      </c>
      <c r="L113" s="50" t="s">
        <v>15</v>
      </c>
      <c r="M113" s="220"/>
      <c r="N113" s="195"/>
      <c r="O113" s="37"/>
    </row>
    <row r="114" spans="1:17" ht="22.2" customHeight="1">
      <c r="A114" s="76">
        <v>1</v>
      </c>
      <c r="B114" s="31" t="s">
        <v>112</v>
      </c>
      <c r="C114" s="35">
        <v>121512</v>
      </c>
      <c r="D114" s="35">
        <v>121512</v>
      </c>
      <c r="E114" s="17">
        <f>D114-C114</f>
        <v>0</v>
      </c>
      <c r="F114" s="33">
        <v>0</v>
      </c>
      <c r="G114" s="10">
        <f>IFERROR(F114/E114,0)</f>
        <v>0</v>
      </c>
      <c r="H114" s="35">
        <v>121512</v>
      </c>
      <c r="I114" s="19">
        <f>H114-D114</f>
        <v>0</v>
      </c>
      <c r="J114" s="33">
        <v>0</v>
      </c>
      <c r="K114" s="28">
        <f t="shared" ref="K114:K130" si="32">IFERROR(J114/I114,0)</f>
        <v>0</v>
      </c>
      <c r="L114" s="18">
        <f t="shared" ref="L114:M129" si="33">E114+I114</f>
        <v>0</v>
      </c>
      <c r="M114" s="22">
        <f>F114+J114</f>
        <v>0</v>
      </c>
      <c r="N114" s="71">
        <f>IFERROR(L114/M114,0)</f>
        <v>0</v>
      </c>
      <c r="O114" s="37"/>
    </row>
    <row r="115" spans="1:17" ht="22.2" customHeight="1">
      <c r="A115" s="76">
        <v>2</v>
      </c>
      <c r="B115" s="31" t="s">
        <v>113</v>
      </c>
      <c r="C115" s="35">
        <v>4248.17</v>
      </c>
      <c r="D115" s="35">
        <v>4248.17</v>
      </c>
      <c r="E115" s="17">
        <f t="shared" ref="E115:E130" si="34">D115-C115</f>
        <v>0</v>
      </c>
      <c r="F115" s="33">
        <v>0</v>
      </c>
      <c r="G115" s="10">
        <f t="shared" ref="G115:G130" si="35">IFERROR(F115/E115,0)</f>
        <v>0</v>
      </c>
      <c r="H115" s="35">
        <v>4267.21</v>
      </c>
      <c r="I115" s="19">
        <f>H115-D115</f>
        <v>19.039999999999964</v>
      </c>
      <c r="J115" s="33">
        <v>135</v>
      </c>
      <c r="K115" s="28">
        <f t="shared" si="32"/>
        <v>7.0903361344537954</v>
      </c>
      <c r="L115" s="18">
        <f t="shared" si="33"/>
        <v>19.039999999999964</v>
      </c>
      <c r="M115" s="22">
        <f t="shared" si="33"/>
        <v>135</v>
      </c>
      <c r="N115" s="71">
        <f t="shared" ref="N115:N130" si="36">IFERROR(L115/M115,0)</f>
        <v>0.14103703703703677</v>
      </c>
      <c r="O115" s="134"/>
    </row>
    <row r="116" spans="1:17" ht="22.2" customHeight="1">
      <c r="A116" s="76">
        <v>3</v>
      </c>
      <c r="B116" s="31" t="s">
        <v>114</v>
      </c>
      <c r="C116" s="35">
        <v>126.47</v>
      </c>
      <c r="D116" s="35">
        <v>126.47</v>
      </c>
      <c r="E116" s="17">
        <f t="shared" si="34"/>
        <v>0</v>
      </c>
      <c r="F116" s="33">
        <v>0</v>
      </c>
      <c r="G116" s="10">
        <f t="shared" si="35"/>
        <v>0</v>
      </c>
      <c r="H116" s="35">
        <v>126.47</v>
      </c>
      <c r="I116" s="19">
        <f t="shared" ref="I116:I130" si="37">H116-D116</f>
        <v>0</v>
      </c>
      <c r="J116" s="33">
        <v>0</v>
      </c>
      <c r="K116" s="28">
        <f t="shared" si="32"/>
        <v>0</v>
      </c>
      <c r="L116" s="18">
        <f t="shared" si="33"/>
        <v>0</v>
      </c>
      <c r="M116" s="22">
        <f t="shared" si="33"/>
        <v>0</v>
      </c>
      <c r="N116" s="71">
        <f t="shared" si="36"/>
        <v>0</v>
      </c>
      <c r="O116" s="37"/>
    </row>
    <row r="117" spans="1:17" ht="22.2" customHeight="1">
      <c r="A117" s="76">
        <v>4</v>
      </c>
      <c r="B117" s="31" t="s">
        <v>115</v>
      </c>
      <c r="C117" s="136">
        <v>138938</v>
      </c>
      <c r="D117" s="136">
        <v>138938</v>
      </c>
      <c r="E117" s="17">
        <f t="shared" si="34"/>
        <v>0</v>
      </c>
      <c r="F117" s="33">
        <v>0</v>
      </c>
      <c r="G117" s="10">
        <f t="shared" si="35"/>
        <v>0</v>
      </c>
      <c r="H117" s="136">
        <v>139611</v>
      </c>
      <c r="I117" s="19">
        <f t="shared" si="37"/>
        <v>673</v>
      </c>
      <c r="J117" s="33">
        <v>39</v>
      </c>
      <c r="K117" s="28">
        <f t="shared" si="32"/>
        <v>5.7949479940564638E-2</v>
      </c>
      <c r="L117" s="18">
        <f t="shared" si="33"/>
        <v>673</v>
      </c>
      <c r="M117" s="22">
        <f t="shared" si="33"/>
        <v>39</v>
      </c>
      <c r="N117" s="71">
        <f t="shared" si="36"/>
        <v>17.256410256410255</v>
      </c>
      <c r="O117" s="137"/>
    </row>
    <row r="118" spans="1:17" ht="22.2" customHeight="1">
      <c r="A118" s="76">
        <v>5</v>
      </c>
      <c r="B118" s="31" t="s">
        <v>116</v>
      </c>
      <c r="C118" s="35">
        <v>44558.9</v>
      </c>
      <c r="D118" s="35">
        <v>44558.9</v>
      </c>
      <c r="E118" s="17">
        <f t="shared" si="34"/>
        <v>0</v>
      </c>
      <c r="F118" s="33">
        <v>0</v>
      </c>
      <c r="G118" s="10">
        <f t="shared" si="35"/>
        <v>0</v>
      </c>
      <c r="H118" s="35">
        <v>44558.9</v>
      </c>
      <c r="I118" s="19">
        <f t="shared" si="37"/>
        <v>0</v>
      </c>
      <c r="J118" s="33">
        <v>0</v>
      </c>
      <c r="K118" s="28">
        <f t="shared" si="32"/>
        <v>0</v>
      </c>
      <c r="L118" s="18">
        <f t="shared" si="33"/>
        <v>0</v>
      </c>
      <c r="M118" s="22">
        <f t="shared" si="33"/>
        <v>0</v>
      </c>
      <c r="N118" s="71">
        <f t="shared" si="36"/>
        <v>0</v>
      </c>
      <c r="O118" s="77"/>
    </row>
    <row r="119" spans="1:17" ht="22.2" customHeight="1">
      <c r="A119" s="76">
        <v>6</v>
      </c>
      <c r="B119" s="31" t="s">
        <v>117</v>
      </c>
      <c r="C119" s="35">
        <v>100316.9</v>
      </c>
      <c r="D119" s="35">
        <v>100316.9</v>
      </c>
      <c r="E119" s="17">
        <f t="shared" si="34"/>
        <v>0</v>
      </c>
      <c r="F119" s="33">
        <v>0</v>
      </c>
      <c r="G119" s="10">
        <f t="shared" si="35"/>
        <v>0</v>
      </c>
      <c r="H119" s="35">
        <v>100316.9</v>
      </c>
      <c r="I119" s="19">
        <f t="shared" si="37"/>
        <v>0</v>
      </c>
      <c r="J119" s="33">
        <v>0</v>
      </c>
      <c r="K119" s="28">
        <f t="shared" si="32"/>
        <v>0</v>
      </c>
      <c r="L119" s="18">
        <f t="shared" si="33"/>
        <v>0</v>
      </c>
      <c r="M119" s="22">
        <f t="shared" si="33"/>
        <v>0</v>
      </c>
      <c r="N119" s="71">
        <f t="shared" si="36"/>
        <v>0</v>
      </c>
      <c r="O119" s="37"/>
    </row>
    <row r="120" spans="1:17" ht="22.2" customHeight="1">
      <c r="A120" s="76">
        <v>7</v>
      </c>
      <c r="B120" s="31" t="s">
        <v>118</v>
      </c>
      <c r="C120" s="35">
        <v>152067.5</v>
      </c>
      <c r="D120" s="35">
        <v>152067.5</v>
      </c>
      <c r="E120" s="17">
        <f t="shared" si="34"/>
        <v>0</v>
      </c>
      <c r="F120" s="33">
        <v>0</v>
      </c>
      <c r="G120" s="10">
        <f t="shared" si="35"/>
        <v>0</v>
      </c>
      <c r="H120" s="35">
        <v>152067.5</v>
      </c>
      <c r="I120" s="19">
        <f t="shared" si="37"/>
        <v>0</v>
      </c>
      <c r="J120" s="33">
        <v>0</v>
      </c>
      <c r="K120" s="28">
        <f t="shared" si="32"/>
        <v>0</v>
      </c>
      <c r="L120" s="18">
        <f t="shared" si="33"/>
        <v>0</v>
      </c>
      <c r="M120" s="22">
        <f>F120+J120</f>
        <v>0</v>
      </c>
      <c r="N120" s="71">
        <f t="shared" si="36"/>
        <v>0</v>
      </c>
      <c r="O120" s="37"/>
    </row>
    <row r="121" spans="1:17" ht="22.2" customHeight="1">
      <c r="A121" s="76">
        <v>8</v>
      </c>
      <c r="B121" s="138" t="s">
        <v>119</v>
      </c>
      <c r="C121" s="136">
        <v>40493.800000000003</v>
      </c>
      <c r="D121" s="136">
        <v>40493.800000000003</v>
      </c>
      <c r="E121" s="17">
        <f t="shared" si="34"/>
        <v>0</v>
      </c>
      <c r="F121" s="33">
        <v>0</v>
      </c>
      <c r="G121" s="10">
        <f t="shared" si="35"/>
        <v>0</v>
      </c>
      <c r="H121" s="136">
        <v>40493.800000000003</v>
      </c>
      <c r="I121" s="19">
        <f t="shared" si="37"/>
        <v>0</v>
      </c>
      <c r="J121" s="33">
        <v>0</v>
      </c>
      <c r="K121" s="28">
        <f t="shared" si="32"/>
        <v>0</v>
      </c>
      <c r="L121" s="18">
        <f t="shared" si="33"/>
        <v>0</v>
      </c>
      <c r="M121" s="22">
        <f>F121+J121</f>
        <v>0</v>
      </c>
      <c r="N121" s="71">
        <f t="shared" si="36"/>
        <v>0</v>
      </c>
      <c r="O121" s="37"/>
    </row>
    <row r="122" spans="1:17" ht="22.2" customHeight="1">
      <c r="A122" s="76">
        <v>9</v>
      </c>
      <c r="B122" s="138" t="s">
        <v>120</v>
      </c>
      <c r="C122" s="35">
        <v>33478</v>
      </c>
      <c r="D122" s="35">
        <v>33478</v>
      </c>
      <c r="E122" s="17">
        <f t="shared" si="34"/>
        <v>0</v>
      </c>
      <c r="F122" s="33">
        <v>0</v>
      </c>
      <c r="G122" s="10">
        <f t="shared" si="35"/>
        <v>0</v>
      </c>
      <c r="H122" s="35">
        <v>33478</v>
      </c>
      <c r="I122" s="19">
        <f t="shared" si="37"/>
        <v>0</v>
      </c>
      <c r="J122" s="33">
        <v>0</v>
      </c>
      <c r="K122" s="28">
        <f t="shared" si="32"/>
        <v>0</v>
      </c>
      <c r="L122" s="18">
        <f t="shared" si="33"/>
        <v>0</v>
      </c>
      <c r="M122" s="22">
        <f t="shared" si="33"/>
        <v>0</v>
      </c>
      <c r="N122" s="71">
        <f t="shared" si="36"/>
        <v>0</v>
      </c>
      <c r="O122" s="37"/>
    </row>
    <row r="123" spans="1:17" ht="22.2" customHeight="1">
      <c r="A123" s="76">
        <v>10</v>
      </c>
      <c r="B123" s="31" t="s">
        <v>121</v>
      </c>
      <c r="C123" s="35">
        <v>154569</v>
      </c>
      <c r="D123" s="35">
        <v>154569</v>
      </c>
      <c r="E123" s="17">
        <f t="shared" si="34"/>
        <v>0</v>
      </c>
      <c r="F123" s="33">
        <v>0</v>
      </c>
      <c r="G123" s="10">
        <f t="shared" si="35"/>
        <v>0</v>
      </c>
      <c r="H123" s="35">
        <v>154569</v>
      </c>
      <c r="I123" s="19">
        <f t="shared" si="37"/>
        <v>0</v>
      </c>
      <c r="J123" s="33">
        <v>0</v>
      </c>
      <c r="K123" s="28">
        <f t="shared" si="32"/>
        <v>0</v>
      </c>
      <c r="L123" s="18">
        <f t="shared" si="33"/>
        <v>0</v>
      </c>
      <c r="M123" s="22">
        <f t="shared" si="33"/>
        <v>0</v>
      </c>
      <c r="N123" s="71">
        <f t="shared" si="36"/>
        <v>0</v>
      </c>
      <c r="O123" s="137"/>
    </row>
    <row r="124" spans="1:17" ht="23.4" customHeight="1">
      <c r="A124" s="76">
        <v>11</v>
      </c>
      <c r="B124" s="139" t="s">
        <v>122</v>
      </c>
      <c r="C124" s="35">
        <v>36223</v>
      </c>
      <c r="D124" s="35">
        <v>36223</v>
      </c>
      <c r="E124" s="17">
        <f t="shared" si="34"/>
        <v>0</v>
      </c>
      <c r="F124" s="33">
        <v>0</v>
      </c>
      <c r="G124" s="10">
        <f t="shared" si="35"/>
        <v>0</v>
      </c>
      <c r="H124" s="35">
        <v>36223</v>
      </c>
      <c r="I124" s="19">
        <f t="shared" si="37"/>
        <v>0</v>
      </c>
      <c r="J124" s="33">
        <v>0</v>
      </c>
      <c r="K124" s="28">
        <f t="shared" si="32"/>
        <v>0</v>
      </c>
      <c r="L124" s="18">
        <f t="shared" si="33"/>
        <v>0</v>
      </c>
      <c r="M124" s="22">
        <f t="shared" si="33"/>
        <v>0</v>
      </c>
      <c r="N124" s="71">
        <f t="shared" si="36"/>
        <v>0</v>
      </c>
      <c r="O124" s="37"/>
      <c r="Q124" s="38"/>
    </row>
    <row r="125" spans="1:17" ht="22.2" customHeight="1">
      <c r="A125" s="76">
        <v>12</v>
      </c>
      <c r="B125" s="139" t="s">
        <v>123</v>
      </c>
      <c r="C125" s="35">
        <v>15392</v>
      </c>
      <c r="D125" s="35">
        <v>15392</v>
      </c>
      <c r="E125" s="17">
        <f t="shared" si="34"/>
        <v>0</v>
      </c>
      <c r="F125" s="33">
        <v>0</v>
      </c>
      <c r="G125" s="78">
        <f t="shared" si="35"/>
        <v>0</v>
      </c>
      <c r="H125" s="35">
        <v>15392</v>
      </c>
      <c r="I125" s="19">
        <f t="shared" si="37"/>
        <v>0</v>
      </c>
      <c r="J125" s="33">
        <v>0</v>
      </c>
      <c r="K125" s="28">
        <f t="shared" si="32"/>
        <v>0</v>
      </c>
      <c r="L125" s="18">
        <f t="shared" si="33"/>
        <v>0</v>
      </c>
      <c r="M125" s="79">
        <f t="shared" si="33"/>
        <v>0</v>
      </c>
      <c r="N125" s="71">
        <f t="shared" si="36"/>
        <v>0</v>
      </c>
      <c r="O125" s="37"/>
      <c r="Q125" s="45"/>
    </row>
    <row r="126" spans="1:17" ht="21.6" customHeight="1">
      <c r="A126" s="76">
        <v>13</v>
      </c>
      <c r="B126" s="140" t="s">
        <v>124</v>
      </c>
      <c r="C126" s="35">
        <v>890.2</v>
      </c>
      <c r="D126" s="35">
        <v>890.2</v>
      </c>
      <c r="E126" s="17">
        <f t="shared" si="34"/>
        <v>0</v>
      </c>
      <c r="F126" s="35">
        <v>0</v>
      </c>
      <c r="G126" s="78">
        <f t="shared" si="35"/>
        <v>0</v>
      </c>
      <c r="H126" s="35">
        <v>890.2</v>
      </c>
      <c r="I126" s="19">
        <f t="shared" si="37"/>
        <v>0</v>
      </c>
      <c r="J126" s="35">
        <v>0</v>
      </c>
      <c r="K126" s="28">
        <f t="shared" si="32"/>
        <v>0</v>
      </c>
      <c r="L126" s="18">
        <f t="shared" si="33"/>
        <v>0</v>
      </c>
      <c r="M126" s="79">
        <f t="shared" si="33"/>
        <v>0</v>
      </c>
      <c r="N126" s="71">
        <f t="shared" si="36"/>
        <v>0</v>
      </c>
      <c r="O126" s="37"/>
      <c r="Q126" s="45"/>
    </row>
    <row r="127" spans="1:17" ht="21.6" customHeight="1">
      <c r="A127" s="76">
        <v>14</v>
      </c>
      <c r="B127" s="140" t="s">
        <v>125</v>
      </c>
      <c r="C127" s="35">
        <v>1676</v>
      </c>
      <c r="D127" s="35">
        <v>1676</v>
      </c>
      <c r="E127" s="17">
        <f t="shared" si="34"/>
        <v>0</v>
      </c>
      <c r="F127" s="35">
        <v>0</v>
      </c>
      <c r="G127" s="78">
        <f t="shared" si="35"/>
        <v>0</v>
      </c>
      <c r="H127" s="35">
        <v>1676</v>
      </c>
      <c r="I127" s="19">
        <f t="shared" si="37"/>
        <v>0</v>
      </c>
      <c r="J127" s="141">
        <v>0</v>
      </c>
      <c r="K127" s="28">
        <f t="shared" si="32"/>
        <v>0</v>
      </c>
      <c r="L127" s="18">
        <f t="shared" si="33"/>
        <v>0</v>
      </c>
      <c r="M127" s="79">
        <f t="shared" si="33"/>
        <v>0</v>
      </c>
      <c r="N127" s="71">
        <f t="shared" si="36"/>
        <v>0</v>
      </c>
      <c r="O127" s="37"/>
      <c r="Q127" s="45"/>
    </row>
    <row r="128" spans="1:17" ht="26.4" customHeight="1">
      <c r="A128" s="76">
        <v>15</v>
      </c>
      <c r="B128" s="142" t="s">
        <v>126</v>
      </c>
      <c r="C128" s="35">
        <v>6128.1</v>
      </c>
      <c r="D128" s="35">
        <v>6128.1</v>
      </c>
      <c r="E128" s="17">
        <f>D128-C128</f>
        <v>0</v>
      </c>
      <c r="F128" s="33">
        <v>0</v>
      </c>
      <c r="G128" s="78">
        <f>IFERROR(F128/E128,0)</f>
        <v>0</v>
      </c>
      <c r="H128" s="35">
        <v>6128.1</v>
      </c>
      <c r="I128" s="19">
        <f>H128-D128</f>
        <v>0</v>
      </c>
      <c r="J128" s="33">
        <v>0</v>
      </c>
      <c r="K128" s="28">
        <f>IFERROR(J128/I128,0)</f>
        <v>0</v>
      </c>
      <c r="L128" s="18">
        <f>E128+I128</f>
        <v>0</v>
      </c>
      <c r="M128" s="79">
        <f>F128+J128</f>
        <v>0</v>
      </c>
      <c r="N128" s="71">
        <f>IFERROR(L128/M128,0)</f>
        <v>0</v>
      </c>
      <c r="O128" s="37"/>
      <c r="Q128" s="45"/>
    </row>
    <row r="129" spans="1:17" ht="25.2" customHeight="1">
      <c r="A129" s="76">
        <v>16</v>
      </c>
      <c r="B129" s="138" t="s">
        <v>127</v>
      </c>
      <c r="C129" s="35">
        <v>0</v>
      </c>
      <c r="D129" s="35">
        <v>0</v>
      </c>
      <c r="E129" s="17">
        <f t="shared" si="34"/>
        <v>0</v>
      </c>
      <c r="F129" s="33">
        <v>0</v>
      </c>
      <c r="G129" s="78">
        <f t="shared" si="35"/>
        <v>0</v>
      </c>
      <c r="H129" s="35">
        <v>0</v>
      </c>
      <c r="I129" s="19">
        <f t="shared" si="37"/>
        <v>0</v>
      </c>
      <c r="J129" s="33">
        <v>0</v>
      </c>
      <c r="K129" s="28">
        <f t="shared" si="32"/>
        <v>0</v>
      </c>
      <c r="L129" s="18">
        <f t="shared" si="33"/>
        <v>0</v>
      </c>
      <c r="M129" s="79">
        <f t="shared" si="33"/>
        <v>0</v>
      </c>
      <c r="N129" s="71">
        <f t="shared" si="36"/>
        <v>0</v>
      </c>
      <c r="O129" s="77"/>
      <c r="Q129" s="45"/>
    </row>
    <row r="130" spans="1:17" ht="25.2" customHeight="1">
      <c r="A130" s="76">
        <v>17</v>
      </c>
      <c r="B130" s="143" t="s">
        <v>136</v>
      </c>
      <c r="C130" s="35">
        <v>48443.199999999997</v>
      </c>
      <c r="D130" s="35">
        <v>48443.199999999997</v>
      </c>
      <c r="E130" s="17">
        <f t="shared" si="34"/>
        <v>0</v>
      </c>
      <c r="F130" s="33">
        <v>0</v>
      </c>
      <c r="G130" s="78">
        <f t="shared" si="35"/>
        <v>0</v>
      </c>
      <c r="H130" s="35">
        <v>48443.199999999997</v>
      </c>
      <c r="I130" s="19">
        <f t="shared" si="37"/>
        <v>0</v>
      </c>
      <c r="J130" s="33">
        <v>0</v>
      </c>
      <c r="K130" s="28">
        <f t="shared" si="32"/>
        <v>0</v>
      </c>
      <c r="L130" s="18">
        <f t="shared" ref="L130:M130" si="38">E130+I130</f>
        <v>0</v>
      </c>
      <c r="M130" s="79">
        <f t="shared" si="38"/>
        <v>0</v>
      </c>
      <c r="N130" s="71">
        <f t="shared" si="36"/>
        <v>0</v>
      </c>
      <c r="O130" s="77"/>
      <c r="Q130" s="45"/>
    </row>
    <row r="131" spans="1:17" ht="18">
      <c r="A131" s="196" t="s">
        <v>28</v>
      </c>
      <c r="B131" s="197"/>
      <c r="C131" s="123"/>
      <c r="D131" s="123"/>
      <c r="E131" s="40">
        <f>SUM(E114:E130)</f>
        <v>0</v>
      </c>
      <c r="F131" s="40">
        <f>SUM(F114:F130)</f>
        <v>0</v>
      </c>
      <c r="G131" s="39"/>
      <c r="H131" s="39"/>
      <c r="I131" s="40">
        <f>SUM(I114:I130)</f>
        <v>692.04</v>
      </c>
      <c r="J131" s="40">
        <f>SUM(J114:J130)</f>
        <v>174</v>
      </c>
      <c r="K131" s="145"/>
      <c r="L131" s="146">
        <f>SUM(L114:L130)</f>
        <v>692.04</v>
      </c>
      <c r="M131" s="147">
        <f>SUM(M114:M130)</f>
        <v>174</v>
      </c>
      <c r="N131" s="34"/>
      <c r="O131" s="37"/>
      <c r="P131" s="72"/>
    </row>
    <row r="132" spans="1:17" ht="21.6" thickBot="1">
      <c r="A132" s="148"/>
      <c r="B132" s="149"/>
      <c r="C132" s="149"/>
      <c r="D132" s="149"/>
      <c r="E132" s="149" t="s">
        <v>139</v>
      </c>
      <c r="F132" s="150">
        <f>F18+F24+F33+F39+F45+G110+F131</f>
        <v>0</v>
      </c>
      <c r="G132" s="149"/>
      <c r="H132" s="149"/>
      <c r="I132" s="151" t="s">
        <v>140</v>
      </c>
      <c r="J132" s="150">
        <f>J18+J24+J33+J39+J45+M110+J131</f>
        <v>174</v>
      </c>
      <c r="K132" s="198" t="s">
        <v>141</v>
      </c>
      <c r="L132" s="198"/>
      <c r="M132" s="198"/>
      <c r="N132" s="198"/>
      <c r="O132" s="152"/>
    </row>
    <row r="133" spans="1:17" ht="15">
      <c r="B133" s="153"/>
      <c r="C133" s="152"/>
      <c r="D133" s="152"/>
      <c r="E133" s="152"/>
      <c r="F133" s="152"/>
      <c r="G133" s="152"/>
      <c r="H133" s="152"/>
      <c r="I133" s="152"/>
      <c r="J133" s="154"/>
      <c r="K133" s="155" t="s">
        <v>142</v>
      </c>
      <c r="L133" s="199">
        <f>N2</f>
        <v>46207</v>
      </c>
      <c r="M133" s="200"/>
      <c r="N133" s="156"/>
      <c r="O133" s="157">
        <f>M131-N139</f>
        <v>174</v>
      </c>
    </row>
    <row r="134" spans="1:17" ht="18">
      <c r="B134" s="158" t="s">
        <v>143</v>
      </c>
      <c r="C134" s="159">
        <f>F132</f>
        <v>0</v>
      </c>
      <c r="D134" s="160"/>
      <c r="E134" s="160"/>
      <c r="F134" s="159"/>
      <c r="G134" s="160"/>
      <c r="H134" s="160"/>
      <c r="I134" s="160"/>
      <c r="J134" s="45"/>
      <c r="K134" s="188" t="s">
        <v>144</v>
      </c>
      <c r="L134" s="189"/>
      <c r="M134" s="190"/>
      <c r="N134" s="161">
        <f>P110</f>
        <v>0</v>
      </c>
      <c r="O134" s="152"/>
    </row>
    <row r="135" spans="1:17" ht="18">
      <c r="B135" s="158" t="s">
        <v>145</v>
      </c>
      <c r="C135" s="159">
        <f>J132</f>
        <v>174</v>
      </c>
      <c r="D135" s="160"/>
      <c r="E135" s="160"/>
      <c r="F135" s="159"/>
      <c r="G135" s="159"/>
      <c r="H135" s="160"/>
      <c r="I135" s="160"/>
      <c r="J135" s="45"/>
      <c r="K135" s="188" t="s">
        <v>146</v>
      </c>
      <c r="L135" s="189"/>
      <c r="M135" s="190"/>
      <c r="N135" s="161">
        <f>M18</f>
        <v>0</v>
      </c>
      <c r="O135" s="152"/>
    </row>
    <row r="136" spans="1:17" ht="18">
      <c r="B136" s="158" t="s">
        <v>28</v>
      </c>
      <c r="C136" s="159">
        <f>C134+C135</f>
        <v>174</v>
      </c>
      <c r="D136" s="160"/>
      <c r="E136" s="160"/>
      <c r="F136" s="160"/>
      <c r="G136" s="159"/>
      <c r="H136" s="160"/>
      <c r="I136" s="160"/>
      <c r="K136" s="188" t="s">
        <v>147</v>
      </c>
      <c r="L136" s="189"/>
      <c r="M136" s="190"/>
      <c r="N136" s="161">
        <f>M33</f>
        <v>0</v>
      </c>
    </row>
    <row r="137" spans="1:17" ht="18">
      <c r="C137" s="45"/>
      <c r="D137" s="45"/>
      <c r="E137" s="45"/>
      <c r="F137" s="45"/>
      <c r="G137" s="45"/>
      <c r="H137" s="160" t="s">
        <v>94</v>
      </c>
      <c r="I137" s="45"/>
      <c r="K137" s="188" t="s">
        <v>148</v>
      </c>
      <c r="L137" s="189"/>
      <c r="M137" s="190"/>
      <c r="N137" s="161">
        <f>M39</f>
        <v>0</v>
      </c>
    </row>
    <row r="138" spans="1:17" ht="25.2" customHeight="1">
      <c r="B138" s="162" t="s">
        <v>149</v>
      </c>
      <c r="C138" s="193"/>
      <c r="D138" s="193"/>
      <c r="E138" s="193"/>
      <c r="F138" s="193"/>
      <c r="G138" s="193"/>
      <c r="H138" s="193"/>
      <c r="I138" s="193"/>
      <c r="J138" s="193"/>
      <c r="K138" s="188" t="s">
        <v>150</v>
      </c>
      <c r="L138" s="189"/>
      <c r="M138" s="190"/>
      <c r="N138" s="161">
        <f>M45</f>
        <v>0</v>
      </c>
    </row>
    <row r="139" spans="1:17" ht="18">
      <c r="C139" s="45"/>
      <c r="D139" s="45"/>
      <c r="E139" s="26"/>
      <c r="F139" s="26"/>
      <c r="G139" s="45"/>
      <c r="H139" s="160"/>
      <c r="I139" s="45"/>
      <c r="K139" s="188" t="s">
        <v>151</v>
      </c>
      <c r="L139" s="189"/>
      <c r="M139" s="190"/>
      <c r="N139" s="161">
        <f>M118+M119+M120+M121</f>
        <v>0</v>
      </c>
    </row>
    <row r="140" spans="1:17" ht="18">
      <c r="E140" s="38"/>
      <c r="F140" s="45"/>
      <c r="G140" s="45"/>
      <c r="H140" s="160"/>
      <c r="I140" s="45"/>
      <c r="K140" s="188" t="s">
        <v>152</v>
      </c>
      <c r="L140" s="189"/>
      <c r="M140" s="190"/>
      <c r="N140" s="161">
        <f>O133</f>
        <v>174</v>
      </c>
    </row>
    <row r="141" spans="1:17" ht="18.600000000000001" thickBot="1">
      <c r="C141" s="38"/>
      <c r="D141" s="38"/>
      <c r="G141" s="163"/>
      <c r="H141" s="160"/>
      <c r="K141" s="188" t="s">
        <v>153</v>
      </c>
      <c r="L141" s="189"/>
      <c r="M141" s="190"/>
      <c r="N141" s="164">
        <f>M24</f>
        <v>0</v>
      </c>
      <c r="P141" s="38"/>
    </row>
    <row r="142" spans="1:17" ht="16.8" thickBot="1">
      <c r="C142" s="38"/>
      <c r="D142" s="38"/>
      <c r="E142" s="38"/>
      <c r="F142" s="38"/>
      <c r="H142" s="38"/>
      <c r="K142" s="191" t="s">
        <v>154</v>
      </c>
      <c r="L142" s="192"/>
      <c r="M142" s="192"/>
      <c r="N142" s="165">
        <f>SUM(N134:N141)</f>
        <v>174</v>
      </c>
    </row>
    <row r="143" spans="1:17">
      <c r="C143" s="38"/>
      <c r="D143" s="38"/>
      <c r="E143" s="159"/>
      <c r="F143" s="159"/>
      <c r="H143" s="38"/>
      <c r="I143" s="38"/>
    </row>
    <row r="144" spans="1:17">
      <c r="C144" s="38"/>
      <c r="D144" s="38"/>
      <c r="E144" s="38"/>
      <c r="F144" s="38"/>
      <c r="H144" s="160"/>
    </row>
    <row r="145" spans="1:14">
      <c r="A145" s="159"/>
      <c r="B145" s="159"/>
      <c r="C145" s="159"/>
      <c r="D145" s="159"/>
      <c r="E145" s="159"/>
      <c r="F145" s="159"/>
      <c r="G145" s="38"/>
      <c r="H145" s="38"/>
      <c r="N145" s="45"/>
    </row>
    <row r="146" spans="1:14">
      <c r="A146" s="159"/>
    </row>
  </sheetData>
  <mergeCells count="72">
    <mergeCell ref="K141:M141"/>
    <mergeCell ref="K142:M142"/>
    <mergeCell ref="K136:M136"/>
    <mergeCell ref="K137:M137"/>
    <mergeCell ref="C138:J138"/>
    <mergeCell ref="K138:M138"/>
    <mergeCell ref="K139:M139"/>
    <mergeCell ref="K140:M140"/>
    <mergeCell ref="K135:M135"/>
    <mergeCell ref="O47:O48"/>
    <mergeCell ref="P47:P48"/>
    <mergeCell ref="Q47:Q48"/>
    <mergeCell ref="R47:R48"/>
    <mergeCell ref="A111:L111"/>
    <mergeCell ref="A112:A113"/>
    <mergeCell ref="B112:B113"/>
    <mergeCell ref="C112:G112"/>
    <mergeCell ref="H112:K112"/>
    <mergeCell ref="M112:M113"/>
    <mergeCell ref="N112:N113"/>
    <mergeCell ref="A131:B131"/>
    <mergeCell ref="K132:N132"/>
    <mergeCell ref="L133:M133"/>
    <mergeCell ref="K134:M134"/>
    <mergeCell ref="M41:M42"/>
    <mergeCell ref="N41:N42"/>
    <mergeCell ref="A45:B45"/>
    <mergeCell ref="A46:L46"/>
    <mergeCell ref="A47:A48"/>
    <mergeCell ref="B47:B48"/>
    <mergeCell ref="C47:H47"/>
    <mergeCell ref="I47:N47"/>
    <mergeCell ref="A39:B39"/>
    <mergeCell ref="A40:L40"/>
    <mergeCell ref="A41:A42"/>
    <mergeCell ref="B41:B42"/>
    <mergeCell ref="C41:G41"/>
    <mergeCell ref="H41:K41"/>
    <mergeCell ref="M26:M27"/>
    <mergeCell ref="N26:N27"/>
    <mergeCell ref="A33:B33"/>
    <mergeCell ref="A34:L34"/>
    <mergeCell ref="A35:A36"/>
    <mergeCell ref="B35:B36"/>
    <mergeCell ref="C35:G35"/>
    <mergeCell ref="H35:K35"/>
    <mergeCell ref="M35:M36"/>
    <mergeCell ref="N35:N36"/>
    <mergeCell ref="A24:B24"/>
    <mergeCell ref="A25:L25"/>
    <mergeCell ref="A26:A27"/>
    <mergeCell ref="B26:B27"/>
    <mergeCell ref="C26:G26"/>
    <mergeCell ref="H26:K26"/>
    <mergeCell ref="O3:O4"/>
    <mergeCell ref="P3:P4"/>
    <mergeCell ref="A18:B18"/>
    <mergeCell ref="A19:L19"/>
    <mergeCell ref="A20:A21"/>
    <mergeCell ref="B20:B21"/>
    <mergeCell ref="C20:G20"/>
    <mergeCell ref="H20:K20"/>
    <mergeCell ref="M20:M21"/>
    <mergeCell ref="N20:N21"/>
    <mergeCell ref="A1:N1"/>
    <mergeCell ref="A2:L2"/>
    <mergeCell ref="A3:A4"/>
    <mergeCell ref="B3:B4"/>
    <mergeCell ref="C3:G3"/>
    <mergeCell ref="H3:L3"/>
    <mergeCell ref="M3:M4"/>
    <mergeCell ref="N3:N4"/>
  </mergeCells>
  <conditionalFormatting sqref="N7:N15 N16:O16 N17:N19 N22:N23 N28:N32 N37:N38 N43:N44">
    <cfRule type="cellIs" dxfId="45" priority="2" operator="greaterThan">
      <formula>40</formula>
    </cfRule>
  </conditionalFormatting>
  <conditionalFormatting sqref="Q49:Q110">
    <cfRule type="cellIs" dxfId="44" priority="1" operator="lessThan">
      <formula>0.5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A0A7A-318A-4E67-BA97-0A0D325AF9D8}">
  <dimension ref="A1:AA144"/>
  <sheetViews>
    <sheetView zoomScale="74" zoomScaleNormal="74" workbookViewId="0">
      <pane ySplit="1" topLeftCell="A62" activePane="bottomLeft" state="frozen"/>
      <selection pane="bottomLeft" activeCell="G141" sqref="G141"/>
    </sheetView>
  </sheetViews>
  <sheetFormatPr defaultColWidth="9" defaultRowHeight="14.4"/>
  <cols>
    <col min="1" max="1" width="8.5546875" customWidth="1"/>
    <col min="2" max="2" width="29.44140625" bestFit="1" customWidth="1"/>
    <col min="3" max="3" width="11.6640625" customWidth="1"/>
    <col min="4" max="4" width="8.77734375" customWidth="1"/>
    <col min="5" max="5" width="9.77734375" customWidth="1"/>
    <col min="6" max="6" width="13.6640625" customWidth="1"/>
    <col min="7" max="7" width="10" customWidth="1"/>
    <col min="8" max="8" width="9.77734375" customWidth="1"/>
    <col min="9" max="9" width="12.77734375" bestFit="1" customWidth="1"/>
    <col min="10" max="10" width="10.6640625" bestFit="1" customWidth="1"/>
    <col min="11" max="11" width="15.77734375" customWidth="1"/>
    <col min="12" max="12" width="10.77734375" customWidth="1"/>
    <col min="13" max="13" width="12.5546875" customWidth="1"/>
    <col min="14" max="14" width="17.88671875" customWidth="1"/>
    <col min="15" max="15" width="12" customWidth="1"/>
    <col min="16" max="16" width="10.44140625" customWidth="1"/>
    <col min="17" max="17" width="11.109375" bestFit="1" customWidth="1"/>
    <col min="19" max="19" width="9.21875" bestFit="1" customWidth="1"/>
    <col min="20" max="20" width="8.21875" bestFit="1" customWidth="1"/>
    <col min="21" max="22" width="11.21875" customWidth="1"/>
  </cols>
  <sheetData>
    <row r="1" spans="1:22" ht="18.600000000000001" thickBot="1">
      <c r="A1" s="249" t="s">
        <v>0</v>
      </c>
      <c r="B1" s="249"/>
      <c r="C1" s="249"/>
      <c r="D1" s="249"/>
      <c r="E1" s="249"/>
      <c r="F1" s="249"/>
      <c r="G1" s="249"/>
      <c r="H1" s="249"/>
      <c r="I1" s="249"/>
      <c r="J1" s="249"/>
      <c r="K1" s="249"/>
      <c r="L1" s="249"/>
      <c r="M1" s="249"/>
      <c r="N1" s="249"/>
      <c r="O1" s="1"/>
      <c r="V1" s="2"/>
    </row>
    <row r="2" spans="1:22" ht="19.8" customHeight="1" thickBot="1">
      <c r="A2" s="250" t="s">
        <v>1</v>
      </c>
      <c r="B2" s="251"/>
      <c r="C2" s="252"/>
      <c r="D2" s="252"/>
      <c r="E2" s="252"/>
      <c r="F2" s="252"/>
      <c r="G2" s="252"/>
      <c r="H2" s="252"/>
      <c r="I2" s="252"/>
      <c r="J2" s="252"/>
      <c r="K2" s="252"/>
      <c r="L2" s="251"/>
      <c r="M2" s="3" t="s">
        <v>2</v>
      </c>
      <c r="N2" s="4">
        <v>46208</v>
      </c>
      <c r="O2" s="1"/>
    </row>
    <row r="3" spans="1:22" ht="18" customHeight="1">
      <c r="A3" s="209" t="s">
        <v>3</v>
      </c>
      <c r="B3" s="211" t="s">
        <v>4</v>
      </c>
      <c r="C3" s="213" t="s">
        <v>5</v>
      </c>
      <c r="D3" s="214"/>
      <c r="E3" s="214"/>
      <c r="F3" s="214"/>
      <c r="G3" s="215"/>
      <c r="H3" s="253" t="s">
        <v>6</v>
      </c>
      <c r="I3" s="254"/>
      <c r="J3" s="254"/>
      <c r="K3" s="254"/>
      <c r="L3" s="255"/>
      <c r="M3" s="219" t="s">
        <v>7</v>
      </c>
      <c r="N3" s="194" t="s">
        <v>8</v>
      </c>
      <c r="O3" s="243" t="s">
        <v>9</v>
      </c>
      <c r="P3" s="222" t="s">
        <v>10</v>
      </c>
    </row>
    <row r="4" spans="1:22" ht="22.8" customHeight="1">
      <c r="A4" s="247"/>
      <c r="B4" s="248"/>
      <c r="C4" s="6" t="s">
        <v>11</v>
      </c>
      <c r="D4" s="6" t="s">
        <v>12</v>
      </c>
      <c r="E4" s="6" t="s">
        <v>13</v>
      </c>
      <c r="F4" s="6" t="s">
        <v>14</v>
      </c>
      <c r="G4" s="6" t="s">
        <v>8</v>
      </c>
      <c r="H4" s="6" t="s">
        <v>12</v>
      </c>
      <c r="I4" s="6" t="s">
        <v>13</v>
      </c>
      <c r="J4" s="6" t="s">
        <v>14</v>
      </c>
      <c r="K4" s="7" t="s">
        <v>8</v>
      </c>
      <c r="L4" s="8" t="s">
        <v>15</v>
      </c>
      <c r="M4" s="236"/>
      <c r="N4" s="237"/>
      <c r="O4" s="248"/>
      <c r="P4" s="243"/>
    </row>
    <row r="5" spans="1:22" ht="22.8" customHeight="1">
      <c r="A5" s="5">
        <v>1</v>
      </c>
      <c r="B5" s="9" t="s">
        <v>175</v>
      </c>
      <c r="C5" s="2">
        <v>31943.4</v>
      </c>
      <c r="D5" s="2">
        <v>31943.4</v>
      </c>
      <c r="E5" s="2">
        <f>D5-C5</f>
        <v>0</v>
      </c>
      <c r="F5" s="2">
        <v>0</v>
      </c>
      <c r="G5" s="10">
        <f>IFERROR(F5/E5,0)</f>
        <v>0</v>
      </c>
      <c r="H5" s="2">
        <v>31949.5</v>
      </c>
      <c r="I5" s="167">
        <f>H5-D5</f>
        <v>6.0999999999985448</v>
      </c>
      <c r="J5" s="2">
        <v>170</v>
      </c>
      <c r="K5" s="11">
        <f>IFERROR(J5/I5,0)</f>
        <v>27.868852459023042</v>
      </c>
      <c r="L5" s="12">
        <f>E5+I5</f>
        <v>6.0999999999985448</v>
      </c>
      <c r="M5" s="13">
        <f>F5+J5</f>
        <v>170</v>
      </c>
      <c r="N5" s="14">
        <f>IFERROR(M5/L5,0)</f>
        <v>27.868852459023042</v>
      </c>
      <c r="O5" s="2">
        <v>86</v>
      </c>
      <c r="P5" s="5"/>
    </row>
    <row r="6" spans="1:22" ht="22.8" customHeight="1">
      <c r="A6" s="81">
        <v>2</v>
      </c>
      <c r="B6" s="16" t="s">
        <v>170</v>
      </c>
      <c r="C6" s="49">
        <v>33713.9</v>
      </c>
      <c r="D6" s="49">
        <v>33713.9</v>
      </c>
      <c r="E6" s="2">
        <f>D6-C6</f>
        <v>0</v>
      </c>
      <c r="F6" s="49">
        <v>0</v>
      </c>
      <c r="G6" s="10">
        <f>IFERROR(F6/E6,0)</f>
        <v>0</v>
      </c>
      <c r="H6" s="49">
        <v>33713.9</v>
      </c>
      <c r="I6" s="167">
        <f>H6-D6</f>
        <v>0</v>
      </c>
      <c r="J6" s="49">
        <v>403</v>
      </c>
      <c r="K6" s="11">
        <f>IFERROR(J6/I6,0)</f>
        <v>0</v>
      </c>
      <c r="L6" s="169">
        <v>0</v>
      </c>
      <c r="M6" s="13">
        <f>F6+J6</f>
        <v>403</v>
      </c>
      <c r="N6" s="14">
        <f>IFERROR(M6/L6,0)</f>
        <v>0</v>
      </c>
      <c r="O6" s="49">
        <v>8</v>
      </c>
      <c r="P6" s="81"/>
    </row>
    <row r="7" spans="1:22" ht="24" customHeight="1">
      <c r="A7" s="5">
        <v>3</v>
      </c>
      <c r="B7" s="16" t="s">
        <v>17</v>
      </c>
      <c r="C7" s="17">
        <v>32493.3</v>
      </c>
      <c r="D7" s="17">
        <v>32493.3</v>
      </c>
      <c r="E7" s="17">
        <f t="shared" ref="E7:E17" si="0">D7-C7</f>
        <v>0</v>
      </c>
      <c r="F7" s="18">
        <v>0</v>
      </c>
      <c r="G7" s="10">
        <f>IFERROR(F7/E7,0)</f>
        <v>0</v>
      </c>
      <c r="H7" s="17">
        <v>32493.3</v>
      </c>
      <c r="I7" s="19">
        <f t="shared" ref="I7:I13" si="1">H7-D7</f>
        <v>0</v>
      </c>
      <c r="J7" s="20">
        <v>0</v>
      </c>
      <c r="K7" s="21">
        <f>IFERROR(J7/I7,0)</f>
        <v>0</v>
      </c>
      <c r="L7" s="18">
        <f>E7+I7</f>
        <v>0</v>
      </c>
      <c r="M7" s="22">
        <f>F7+J7</f>
        <v>0</v>
      </c>
      <c r="N7" s="23">
        <f>IFERROR(M7/L7,0)</f>
        <v>0</v>
      </c>
      <c r="O7" s="24">
        <v>0</v>
      </c>
      <c r="P7" s="25"/>
      <c r="Q7" s="26"/>
    </row>
    <row r="8" spans="1:22" ht="25.8" customHeight="1">
      <c r="A8" s="81">
        <v>4</v>
      </c>
      <c r="B8" s="16" t="s">
        <v>18</v>
      </c>
      <c r="C8" s="17">
        <v>24509</v>
      </c>
      <c r="D8" s="17">
        <v>24509</v>
      </c>
      <c r="E8" s="17">
        <f t="shared" si="0"/>
        <v>0</v>
      </c>
      <c r="F8" s="18">
        <v>0</v>
      </c>
      <c r="G8" s="10">
        <f t="shared" ref="G8:G12" si="2">IFERROR(F8/E8,0)</f>
        <v>0</v>
      </c>
      <c r="H8" s="17">
        <v>24524.2</v>
      </c>
      <c r="I8" s="19">
        <f t="shared" si="1"/>
        <v>15.200000000000728</v>
      </c>
      <c r="J8" s="20">
        <v>421</v>
      </c>
      <c r="K8" s="28">
        <f t="shared" ref="K8:K13" si="3">IFERROR(J8/I8,0)</f>
        <v>27.697368421051305</v>
      </c>
      <c r="L8" s="18">
        <f t="shared" ref="L8:M16" si="4">E8+I8</f>
        <v>15.200000000000728</v>
      </c>
      <c r="M8" s="22">
        <f t="shared" si="4"/>
        <v>421</v>
      </c>
      <c r="N8" s="23">
        <f t="shared" ref="N8:N17" si="5">IFERROR(M8/L8,0)</f>
        <v>27.697368421051305</v>
      </c>
      <c r="O8" s="29">
        <v>168</v>
      </c>
      <c r="P8" s="30"/>
      <c r="Q8" s="26"/>
      <c r="S8" s="26"/>
    </row>
    <row r="9" spans="1:22" ht="25.8" customHeight="1">
      <c r="A9" s="5">
        <v>5</v>
      </c>
      <c r="B9" s="31" t="s">
        <v>19</v>
      </c>
      <c r="C9" s="17">
        <v>32463.4</v>
      </c>
      <c r="D9" s="17">
        <v>32463.4</v>
      </c>
      <c r="E9" s="17">
        <f t="shared" si="0"/>
        <v>0</v>
      </c>
      <c r="F9" s="32">
        <v>0</v>
      </c>
      <c r="G9" s="10">
        <f t="shared" si="2"/>
        <v>0</v>
      </c>
      <c r="H9" s="17">
        <v>32475.3</v>
      </c>
      <c r="I9" s="19">
        <f t="shared" si="1"/>
        <v>11.899999999997817</v>
      </c>
      <c r="J9" s="33">
        <v>365</v>
      </c>
      <c r="K9" s="28">
        <f t="shared" si="3"/>
        <v>30.67226890756865</v>
      </c>
      <c r="L9" s="18">
        <f t="shared" si="4"/>
        <v>11.899999999997817</v>
      </c>
      <c r="M9" s="22">
        <f t="shared" si="4"/>
        <v>365</v>
      </c>
      <c r="N9" s="23">
        <f t="shared" si="5"/>
        <v>30.67226890756865</v>
      </c>
      <c r="O9" s="29">
        <v>17</v>
      </c>
      <c r="P9" s="30"/>
      <c r="Q9" s="26"/>
      <c r="S9" s="26"/>
    </row>
    <row r="10" spans="1:22" ht="22.8" customHeight="1">
      <c r="A10" s="81">
        <v>6</v>
      </c>
      <c r="B10" s="16" t="s">
        <v>21</v>
      </c>
      <c r="C10" s="17">
        <v>27893.1</v>
      </c>
      <c r="D10" s="17">
        <v>27893.1</v>
      </c>
      <c r="E10" s="17">
        <f t="shared" si="0"/>
        <v>0</v>
      </c>
      <c r="F10" s="32">
        <v>0</v>
      </c>
      <c r="G10" s="10">
        <f t="shared" si="2"/>
        <v>0</v>
      </c>
      <c r="H10" s="17">
        <v>27912.6</v>
      </c>
      <c r="I10" s="19">
        <f t="shared" si="1"/>
        <v>19.5</v>
      </c>
      <c r="J10" s="20">
        <v>413</v>
      </c>
      <c r="K10" s="28">
        <f t="shared" si="3"/>
        <v>21.179487179487179</v>
      </c>
      <c r="L10" s="18">
        <f t="shared" si="4"/>
        <v>19.5</v>
      </c>
      <c r="M10" s="22">
        <f t="shared" si="4"/>
        <v>413</v>
      </c>
      <c r="N10" s="23">
        <f t="shared" si="5"/>
        <v>21.179487179487179</v>
      </c>
      <c r="O10" s="29">
        <v>152</v>
      </c>
      <c r="P10" s="30"/>
      <c r="Q10" s="26"/>
      <c r="S10" s="26"/>
    </row>
    <row r="11" spans="1:22" ht="22.8" customHeight="1">
      <c r="A11" s="5">
        <v>7</v>
      </c>
      <c r="B11" s="31" t="s">
        <v>22</v>
      </c>
      <c r="C11" s="35">
        <v>27281.200000000001</v>
      </c>
      <c r="D11" s="35">
        <v>27281.200000000001</v>
      </c>
      <c r="E11" s="17">
        <f t="shared" si="0"/>
        <v>0</v>
      </c>
      <c r="F11" s="32">
        <v>0</v>
      </c>
      <c r="G11" s="10">
        <f t="shared" si="2"/>
        <v>0</v>
      </c>
      <c r="H11" s="35">
        <v>27281.200000000001</v>
      </c>
      <c r="I11" s="19">
        <f t="shared" si="1"/>
        <v>0</v>
      </c>
      <c r="J11" s="33">
        <v>0</v>
      </c>
      <c r="K11" s="28">
        <f t="shared" si="3"/>
        <v>0</v>
      </c>
      <c r="L11" s="18">
        <f t="shared" si="4"/>
        <v>0</v>
      </c>
      <c r="M11" s="22">
        <f t="shared" si="4"/>
        <v>0</v>
      </c>
      <c r="N11" s="23">
        <f t="shared" si="5"/>
        <v>0</v>
      </c>
      <c r="O11" s="29">
        <v>0</v>
      </c>
      <c r="P11" s="30"/>
      <c r="Q11" s="26"/>
      <c r="S11" s="26"/>
    </row>
    <row r="12" spans="1:22" ht="24" customHeight="1">
      <c r="A12" s="81">
        <v>8</v>
      </c>
      <c r="B12" s="31" t="s">
        <v>23</v>
      </c>
      <c r="C12" s="17">
        <v>22437.59</v>
      </c>
      <c r="D12" s="17">
        <v>22437.59</v>
      </c>
      <c r="E12" s="17">
        <f t="shared" si="0"/>
        <v>0</v>
      </c>
      <c r="F12" s="34">
        <v>0</v>
      </c>
      <c r="G12" s="10">
        <f t="shared" si="2"/>
        <v>0</v>
      </c>
      <c r="H12" s="17">
        <v>22447.65</v>
      </c>
      <c r="I12" s="19">
        <f t="shared" si="1"/>
        <v>10.06000000000131</v>
      </c>
      <c r="J12" s="20">
        <v>365</v>
      </c>
      <c r="K12" s="28">
        <f t="shared" si="3"/>
        <v>36.282306163017147</v>
      </c>
      <c r="L12" s="18">
        <f t="shared" si="4"/>
        <v>10.06000000000131</v>
      </c>
      <c r="M12" s="22">
        <f t="shared" si="4"/>
        <v>365</v>
      </c>
      <c r="N12" s="23">
        <f t="shared" si="5"/>
        <v>36.282306163017147</v>
      </c>
      <c r="O12" s="29">
        <v>0</v>
      </c>
      <c r="P12" s="36"/>
      <c r="Q12" s="26"/>
      <c r="S12" s="26"/>
    </row>
    <row r="13" spans="1:22" ht="24" customHeight="1">
      <c r="A13" s="5">
        <v>9</v>
      </c>
      <c r="B13" s="31" t="s">
        <v>24</v>
      </c>
      <c r="C13" s="17">
        <v>22446.959999999999</v>
      </c>
      <c r="D13" s="17">
        <v>22446.959999999999</v>
      </c>
      <c r="E13" s="17">
        <f t="shared" si="0"/>
        <v>0</v>
      </c>
      <c r="F13" s="32">
        <v>0</v>
      </c>
      <c r="G13" s="10">
        <f>IFERROR(F13/E13,0)</f>
        <v>0</v>
      </c>
      <c r="H13" s="17">
        <v>22453.35</v>
      </c>
      <c r="I13" s="19">
        <f t="shared" si="1"/>
        <v>6.3899999999994179</v>
      </c>
      <c r="J13" s="20">
        <v>225</v>
      </c>
      <c r="K13" s="28">
        <f t="shared" si="3"/>
        <v>35.211267605637012</v>
      </c>
      <c r="L13" s="18">
        <f t="shared" si="4"/>
        <v>6.3899999999994179</v>
      </c>
      <c r="M13" s="22">
        <f t="shared" si="4"/>
        <v>225</v>
      </c>
      <c r="N13" s="23">
        <f t="shared" si="5"/>
        <v>35.211267605637012</v>
      </c>
      <c r="O13" s="29">
        <v>149</v>
      </c>
      <c r="P13" s="37"/>
      <c r="Q13" s="26"/>
      <c r="S13" s="26"/>
    </row>
    <row r="14" spans="1:22" ht="24" customHeight="1">
      <c r="A14" s="81">
        <v>10</v>
      </c>
      <c r="B14" s="31" t="s">
        <v>25</v>
      </c>
      <c r="C14" s="17">
        <v>19893.240000000002</v>
      </c>
      <c r="D14" s="17">
        <v>19893.240000000002</v>
      </c>
      <c r="E14" s="17">
        <f t="shared" si="0"/>
        <v>0</v>
      </c>
      <c r="F14" s="32">
        <v>0</v>
      </c>
      <c r="G14" s="10">
        <f>IFERROR(F14/E14,0)</f>
        <v>0</v>
      </c>
      <c r="H14" s="17">
        <v>19898.419999999998</v>
      </c>
      <c r="I14" s="19">
        <f>H14-D14</f>
        <v>5.1799999999966531</v>
      </c>
      <c r="J14" s="20">
        <v>154</v>
      </c>
      <c r="K14" s="28">
        <f>IFERROR(J14/I14,0)</f>
        <v>29.729729729748939</v>
      </c>
      <c r="L14" s="18">
        <f>E14+I14</f>
        <v>5.1799999999966531</v>
      </c>
      <c r="M14" s="22">
        <f t="shared" si="4"/>
        <v>154</v>
      </c>
      <c r="N14" s="23">
        <f t="shared" si="5"/>
        <v>29.729729729748939</v>
      </c>
      <c r="O14" s="29">
        <v>96</v>
      </c>
      <c r="P14" s="37"/>
      <c r="Q14" s="26"/>
      <c r="S14" s="26"/>
      <c r="T14" s="38"/>
    </row>
    <row r="15" spans="1:22" ht="25.8" customHeight="1">
      <c r="A15" s="5">
        <v>11</v>
      </c>
      <c r="B15" s="16" t="s">
        <v>20</v>
      </c>
      <c r="C15" s="17">
        <v>33398.199999999997</v>
      </c>
      <c r="D15" s="17">
        <v>33398.199999999997</v>
      </c>
      <c r="E15" s="17">
        <f>D15-C15</f>
        <v>0</v>
      </c>
      <c r="F15" s="34">
        <v>0</v>
      </c>
      <c r="G15" s="10">
        <f>IFERROR(F15/E15,0)</f>
        <v>0</v>
      </c>
      <c r="H15" s="17">
        <v>33404.800000000003</v>
      </c>
      <c r="I15" s="19">
        <f>H15-D15</f>
        <v>6.6000000000058208</v>
      </c>
      <c r="J15" s="33">
        <v>252</v>
      </c>
      <c r="K15" s="28">
        <f>IFERROR(J15/I15,0)</f>
        <v>38.181818181784507</v>
      </c>
      <c r="L15" s="18">
        <f>E15+I15</f>
        <v>6.6000000000058208</v>
      </c>
      <c r="M15" s="22">
        <f>F15+J15</f>
        <v>252</v>
      </c>
      <c r="N15" s="23">
        <f>IFERROR(M15/L15,0)</f>
        <v>38.181818181784507</v>
      </c>
      <c r="O15" s="29">
        <v>197</v>
      </c>
      <c r="P15" s="30"/>
      <c r="Q15" s="26"/>
      <c r="S15" s="26"/>
    </row>
    <row r="16" spans="1:22" ht="24" customHeight="1">
      <c r="A16" s="81">
        <v>12</v>
      </c>
      <c r="B16" s="31" t="s">
        <v>27</v>
      </c>
      <c r="C16" s="17">
        <v>18190.3</v>
      </c>
      <c r="D16" s="17">
        <v>18190.3</v>
      </c>
      <c r="E16" s="17">
        <f t="shared" si="0"/>
        <v>0</v>
      </c>
      <c r="F16" s="18">
        <v>0</v>
      </c>
      <c r="G16" s="10">
        <f>IFERROR(F16/E16,0)</f>
        <v>0</v>
      </c>
      <c r="H16" s="17">
        <v>18190.3</v>
      </c>
      <c r="I16" s="19">
        <f t="shared" ref="I16" si="6">H16-D16</f>
        <v>0</v>
      </c>
      <c r="J16" s="20">
        <v>0</v>
      </c>
      <c r="K16" s="28">
        <f t="shared" ref="K16" si="7">IFERROR(J16/I16,0)</f>
        <v>0</v>
      </c>
      <c r="L16" s="18">
        <f t="shared" ref="L16" si="8">E16+I16</f>
        <v>0</v>
      </c>
      <c r="M16" s="22">
        <f t="shared" si="4"/>
        <v>0</v>
      </c>
      <c r="N16" s="23">
        <f t="shared" si="5"/>
        <v>0</v>
      </c>
      <c r="O16" s="29">
        <v>0</v>
      </c>
      <c r="P16" s="37"/>
      <c r="Q16" s="26"/>
      <c r="S16" s="26"/>
      <c r="T16" s="38"/>
    </row>
    <row r="17" spans="1:20" ht="24" customHeight="1">
      <c r="A17" s="5">
        <v>13</v>
      </c>
      <c r="B17" s="31" t="s">
        <v>26</v>
      </c>
      <c r="C17" s="17">
        <v>15231.7</v>
      </c>
      <c r="D17" s="17">
        <v>15231.7</v>
      </c>
      <c r="E17" s="17">
        <f t="shared" si="0"/>
        <v>0</v>
      </c>
      <c r="F17" s="32">
        <v>0</v>
      </c>
      <c r="G17" s="10">
        <f>IFERROR(F17/E17,0)</f>
        <v>0</v>
      </c>
      <c r="H17" s="17">
        <v>15231.7</v>
      </c>
      <c r="I17" s="19">
        <f>H17-D17</f>
        <v>0</v>
      </c>
      <c r="J17" s="20">
        <v>0</v>
      </c>
      <c r="K17" s="28">
        <f>IFERROR(J17/I17,0)</f>
        <v>0</v>
      </c>
      <c r="L17" s="18">
        <f>E17+I17</f>
        <v>0</v>
      </c>
      <c r="M17" s="22">
        <f>F17+J17</f>
        <v>0</v>
      </c>
      <c r="N17" s="23">
        <f t="shared" si="5"/>
        <v>0</v>
      </c>
      <c r="O17" s="29">
        <v>0</v>
      </c>
      <c r="P17" s="37"/>
      <c r="Q17" s="26"/>
      <c r="S17" s="26"/>
      <c r="T17" s="38"/>
    </row>
    <row r="18" spans="1:20" ht="24" customHeight="1">
      <c r="A18" s="196" t="s">
        <v>28</v>
      </c>
      <c r="B18" s="197"/>
      <c r="C18" s="39"/>
      <c r="D18" s="39"/>
      <c r="E18" s="40">
        <f>SUM(E7:E17)</f>
        <v>0</v>
      </c>
      <c r="F18" s="41">
        <f>SUM(F5:F17)</f>
        <v>0</v>
      </c>
      <c r="G18" s="39"/>
      <c r="H18" s="39"/>
      <c r="I18" s="40">
        <f>SUM(I7:I17)</f>
        <v>74.830000000001746</v>
      </c>
      <c r="J18" s="41">
        <f>SUM(J5:J17)</f>
        <v>2768</v>
      </c>
      <c r="K18" s="28">
        <f>IFERROR(J18/I18,0)</f>
        <v>36.990511826806568</v>
      </c>
      <c r="L18" s="42">
        <f>SUM(L7:L17)</f>
        <v>74.830000000001746</v>
      </c>
      <c r="M18" s="43">
        <f>SUM(M5:M17)</f>
        <v>2768</v>
      </c>
      <c r="N18" s="23">
        <f>IFERROR(M18/L18,0)</f>
        <v>36.990511826806568</v>
      </c>
      <c r="O18" s="44">
        <f>SUM(O5:O17)</f>
        <v>873</v>
      </c>
      <c r="P18" s="45"/>
      <c r="S18" s="26"/>
    </row>
    <row r="19" spans="1:20" ht="18" customHeight="1" thickBot="1">
      <c r="A19" s="206" t="s">
        <v>29</v>
      </c>
      <c r="B19" s="207"/>
      <c r="C19" s="207"/>
      <c r="D19" s="207"/>
      <c r="E19" s="207"/>
      <c r="F19" s="207"/>
      <c r="G19" s="207"/>
      <c r="H19" s="207"/>
      <c r="I19" s="207"/>
      <c r="J19" s="207"/>
      <c r="K19" s="207"/>
      <c r="L19" s="208"/>
      <c r="M19" s="46"/>
      <c r="N19" s="47"/>
      <c r="O19" s="37"/>
    </row>
    <row r="20" spans="1:20" ht="22.8" customHeight="1">
      <c r="A20" s="209" t="s">
        <v>3</v>
      </c>
      <c r="B20" s="211" t="s">
        <v>4</v>
      </c>
      <c r="C20" s="234" t="s">
        <v>5</v>
      </c>
      <c r="D20" s="234"/>
      <c r="E20" s="234"/>
      <c r="F20" s="234"/>
      <c r="G20" s="234"/>
      <c r="H20" s="235" t="s">
        <v>6</v>
      </c>
      <c r="I20" s="235"/>
      <c r="J20" s="235"/>
      <c r="K20" s="235"/>
      <c r="L20" s="48"/>
      <c r="M20" s="219" t="s">
        <v>7</v>
      </c>
      <c r="N20" s="194" t="s">
        <v>8</v>
      </c>
      <c r="O20" s="37"/>
    </row>
    <row r="21" spans="1:20" s="51" customFormat="1" ht="24" customHeight="1" thickBot="1">
      <c r="A21" s="210"/>
      <c r="B21" s="212"/>
      <c r="C21" s="49" t="s">
        <v>11</v>
      </c>
      <c r="D21" s="49" t="s">
        <v>12</v>
      </c>
      <c r="E21" s="49" t="s">
        <v>13</v>
      </c>
      <c r="F21" s="2" t="s">
        <v>14</v>
      </c>
      <c r="G21" s="2" t="s">
        <v>8</v>
      </c>
      <c r="H21" s="49" t="s">
        <v>12</v>
      </c>
      <c r="I21" s="49" t="s">
        <v>13</v>
      </c>
      <c r="J21" s="49" t="s">
        <v>14</v>
      </c>
      <c r="K21" s="7" t="s">
        <v>8</v>
      </c>
      <c r="L21" s="50" t="s">
        <v>15</v>
      </c>
      <c r="M21" s="220"/>
      <c r="N21" s="195"/>
      <c r="O21" s="37"/>
      <c r="Q21"/>
      <c r="R21"/>
      <c r="S21"/>
      <c r="T21"/>
    </row>
    <row r="22" spans="1:20" s="51" customFormat="1" ht="24" customHeight="1">
      <c r="A22" s="27">
        <v>1</v>
      </c>
      <c r="B22" s="52" t="s">
        <v>30</v>
      </c>
      <c r="C22" s="6">
        <v>18721.3</v>
      </c>
      <c r="D22" s="6">
        <v>18721.3</v>
      </c>
      <c r="E22" s="53">
        <f>D22-C22</f>
        <v>0</v>
      </c>
      <c r="F22" s="54">
        <v>0</v>
      </c>
      <c r="G22" s="55">
        <f>IFERROR(F22/E22,0)</f>
        <v>0</v>
      </c>
      <c r="H22" s="6">
        <v>18730</v>
      </c>
      <c r="I22" s="56">
        <f>H22-D22</f>
        <v>8.7000000000007276</v>
      </c>
      <c r="J22" s="54">
        <v>144.36000000000001</v>
      </c>
      <c r="K22" s="57">
        <f>IFERROR(J22/I22,0)</f>
        <v>16.593103448274476</v>
      </c>
      <c r="L22" s="58">
        <f>E22+I22</f>
        <v>8.7000000000007276</v>
      </c>
      <c r="M22" s="59">
        <f t="shared" ref="M22:M23" si="9">F22+J22</f>
        <v>144.36000000000001</v>
      </c>
      <c r="N22" s="60">
        <f>IFERROR(M22/L22,0)</f>
        <v>16.593103448274476</v>
      </c>
      <c r="O22" s="61"/>
      <c r="Q22"/>
      <c r="R22"/>
      <c r="S22"/>
      <c r="T22"/>
    </row>
    <row r="23" spans="1:20" ht="24" customHeight="1">
      <c r="A23" s="62">
        <v>2</v>
      </c>
      <c r="B23" s="52" t="s">
        <v>31</v>
      </c>
      <c r="C23" s="63">
        <v>11113.1</v>
      </c>
      <c r="D23" s="63">
        <v>11123.6</v>
      </c>
      <c r="E23" s="53">
        <f>D23-C23</f>
        <v>10.5</v>
      </c>
      <c r="F23" s="54">
        <v>175</v>
      </c>
      <c r="G23" s="55">
        <f>IFERROR(F23/E23,0)</f>
        <v>16.666666666666668</v>
      </c>
      <c r="H23" s="63">
        <v>11129.2</v>
      </c>
      <c r="I23" s="64">
        <f>H23-D23</f>
        <v>5.6000000000003638</v>
      </c>
      <c r="J23" s="54">
        <v>97</v>
      </c>
      <c r="K23" s="57">
        <f>IFERROR(J23/I23,0)</f>
        <v>17.321428571427447</v>
      </c>
      <c r="L23" s="58">
        <f>E23+I23</f>
        <v>16.100000000000364</v>
      </c>
      <c r="M23" s="59">
        <f t="shared" si="9"/>
        <v>272</v>
      </c>
      <c r="N23" s="60">
        <f>IFERROR(M23/L23,0)</f>
        <v>16.894409937887819</v>
      </c>
      <c r="O23" s="65"/>
    </row>
    <row r="24" spans="1:20" ht="24" customHeight="1" thickBot="1">
      <c r="A24" s="238" t="s">
        <v>28</v>
      </c>
      <c r="B24" s="239"/>
      <c r="C24" s="66"/>
      <c r="D24" s="66"/>
      <c r="E24" s="67">
        <f>SUM(E22:E23)</f>
        <v>10.5</v>
      </c>
      <c r="F24" s="67">
        <f>SUM(F22:F23)</f>
        <v>175</v>
      </c>
      <c r="G24" s="68"/>
      <c r="H24" s="68"/>
      <c r="I24" s="67">
        <f>SUM(I22:I23)</f>
        <v>14.300000000001091</v>
      </c>
      <c r="J24" s="67">
        <f>SUM(J22:J23)</f>
        <v>241.36</v>
      </c>
      <c r="K24" s="69">
        <f>SUM(K22:K23)</f>
        <v>33.914532019701923</v>
      </c>
      <c r="L24" s="70">
        <f>SUM(L22:L23)</f>
        <v>24.800000000001091</v>
      </c>
      <c r="M24" s="43">
        <f>SUM(M22:M23)</f>
        <v>416.36</v>
      </c>
      <c r="N24" s="71"/>
      <c r="O24" s="37"/>
      <c r="P24" s="72"/>
    </row>
    <row r="25" spans="1:20" ht="18" customHeight="1" thickBot="1">
      <c r="A25" s="245" t="s">
        <v>32</v>
      </c>
      <c r="B25" s="246"/>
      <c r="C25" s="226"/>
      <c r="D25" s="226"/>
      <c r="E25" s="226"/>
      <c r="F25" s="226"/>
      <c r="G25" s="226"/>
      <c r="H25" s="226"/>
      <c r="I25" s="226"/>
      <c r="J25" s="226"/>
      <c r="K25" s="226"/>
      <c r="L25" s="246"/>
      <c r="M25" s="46"/>
      <c r="N25" s="47"/>
      <c r="O25" s="37"/>
    </row>
    <row r="26" spans="1:20" ht="22.8" customHeight="1">
      <c r="A26" s="209" t="s">
        <v>3</v>
      </c>
      <c r="B26" s="211" t="s">
        <v>4</v>
      </c>
      <c r="C26" s="234" t="s">
        <v>5</v>
      </c>
      <c r="D26" s="234"/>
      <c r="E26" s="234"/>
      <c r="F26" s="234"/>
      <c r="G26" s="234"/>
      <c r="H26" s="235" t="s">
        <v>6</v>
      </c>
      <c r="I26" s="235"/>
      <c r="J26" s="235"/>
      <c r="K26" s="235"/>
      <c r="L26" s="48"/>
      <c r="M26" s="219" t="s">
        <v>7</v>
      </c>
      <c r="N26" s="194" t="s">
        <v>8</v>
      </c>
      <c r="O26" s="37"/>
      <c r="S26" s="51"/>
    </row>
    <row r="27" spans="1:20" ht="24" customHeight="1">
      <c r="A27" s="247"/>
      <c r="B27" s="248"/>
      <c r="C27" s="6" t="s">
        <v>11</v>
      </c>
      <c r="D27" s="6" t="s">
        <v>12</v>
      </c>
      <c r="E27" s="6" t="s">
        <v>13</v>
      </c>
      <c r="F27" s="6" t="s">
        <v>14</v>
      </c>
      <c r="G27" s="6" t="s">
        <v>8</v>
      </c>
      <c r="H27" s="6" t="s">
        <v>12</v>
      </c>
      <c r="I27" s="6" t="s">
        <v>13</v>
      </c>
      <c r="J27" s="6" t="s">
        <v>14</v>
      </c>
      <c r="K27" s="7" t="s">
        <v>8</v>
      </c>
      <c r="L27" s="73" t="s">
        <v>15</v>
      </c>
      <c r="M27" s="236"/>
      <c r="N27" s="237"/>
      <c r="O27" s="37"/>
      <c r="P27" s="74"/>
      <c r="S27" s="51"/>
      <c r="T27" s="75"/>
    </row>
    <row r="28" spans="1:20" ht="24" customHeight="1">
      <c r="A28" s="76">
        <v>1</v>
      </c>
      <c r="B28" s="31" t="s">
        <v>33</v>
      </c>
      <c r="C28" s="35">
        <v>21539.8</v>
      </c>
      <c r="D28" s="35">
        <v>21539.8</v>
      </c>
      <c r="E28" s="35">
        <f>D28-C28</f>
        <v>0</v>
      </c>
      <c r="F28" s="33">
        <v>0</v>
      </c>
      <c r="G28" s="10">
        <f t="shared" ref="G28:G32" si="10">IFERROR(F28/E28,0)</f>
        <v>0</v>
      </c>
      <c r="H28" s="35">
        <v>21539.8</v>
      </c>
      <c r="I28" s="56">
        <f>H28-D28</f>
        <v>0</v>
      </c>
      <c r="J28" s="33">
        <v>0</v>
      </c>
      <c r="K28" s="28">
        <f t="shared" ref="K28:K32" si="11">IFERROR(J28/I28,0)</f>
        <v>0</v>
      </c>
      <c r="L28" s="18">
        <f t="shared" ref="L28:M32" si="12">E28+I28</f>
        <v>0</v>
      </c>
      <c r="M28" s="22">
        <f t="shared" si="12"/>
        <v>0</v>
      </c>
      <c r="N28" s="23">
        <f>IFERROR(M28/L28,0)</f>
        <v>0</v>
      </c>
      <c r="O28" s="37"/>
    </row>
    <row r="29" spans="1:20" ht="24" customHeight="1">
      <c r="A29" s="76">
        <v>2</v>
      </c>
      <c r="B29" s="31" t="s">
        <v>34</v>
      </c>
      <c r="C29" s="35">
        <v>20945.099999999999</v>
      </c>
      <c r="D29" s="35">
        <v>20951.7</v>
      </c>
      <c r="E29" s="35">
        <f>D29-C29</f>
        <v>6.6000000000021828</v>
      </c>
      <c r="F29" s="33">
        <v>155</v>
      </c>
      <c r="G29" s="10">
        <f t="shared" si="10"/>
        <v>23.484848484840718</v>
      </c>
      <c r="H29" s="35">
        <v>20955.3</v>
      </c>
      <c r="I29" s="56">
        <f>H29-D29</f>
        <v>3.5999999999985448</v>
      </c>
      <c r="J29" s="33">
        <v>117</v>
      </c>
      <c r="K29" s="28">
        <f>IFERROR(J29/I29,0)</f>
        <v>32.500000000013138</v>
      </c>
      <c r="L29" s="18">
        <f t="shared" si="12"/>
        <v>10.200000000000728</v>
      </c>
      <c r="M29" s="22">
        <f t="shared" si="12"/>
        <v>272</v>
      </c>
      <c r="N29" s="23">
        <f>IFERROR(M29/L29,0)</f>
        <v>26.666666666664764</v>
      </c>
      <c r="O29" s="37"/>
    </row>
    <row r="30" spans="1:20" ht="24" customHeight="1">
      <c r="A30" s="76">
        <v>3</v>
      </c>
      <c r="B30" s="31" t="s">
        <v>35</v>
      </c>
      <c r="C30" s="35">
        <v>8871</v>
      </c>
      <c r="D30" s="35">
        <v>8890.9</v>
      </c>
      <c r="E30" s="17">
        <f t="shared" ref="E30:E32" si="13">D30-C30</f>
        <v>19.899999999999636</v>
      </c>
      <c r="F30" s="33">
        <v>335</v>
      </c>
      <c r="G30" s="10">
        <f t="shared" si="10"/>
        <v>16.834170854271665</v>
      </c>
      <c r="H30" s="35">
        <v>8890.9</v>
      </c>
      <c r="I30" s="19">
        <f>H30-D30</f>
        <v>0</v>
      </c>
      <c r="J30" s="33">
        <v>0</v>
      </c>
      <c r="K30" s="28">
        <f t="shared" si="11"/>
        <v>0</v>
      </c>
      <c r="L30" s="18">
        <f t="shared" si="12"/>
        <v>19.899999999999636</v>
      </c>
      <c r="M30" s="22">
        <f t="shared" si="12"/>
        <v>335</v>
      </c>
      <c r="N30" s="23">
        <f>IFERROR(M30/L30,0)</f>
        <v>16.834170854271665</v>
      </c>
      <c r="O30" s="77"/>
    </row>
    <row r="31" spans="1:20" ht="24.6" customHeight="1">
      <c r="A31" s="76">
        <v>4</v>
      </c>
      <c r="B31" s="31" t="s">
        <v>36</v>
      </c>
      <c r="C31" s="35">
        <v>3270.5</v>
      </c>
      <c r="D31" s="35">
        <v>3277.2</v>
      </c>
      <c r="E31" s="17">
        <f t="shared" si="13"/>
        <v>6.6999999999998181</v>
      </c>
      <c r="F31" s="33">
        <v>158</v>
      </c>
      <c r="G31" s="78">
        <f t="shared" si="10"/>
        <v>23.582089552239445</v>
      </c>
      <c r="H31" s="35">
        <v>3281.2</v>
      </c>
      <c r="I31" s="19">
        <f t="shared" ref="I31:I32" si="14">H31-D31</f>
        <v>4</v>
      </c>
      <c r="J31" s="33">
        <v>87</v>
      </c>
      <c r="K31" s="28">
        <f t="shared" si="11"/>
        <v>21.75</v>
      </c>
      <c r="L31" s="18">
        <f t="shared" si="12"/>
        <v>10.699999999999818</v>
      </c>
      <c r="M31" s="79">
        <f t="shared" si="12"/>
        <v>245</v>
      </c>
      <c r="N31" s="23">
        <f>IFERROR(M31/L31,0)</f>
        <v>22.897196261682634</v>
      </c>
      <c r="O31" s="80"/>
    </row>
    <row r="32" spans="1:20" ht="24.6" customHeight="1">
      <c r="A32" s="76">
        <v>5</v>
      </c>
      <c r="B32" s="31" t="s">
        <v>37</v>
      </c>
      <c r="C32" s="35">
        <v>581.29999999999995</v>
      </c>
      <c r="D32" s="35">
        <v>581.29999999999995</v>
      </c>
      <c r="E32" s="17">
        <f t="shared" si="13"/>
        <v>0</v>
      </c>
      <c r="F32" s="33">
        <v>0</v>
      </c>
      <c r="G32" s="78">
        <f t="shared" si="10"/>
        <v>0</v>
      </c>
      <c r="H32" s="35">
        <v>588.6</v>
      </c>
      <c r="I32" s="19">
        <f t="shared" si="14"/>
        <v>7.3000000000000682</v>
      </c>
      <c r="J32" s="33">
        <v>203.64</v>
      </c>
      <c r="K32" s="28">
        <f t="shared" si="11"/>
        <v>27.895890410958643</v>
      </c>
      <c r="L32" s="18">
        <f t="shared" si="12"/>
        <v>7.3000000000000682</v>
      </c>
      <c r="M32" s="79">
        <f t="shared" si="12"/>
        <v>203.64</v>
      </c>
      <c r="N32" s="23">
        <f>IFERROR(M32/L32,0)</f>
        <v>27.895890410958643</v>
      </c>
      <c r="O32" s="80"/>
    </row>
    <row r="33" spans="1:26" ht="22.8" customHeight="1" thickBot="1">
      <c r="A33" s="238" t="s">
        <v>28</v>
      </c>
      <c r="B33" s="239"/>
      <c r="C33" s="66"/>
      <c r="D33" s="66"/>
      <c r="E33" s="67">
        <f>SUM(E28:E32)</f>
        <v>33.200000000001637</v>
      </c>
      <c r="F33" s="67">
        <f>SUM(F28:F32)</f>
        <v>648</v>
      </c>
      <c r="G33" s="68"/>
      <c r="H33" s="68"/>
      <c r="I33" s="67">
        <f>SUM(I28:I32)</f>
        <v>14.899999999998613</v>
      </c>
      <c r="J33" s="67">
        <f>SUM(J28:J32)</f>
        <v>407.64</v>
      </c>
      <c r="K33" s="69">
        <f>SUM(K28:K32)</f>
        <v>82.145890410971788</v>
      </c>
      <c r="L33" s="70">
        <f>SUM(L28:L32)</f>
        <v>48.10000000000025</v>
      </c>
      <c r="M33" s="43">
        <f>SUM(M28:M32)</f>
        <v>1055.6399999999999</v>
      </c>
      <c r="N33" s="71">
        <f>IFERROR(M33/K33,0)</f>
        <v>12.850795027221515</v>
      </c>
      <c r="O33" s="37"/>
      <c r="P33" s="72"/>
      <c r="S33" s="51"/>
    </row>
    <row r="34" spans="1:26" ht="24" customHeight="1">
      <c r="A34" s="240" t="s">
        <v>38</v>
      </c>
      <c r="B34" s="241"/>
      <c r="C34" s="241"/>
      <c r="D34" s="241"/>
      <c r="E34" s="241"/>
      <c r="F34" s="241"/>
      <c r="G34" s="241"/>
      <c r="H34" s="241"/>
      <c r="I34" s="241"/>
      <c r="J34" s="241"/>
      <c r="K34" s="241"/>
      <c r="L34" s="242"/>
      <c r="M34" s="46"/>
      <c r="N34" s="47"/>
      <c r="O34" s="61"/>
      <c r="S34" s="51"/>
    </row>
    <row r="35" spans="1:26" ht="24" customHeight="1">
      <c r="A35" s="243" t="s">
        <v>3</v>
      </c>
      <c r="B35" s="243" t="s">
        <v>4</v>
      </c>
      <c r="C35" s="213" t="s">
        <v>5</v>
      </c>
      <c r="D35" s="214"/>
      <c r="E35" s="214"/>
      <c r="F35" s="214"/>
      <c r="G35" s="215"/>
      <c r="H35" s="216" t="s">
        <v>6</v>
      </c>
      <c r="I35" s="217"/>
      <c r="J35" s="217"/>
      <c r="K35" s="218"/>
      <c r="L35" s="5"/>
      <c r="M35" s="221" t="s">
        <v>7</v>
      </c>
      <c r="N35" s="222" t="s">
        <v>8</v>
      </c>
      <c r="O35" s="37"/>
    </row>
    <row r="36" spans="1:26" ht="24" customHeight="1">
      <c r="A36" s="244"/>
      <c r="B36" s="244"/>
      <c r="C36" s="2" t="s">
        <v>11</v>
      </c>
      <c r="D36" s="2" t="s">
        <v>12</v>
      </c>
      <c r="E36" s="2" t="s">
        <v>13</v>
      </c>
      <c r="F36" s="2" t="s">
        <v>14</v>
      </c>
      <c r="G36" s="2" t="s">
        <v>8</v>
      </c>
      <c r="H36" s="2" t="s">
        <v>12</v>
      </c>
      <c r="I36" s="2" t="s">
        <v>13</v>
      </c>
      <c r="J36" s="2" t="s">
        <v>14</v>
      </c>
      <c r="K36" s="82" t="s">
        <v>8</v>
      </c>
      <c r="L36" s="12" t="s">
        <v>15</v>
      </c>
      <c r="M36" s="221"/>
      <c r="N36" s="222"/>
      <c r="O36" s="37"/>
    </row>
    <row r="37" spans="1:26" ht="24" customHeight="1">
      <c r="A37" s="76">
        <v>1</v>
      </c>
      <c r="B37" s="31" t="s">
        <v>39</v>
      </c>
      <c r="C37" s="83">
        <v>16479</v>
      </c>
      <c r="D37" s="83">
        <v>16490.2</v>
      </c>
      <c r="E37" s="35">
        <f>D37-C37</f>
        <v>11.200000000000728</v>
      </c>
      <c r="F37" s="33">
        <v>190</v>
      </c>
      <c r="G37" s="78">
        <f t="shared" ref="G37:G38" si="15">IFERROR(F37/E37,0)</f>
        <v>16.964285714284614</v>
      </c>
      <c r="H37" s="83">
        <v>16494.7</v>
      </c>
      <c r="I37" s="56">
        <f>H37-D37</f>
        <v>4.5</v>
      </c>
      <c r="J37" s="33">
        <v>100.85</v>
      </c>
      <c r="K37" s="28">
        <f>IFERROR(J37/I37,0)</f>
        <v>22.411111111111111</v>
      </c>
      <c r="L37" s="84">
        <f t="shared" ref="L37:L38" si="16">E37+I37</f>
        <v>15.700000000000728</v>
      </c>
      <c r="M37" s="79">
        <f>F37+J37</f>
        <v>290.85000000000002</v>
      </c>
      <c r="N37" s="34">
        <f>IFERROR(M37/L37,0)</f>
        <v>18.525477707005514</v>
      </c>
      <c r="O37" s="37"/>
    </row>
    <row r="38" spans="1:26" ht="27" customHeight="1">
      <c r="A38" s="76">
        <v>2</v>
      </c>
      <c r="B38" s="31" t="s">
        <v>40</v>
      </c>
      <c r="C38" s="35">
        <v>4285.6000000000004</v>
      </c>
      <c r="D38" s="35">
        <v>4285.6000000000004</v>
      </c>
      <c r="E38" s="17">
        <f>D38-C38</f>
        <v>0</v>
      </c>
      <c r="F38" s="33">
        <v>0</v>
      </c>
      <c r="G38" s="10">
        <f t="shared" si="15"/>
        <v>0</v>
      </c>
      <c r="H38" s="35">
        <v>4297.5</v>
      </c>
      <c r="I38" s="19">
        <f>H38-D38</f>
        <v>11.899999999999636</v>
      </c>
      <c r="J38" s="33">
        <v>200</v>
      </c>
      <c r="K38" s="28">
        <f>IFERROR(J38/I38,0)</f>
        <v>16.806722689076143</v>
      </c>
      <c r="L38" s="18">
        <f t="shared" si="16"/>
        <v>11.899999999999636</v>
      </c>
      <c r="M38" s="22">
        <f>F38+J38</f>
        <v>200</v>
      </c>
      <c r="N38" s="23">
        <f>IFERROR(M38/L38,0)</f>
        <v>16.806722689076143</v>
      </c>
      <c r="O38" s="37"/>
      <c r="S38" s="51"/>
    </row>
    <row r="39" spans="1:26" ht="22.8" customHeight="1" thickBot="1">
      <c r="A39" s="196" t="s">
        <v>28</v>
      </c>
      <c r="B39" s="233"/>
      <c r="C39" s="68"/>
      <c r="D39" s="66"/>
      <c r="E39" s="67">
        <f>SUM(E37:E38)</f>
        <v>11.200000000000728</v>
      </c>
      <c r="F39" s="67">
        <f>SUM(F37:F38:F38)</f>
        <v>190</v>
      </c>
      <c r="G39" s="68"/>
      <c r="H39" s="68"/>
      <c r="I39" s="67">
        <f>SUM(I37:I38)</f>
        <v>16.399999999999636</v>
      </c>
      <c r="J39" s="67">
        <f>SUM(J37:J38)</f>
        <v>300.85000000000002</v>
      </c>
      <c r="K39" s="69">
        <f>SUM(K37:K38)</f>
        <v>39.21783380018725</v>
      </c>
      <c r="L39" s="70">
        <f>SUM(L37:L38)</f>
        <v>27.600000000000364</v>
      </c>
      <c r="M39" s="43">
        <f>SUM(M37:M38)</f>
        <v>490.85</v>
      </c>
      <c r="N39" s="71">
        <f>IFERROR(M39/K39,0)</f>
        <v>12.515989600569331</v>
      </c>
      <c r="O39" s="37"/>
      <c r="P39" s="72"/>
      <c r="S39" s="51"/>
    </row>
    <row r="40" spans="1:26" ht="24" customHeight="1">
      <c r="A40" s="225" t="s">
        <v>41</v>
      </c>
      <c r="B40" s="226"/>
      <c r="C40" s="226"/>
      <c r="D40" s="226"/>
      <c r="E40" s="226"/>
      <c r="F40" s="226"/>
      <c r="G40" s="226"/>
      <c r="H40" s="226"/>
      <c r="I40" s="226"/>
      <c r="J40" s="226"/>
      <c r="K40" s="226"/>
      <c r="L40" s="226"/>
      <c r="M40" s="46"/>
      <c r="N40" s="47"/>
      <c r="O40" s="61"/>
    </row>
    <row r="41" spans="1:26" ht="24" customHeight="1">
      <c r="A41" s="222" t="s">
        <v>3</v>
      </c>
      <c r="B41" s="222" t="s">
        <v>4</v>
      </c>
      <c r="C41" s="234" t="s">
        <v>5</v>
      </c>
      <c r="D41" s="234"/>
      <c r="E41" s="234"/>
      <c r="F41" s="234"/>
      <c r="G41" s="234"/>
      <c r="H41" s="235" t="s">
        <v>6</v>
      </c>
      <c r="I41" s="235"/>
      <c r="J41" s="235"/>
      <c r="K41" s="235"/>
      <c r="L41" s="5"/>
      <c r="M41" s="221" t="s">
        <v>7</v>
      </c>
      <c r="N41" s="222" t="s">
        <v>8</v>
      </c>
      <c r="O41" s="37"/>
    </row>
    <row r="42" spans="1:26" ht="25.8" customHeight="1">
      <c r="A42" s="222"/>
      <c r="B42" s="222"/>
      <c r="C42" s="2" t="s">
        <v>11</v>
      </c>
      <c r="D42" s="2" t="s">
        <v>12</v>
      </c>
      <c r="E42" s="2" t="s">
        <v>13</v>
      </c>
      <c r="F42" s="2" t="s">
        <v>14</v>
      </c>
      <c r="G42" s="2" t="s">
        <v>8</v>
      </c>
      <c r="H42" s="2" t="s">
        <v>12</v>
      </c>
      <c r="I42" s="2" t="s">
        <v>13</v>
      </c>
      <c r="J42" s="2" t="s">
        <v>14</v>
      </c>
      <c r="K42" s="82" t="s">
        <v>8</v>
      </c>
      <c r="L42" s="12" t="s">
        <v>15</v>
      </c>
      <c r="M42" s="221"/>
      <c r="N42" s="222"/>
      <c r="O42" s="37"/>
    </row>
    <row r="43" spans="1:26" ht="24.6" customHeight="1">
      <c r="A43" s="76">
        <v>1</v>
      </c>
      <c r="B43" s="85" t="s">
        <v>42</v>
      </c>
      <c r="C43" s="33">
        <v>8580.4</v>
      </c>
      <c r="D43" s="33">
        <v>8580.4</v>
      </c>
      <c r="E43" s="20">
        <f>D43-C43</f>
        <v>0</v>
      </c>
      <c r="F43" s="33">
        <v>0</v>
      </c>
      <c r="G43" s="10">
        <f t="shared" ref="G43:G44" si="17">IFERROR(F43/E43,0)</f>
        <v>0</v>
      </c>
      <c r="H43" s="33">
        <v>8580.4</v>
      </c>
      <c r="I43" s="86">
        <f>H43-D43</f>
        <v>0</v>
      </c>
      <c r="J43" s="33">
        <v>0</v>
      </c>
      <c r="K43" s="28">
        <f>IFERROR(J43/I43,0)</f>
        <v>0</v>
      </c>
      <c r="L43" s="18">
        <f>E43+I43</f>
        <v>0</v>
      </c>
      <c r="M43" s="22">
        <f>F43+J43</f>
        <v>0</v>
      </c>
      <c r="N43" s="23">
        <f>IFERROR(M43/L43,0)</f>
        <v>0</v>
      </c>
      <c r="O43" s="87"/>
      <c r="S43" s="51"/>
    </row>
    <row r="44" spans="1:26" ht="22.8" customHeight="1">
      <c r="A44" s="76">
        <v>2</v>
      </c>
      <c r="B44" s="85" t="s">
        <v>43</v>
      </c>
      <c r="C44" s="33">
        <v>1572.8</v>
      </c>
      <c r="D44" s="33">
        <v>1572.8</v>
      </c>
      <c r="E44" s="20">
        <f>D44-C44</f>
        <v>0</v>
      </c>
      <c r="F44" s="33">
        <v>0</v>
      </c>
      <c r="G44" s="10">
        <f t="shared" si="17"/>
        <v>0</v>
      </c>
      <c r="H44" s="33">
        <v>1572.8</v>
      </c>
      <c r="I44" s="86">
        <f>H44-D44</f>
        <v>0</v>
      </c>
      <c r="J44" s="33">
        <v>0</v>
      </c>
      <c r="K44" s="28">
        <f>IFERROR(J44/I44,0)</f>
        <v>0</v>
      </c>
      <c r="L44" s="18">
        <f>E44+I44</f>
        <v>0</v>
      </c>
      <c r="M44" s="22">
        <f t="shared" ref="M44" si="18">F44+J44</f>
        <v>0</v>
      </c>
      <c r="N44" s="23">
        <f>IFERROR(M44/L44,0)</f>
        <v>0</v>
      </c>
      <c r="O44" s="87"/>
      <c r="P44" s="88"/>
      <c r="Q44" s="89"/>
    </row>
    <row r="45" spans="1:26" ht="24" customHeight="1" thickBot="1">
      <c r="A45" s="223" t="s">
        <v>28</v>
      </c>
      <c r="B45" s="224"/>
      <c r="C45" s="90"/>
      <c r="D45" s="90"/>
      <c r="E45" s="91">
        <f>SUM(E43:E44)</f>
        <v>0</v>
      </c>
      <c r="F45" s="91">
        <f>SUM(F43:F44)</f>
        <v>0</v>
      </c>
      <c r="G45" s="92"/>
      <c r="H45" s="92"/>
      <c r="I45" s="91">
        <f>SUM(I43:I44)</f>
        <v>0</v>
      </c>
      <c r="J45" s="91">
        <f>SUM(J43:J44)</f>
        <v>0</v>
      </c>
      <c r="K45" s="93">
        <f>SUM(K43:K44)</f>
        <v>0</v>
      </c>
      <c r="L45" s="94">
        <f>SUM(L43:L44)</f>
        <v>0</v>
      </c>
      <c r="M45" s="95">
        <f>SUM(M43:M44)</f>
        <v>0</v>
      </c>
      <c r="N45" s="96" t="e">
        <f>M45/L45</f>
        <v>#DIV/0!</v>
      </c>
      <c r="O45" s="37"/>
      <c r="P45" s="97"/>
      <c r="Q45" s="89"/>
    </row>
    <row r="46" spans="1:26" ht="24" customHeight="1">
      <c r="A46" s="225" t="s">
        <v>44</v>
      </c>
      <c r="B46" s="226"/>
      <c r="C46" s="226"/>
      <c r="D46" s="226"/>
      <c r="E46" s="226"/>
      <c r="F46" s="226"/>
      <c r="G46" s="226"/>
      <c r="H46" s="226"/>
      <c r="I46" s="226"/>
      <c r="J46" s="226"/>
      <c r="K46" s="226"/>
      <c r="L46" s="226"/>
      <c r="M46" s="98"/>
      <c r="N46" s="99"/>
      <c r="O46" s="37"/>
      <c r="P46" s="100"/>
      <c r="Q46" s="100"/>
    </row>
    <row r="47" spans="1:26" ht="24" customHeight="1">
      <c r="A47" s="222" t="s">
        <v>3</v>
      </c>
      <c r="B47" s="222" t="s">
        <v>4</v>
      </c>
      <c r="C47" s="227" t="s">
        <v>5</v>
      </c>
      <c r="D47" s="228"/>
      <c r="E47" s="228"/>
      <c r="F47" s="228"/>
      <c r="G47" s="228"/>
      <c r="H47" s="229"/>
      <c r="I47" s="230" t="s">
        <v>6</v>
      </c>
      <c r="J47" s="231"/>
      <c r="K47" s="231"/>
      <c r="L47" s="231"/>
      <c r="M47" s="231"/>
      <c r="N47" s="232"/>
      <c r="O47" s="201" t="s">
        <v>45</v>
      </c>
      <c r="P47" s="203" t="s">
        <v>46</v>
      </c>
      <c r="Q47" s="203" t="s">
        <v>47</v>
      </c>
      <c r="R47" s="205" t="s">
        <v>48</v>
      </c>
      <c r="Z47" s="101"/>
    </row>
    <row r="48" spans="1:26" ht="33" customHeight="1">
      <c r="A48" s="222"/>
      <c r="B48" s="222"/>
      <c r="C48" s="2" t="s">
        <v>49</v>
      </c>
      <c r="D48" s="2" t="s">
        <v>50</v>
      </c>
      <c r="E48" s="2" t="s">
        <v>51</v>
      </c>
      <c r="F48" s="102" t="s">
        <v>11</v>
      </c>
      <c r="G48" s="2" t="s">
        <v>14</v>
      </c>
      <c r="H48" s="2" t="s">
        <v>8</v>
      </c>
      <c r="I48" s="2" t="s">
        <v>50</v>
      </c>
      <c r="J48" s="2" t="s">
        <v>45</v>
      </c>
      <c r="K48" s="102" t="s">
        <v>12</v>
      </c>
      <c r="L48" s="102" t="s">
        <v>15</v>
      </c>
      <c r="M48" s="2" t="s">
        <v>14</v>
      </c>
      <c r="N48" s="82" t="s">
        <v>8</v>
      </c>
      <c r="O48" s="202"/>
      <c r="P48" s="204"/>
      <c r="Q48" s="204"/>
      <c r="R48" s="205"/>
    </row>
    <row r="49" spans="1:27" ht="21" customHeight="1">
      <c r="A49" s="81">
        <v>1</v>
      </c>
      <c r="B49" s="103" t="s">
        <v>52</v>
      </c>
      <c r="C49" s="2">
        <v>278630.7</v>
      </c>
      <c r="D49" s="2">
        <v>278630.7</v>
      </c>
      <c r="E49" s="104">
        <f t="shared" ref="E49:E109" si="19">D49-C49</f>
        <v>0</v>
      </c>
      <c r="F49" s="105">
        <v>22041</v>
      </c>
      <c r="G49" s="49">
        <v>0</v>
      </c>
      <c r="H49" s="10">
        <f t="shared" ref="H49:H109" si="20">IFERROR(E49/G49,0)</f>
        <v>0</v>
      </c>
      <c r="I49" s="2">
        <v>278677.40000000002</v>
      </c>
      <c r="J49" s="106">
        <f t="shared" ref="J49:J109" si="21">I49-D49</f>
        <v>46.700000000011642</v>
      </c>
      <c r="K49" s="105">
        <v>22056</v>
      </c>
      <c r="L49" s="107">
        <f t="shared" ref="L49:L109" si="22">K49-F49</f>
        <v>15</v>
      </c>
      <c r="M49" s="2">
        <v>73.8</v>
      </c>
      <c r="N49" s="28">
        <f t="shared" ref="N49:N109" si="23">IFERROR(J49/M49,0)</f>
        <v>0.63279132791343695</v>
      </c>
      <c r="O49" s="84">
        <f t="shared" ref="O49:O109" si="24">J49+E49</f>
        <v>46.700000000011642</v>
      </c>
      <c r="P49" s="79">
        <f t="shared" ref="P49:P109" si="25">G49+M49</f>
        <v>73.8</v>
      </c>
      <c r="Q49" s="34">
        <f t="shared" ref="Q49:Q109" si="26">IFERROR(O49/P49,0)</f>
        <v>0.63279132791343695</v>
      </c>
      <c r="R49" s="108">
        <v>0</v>
      </c>
    </row>
    <row r="50" spans="1:27" ht="21" customHeight="1">
      <c r="A50" s="81">
        <v>2</v>
      </c>
      <c r="B50" s="103" t="s">
        <v>155</v>
      </c>
      <c r="C50" s="2">
        <v>300482</v>
      </c>
      <c r="D50" s="2">
        <v>300482</v>
      </c>
      <c r="E50" s="104">
        <f t="shared" si="19"/>
        <v>0</v>
      </c>
      <c r="F50" s="105">
        <v>30398</v>
      </c>
      <c r="G50" s="49">
        <v>0</v>
      </c>
      <c r="H50" s="10">
        <f t="shared" si="20"/>
        <v>0</v>
      </c>
      <c r="I50" s="2">
        <v>300482</v>
      </c>
      <c r="J50" s="106">
        <f t="shared" si="21"/>
        <v>0</v>
      </c>
      <c r="K50" s="105">
        <v>30398</v>
      </c>
      <c r="L50" s="107">
        <f t="shared" si="22"/>
        <v>0</v>
      </c>
      <c r="M50" s="2">
        <v>103.27</v>
      </c>
      <c r="N50" s="28">
        <f t="shared" si="23"/>
        <v>0</v>
      </c>
      <c r="O50" s="84">
        <f t="shared" si="24"/>
        <v>0</v>
      </c>
      <c r="P50" s="79">
        <f t="shared" si="25"/>
        <v>103.27</v>
      </c>
      <c r="Q50" s="34">
        <f t="shared" si="26"/>
        <v>0</v>
      </c>
      <c r="R50" s="108">
        <v>12</v>
      </c>
    </row>
    <row r="51" spans="1:27" ht="21" customHeight="1">
      <c r="A51" s="81">
        <v>3</v>
      </c>
      <c r="B51" s="103" t="s">
        <v>171</v>
      </c>
      <c r="C51" s="2">
        <v>309574</v>
      </c>
      <c r="D51" s="2">
        <v>309574</v>
      </c>
      <c r="E51" s="104">
        <f t="shared" si="19"/>
        <v>0</v>
      </c>
      <c r="F51" s="105">
        <v>30953</v>
      </c>
      <c r="G51" s="49">
        <v>0</v>
      </c>
      <c r="H51" s="10">
        <f t="shared" si="20"/>
        <v>0</v>
      </c>
      <c r="I51" s="2">
        <v>309574</v>
      </c>
      <c r="J51" s="106">
        <f t="shared" si="21"/>
        <v>0</v>
      </c>
      <c r="K51" s="105">
        <v>30953</v>
      </c>
      <c r="L51" s="107">
        <f t="shared" si="22"/>
        <v>0</v>
      </c>
      <c r="M51" s="2">
        <v>87.84</v>
      </c>
      <c r="N51" s="28">
        <f t="shared" si="23"/>
        <v>0</v>
      </c>
      <c r="O51" s="84">
        <f t="shared" si="24"/>
        <v>0</v>
      </c>
      <c r="P51" s="79">
        <f t="shared" si="25"/>
        <v>87.84</v>
      </c>
      <c r="Q51" s="34">
        <f t="shared" si="26"/>
        <v>0</v>
      </c>
      <c r="R51" s="108">
        <v>0</v>
      </c>
    </row>
    <row r="52" spans="1:27" ht="21" customHeight="1">
      <c r="A52" s="81">
        <v>4</v>
      </c>
      <c r="B52" s="103" t="s">
        <v>156</v>
      </c>
      <c r="C52" s="2">
        <v>260550</v>
      </c>
      <c r="D52" s="2">
        <v>260550</v>
      </c>
      <c r="E52" s="104">
        <f t="shared" si="19"/>
        <v>0</v>
      </c>
      <c r="F52" s="105">
        <v>27653</v>
      </c>
      <c r="G52" s="49">
        <v>0</v>
      </c>
      <c r="H52" s="10">
        <f t="shared" si="20"/>
        <v>0</v>
      </c>
      <c r="I52" s="2">
        <v>260550</v>
      </c>
      <c r="J52" s="106">
        <f t="shared" si="21"/>
        <v>0</v>
      </c>
      <c r="K52" s="105">
        <v>27653</v>
      </c>
      <c r="L52" s="107">
        <f t="shared" si="22"/>
        <v>0</v>
      </c>
      <c r="M52" s="2">
        <v>137.97999999999999</v>
      </c>
      <c r="N52" s="28">
        <f t="shared" si="23"/>
        <v>0</v>
      </c>
      <c r="O52" s="84">
        <f t="shared" si="24"/>
        <v>0</v>
      </c>
      <c r="P52" s="79">
        <f t="shared" si="25"/>
        <v>137.97999999999999</v>
      </c>
      <c r="Q52" s="34">
        <f t="shared" si="26"/>
        <v>0</v>
      </c>
      <c r="R52" s="108">
        <v>0</v>
      </c>
    </row>
    <row r="53" spans="1:27" ht="21" customHeight="1">
      <c r="A53" s="81">
        <v>5</v>
      </c>
      <c r="B53" s="103" t="s">
        <v>157</v>
      </c>
      <c r="C53" s="2">
        <v>0</v>
      </c>
      <c r="D53" s="2">
        <v>0</v>
      </c>
      <c r="E53" s="104">
        <f t="shared" si="19"/>
        <v>0</v>
      </c>
      <c r="F53" s="105">
        <v>0</v>
      </c>
      <c r="G53" s="49">
        <v>0</v>
      </c>
      <c r="H53" s="10">
        <f t="shared" si="20"/>
        <v>0</v>
      </c>
      <c r="I53" s="2">
        <v>0</v>
      </c>
      <c r="J53" s="106">
        <f t="shared" si="21"/>
        <v>0</v>
      </c>
      <c r="K53" s="105">
        <v>0</v>
      </c>
      <c r="L53" s="107">
        <f t="shared" si="22"/>
        <v>0</v>
      </c>
      <c r="M53" s="2">
        <v>0</v>
      </c>
      <c r="N53" s="28">
        <f t="shared" si="23"/>
        <v>0</v>
      </c>
      <c r="O53" s="84">
        <f t="shared" si="24"/>
        <v>0</v>
      </c>
      <c r="P53" s="79">
        <f t="shared" si="25"/>
        <v>0</v>
      </c>
      <c r="Q53" s="34">
        <f t="shared" si="26"/>
        <v>0</v>
      </c>
      <c r="R53" s="108">
        <v>0</v>
      </c>
    </row>
    <row r="54" spans="1:27" ht="21" customHeight="1">
      <c r="A54" s="81">
        <v>6</v>
      </c>
      <c r="B54" s="103" t="s">
        <v>172</v>
      </c>
      <c r="C54" s="2">
        <v>266363</v>
      </c>
      <c r="D54" s="2">
        <v>266363</v>
      </c>
      <c r="E54" s="104">
        <f t="shared" si="19"/>
        <v>0</v>
      </c>
      <c r="F54" s="105">
        <v>26369</v>
      </c>
      <c r="G54" s="49">
        <v>0</v>
      </c>
      <c r="H54" s="10">
        <f t="shared" si="20"/>
        <v>0</v>
      </c>
      <c r="I54" s="2">
        <v>266363</v>
      </c>
      <c r="J54" s="106">
        <f t="shared" si="21"/>
        <v>0</v>
      </c>
      <c r="K54" s="105">
        <v>26369</v>
      </c>
      <c r="L54" s="107">
        <f t="shared" si="22"/>
        <v>0</v>
      </c>
      <c r="M54" s="2">
        <v>110.85</v>
      </c>
      <c r="N54" s="28">
        <f t="shared" si="23"/>
        <v>0</v>
      </c>
      <c r="O54" s="84">
        <f t="shared" si="24"/>
        <v>0</v>
      </c>
      <c r="P54" s="79">
        <f t="shared" si="25"/>
        <v>110.85</v>
      </c>
      <c r="Q54" s="34">
        <f t="shared" si="26"/>
        <v>0</v>
      </c>
      <c r="R54" s="108">
        <v>24</v>
      </c>
    </row>
    <row r="55" spans="1:27" ht="21" customHeight="1">
      <c r="A55" s="81">
        <v>7</v>
      </c>
      <c r="B55" s="103" t="s">
        <v>173</v>
      </c>
      <c r="C55" s="2">
        <v>0</v>
      </c>
      <c r="D55" s="2">
        <v>0</v>
      </c>
      <c r="E55" s="104">
        <f t="shared" si="19"/>
        <v>0</v>
      </c>
      <c r="F55" s="105">
        <v>0</v>
      </c>
      <c r="G55" s="49">
        <v>0</v>
      </c>
      <c r="H55" s="10">
        <f t="shared" si="20"/>
        <v>0</v>
      </c>
      <c r="I55" s="2">
        <v>0</v>
      </c>
      <c r="J55" s="106">
        <f t="shared" si="21"/>
        <v>0</v>
      </c>
      <c r="K55" s="105">
        <v>0</v>
      </c>
      <c r="L55" s="107">
        <f t="shared" si="22"/>
        <v>0</v>
      </c>
      <c r="M55" s="2">
        <v>0</v>
      </c>
      <c r="N55" s="28">
        <f t="shared" si="23"/>
        <v>0</v>
      </c>
      <c r="O55" s="84">
        <f t="shared" si="24"/>
        <v>0</v>
      </c>
      <c r="P55" s="79">
        <f t="shared" si="25"/>
        <v>0</v>
      </c>
      <c r="Q55" s="34">
        <f t="shared" si="26"/>
        <v>0</v>
      </c>
      <c r="R55" s="108">
        <v>0</v>
      </c>
    </row>
    <row r="56" spans="1:27" ht="24" customHeight="1">
      <c r="A56" s="81">
        <v>8</v>
      </c>
      <c r="B56" s="31" t="s">
        <v>53</v>
      </c>
      <c r="C56" s="35">
        <v>334306.5</v>
      </c>
      <c r="D56" s="35">
        <v>334306.5</v>
      </c>
      <c r="E56" s="104">
        <f t="shared" si="19"/>
        <v>0</v>
      </c>
      <c r="F56" s="110">
        <v>29835</v>
      </c>
      <c r="G56" s="111">
        <v>0</v>
      </c>
      <c r="H56" s="10">
        <f t="shared" si="20"/>
        <v>0</v>
      </c>
      <c r="I56" s="35">
        <v>334306.5</v>
      </c>
      <c r="J56" s="106">
        <f t="shared" si="21"/>
        <v>0</v>
      </c>
      <c r="K56" s="110">
        <v>29835</v>
      </c>
      <c r="L56" s="107">
        <f t="shared" si="22"/>
        <v>0</v>
      </c>
      <c r="M56" s="112">
        <v>0</v>
      </c>
      <c r="N56" s="28">
        <f t="shared" si="23"/>
        <v>0</v>
      </c>
      <c r="O56" s="84">
        <f t="shared" si="24"/>
        <v>0</v>
      </c>
      <c r="P56" s="79">
        <f t="shared" si="25"/>
        <v>0</v>
      </c>
      <c r="Q56" s="34">
        <f t="shared" si="26"/>
        <v>0</v>
      </c>
      <c r="R56" s="1">
        <v>0</v>
      </c>
    </row>
    <row r="57" spans="1:27" ht="24" customHeight="1">
      <c r="A57" s="81">
        <v>9</v>
      </c>
      <c r="B57" s="31" t="s">
        <v>54</v>
      </c>
      <c r="C57" s="104">
        <v>291746.5</v>
      </c>
      <c r="D57" s="104">
        <v>291746.5</v>
      </c>
      <c r="E57" s="104">
        <f t="shared" si="19"/>
        <v>0</v>
      </c>
      <c r="F57" s="110">
        <v>27949</v>
      </c>
      <c r="G57" s="111">
        <v>0</v>
      </c>
      <c r="H57" s="10">
        <f t="shared" si="20"/>
        <v>0</v>
      </c>
      <c r="I57" s="104">
        <v>291828.09999999998</v>
      </c>
      <c r="J57" s="106">
        <f>I57-D57</f>
        <v>81.599999999976717</v>
      </c>
      <c r="K57" s="110">
        <v>27967</v>
      </c>
      <c r="L57" s="107">
        <f t="shared" si="22"/>
        <v>18</v>
      </c>
      <c r="M57" s="111">
        <v>117.79</v>
      </c>
      <c r="N57" s="28">
        <f t="shared" si="23"/>
        <v>0.69275829866692173</v>
      </c>
      <c r="O57" s="84">
        <f t="shared" si="24"/>
        <v>81.599999999976717</v>
      </c>
      <c r="P57" s="79">
        <f t="shared" si="25"/>
        <v>117.79</v>
      </c>
      <c r="Q57" s="34">
        <f t="shared" si="26"/>
        <v>0.69275829866692173</v>
      </c>
      <c r="R57" s="1">
        <v>6</v>
      </c>
      <c r="AA57" s="101"/>
    </row>
    <row r="58" spans="1:27" ht="24" customHeight="1">
      <c r="A58" s="81">
        <v>10</v>
      </c>
      <c r="B58" s="31" t="s">
        <v>55</v>
      </c>
      <c r="C58" s="104">
        <v>298907.40000000002</v>
      </c>
      <c r="D58" s="104">
        <v>298907.40000000002</v>
      </c>
      <c r="E58" s="104">
        <f t="shared" si="19"/>
        <v>0</v>
      </c>
      <c r="F58" s="110">
        <v>27086</v>
      </c>
      <c r="G58" s="111">
        <v>0</v>
      </c>
      <c r="H58" s="10">
        <f t="shared" si="20"/>
        <v>0</v>
      </c>
      <c r="I58" s="104">
        <v>298907.40000000002</v>
      </c>
      <c r="J58" s="106">
        <f>I58-D58</f>
        <v>0</v>
      </c>
      <c r="K58" s="110">
        <v>27086</v>
      </c>
      <c r="L58" s="107">
        <f t="shared" si="22"/>
        <v>0</v>
      </c>
      <c r="M58" s="111">
        <v>0</v>
      </c>
      <c r="N58" s="28">
        <f t="shared" si="23"/>
        <v>0</v>
      </c>
      <c r="O58" s="84">
        <f t="shared" si="24"/>
        <v>0</v>
      </c>
      <c r="P58" s="79">
        <f t="shared" si="25"/>
        <v>0</v>
      </c>
      <c r="Q58" s="34">
        <f t="shared" si="26"/>
        <v>0</v>
      </c>
      <c r="R58" s="1">
        <v>0</v>
      </c>
      <c r="AA58" s="101"/>
    </row>
    <row r="59" spans="1:27" ht="24" customHeight="1">
      <c r="A59" s="81">
        <v>11</v>
      </c>
      <c r="B59" s="31" t="s">
        <v>56</v>
      </c>
      <c r="C59" s="104">
        <v>339541.3</v>
      </c>
      <c r="D59" s="104">
        <v>339541.3</v>
      </c>
      <c r="E59" s="104">
        <f t="shared" si="19"/>
        <v>0</v>
      </c>
      <c r="F59" s="110">
        <v>26812</v>
      </c>
      <c r="G59" s="111">
        <v>0</v>
      </c>
      <c r="H59" s="10">
        <f t="shared" si="20"/>
        <v>0</v>
      </c>
      <c r="I59" s="104">
        <v>339579.3</v>
      </c>
      <c r="J59" s="106">
        <f>I59-D59</f>
        <v>38</v>
      </c>
      <c r="K59" s="110">
        <v>26817</v>
      </c>
      <c r="L59" s="107">
        <f t="shared" si="22"/>
        <v>5</v>
      </c>
      <c r="M59" s="111">
        <v>79.97</v>
      </c>
      <c r="N59" s="28">
        <f t="shared" si="23"/>
        <v>0.47517819182193322</v>
      </c>
      <c r="O59" s="84">
        <f t="shared" si="24"/>
        <v>38</v>
      </c>
      <c r="P59" s="79">
        <f t="shared" si="25"/>
        <v>79.97</v>
      </c>
      <c r="Q59" s="34">
        <f t="shared" si="26"/>
        <v>0.47517819182193322</v>
      </c>
      <c r="R59" s="1">
        <v>12</v>
      </c>
      <c r="AA59" s="101"/>
    </row>
    <row r="60" spans="1:27" ht="24" customHeight="1">
      <c r="A60" s="81">
        <v>12</v>
      </c>
      <c r="B60" s="31" t="s">
        <v>57</v>
      </c>
      <c r="C60" s="104">
        <v>342293.6</v>
      </c>
      <c r="D60" s="104">
        <v>342293.6</v>
      </c>
      <c r="E60" s="104">
        <f t="shared" si="19"/>
        <v>0</v>
      </c>
      <c r="F60" s="110">
        <v>26617</v>
      </c>
      <c r="G60" s="111">
        <v>0</v>
      </c>
      <c r="H60" s="10">
        <f t="shared" si="20"/>
        <v>0</v>
      </c>
      <c r="I60" s="104">
        <v>342295.2</v>
      </c>
      <c r="J60" s="106">
        <f>I60-D60</f>
        <v>1.6000000000349246</v>
      </c>
      <c r="K60" s="110">
        <v>26634</v>
      </c>
      <c r="L60" s="107">
        <f t="shared" si="22"/>
        <v>17</v>
      </c>
      <c r="M60" s="111">
        <v>84.13</v>
      </c>
      <c r="N60" s="28">
        <f t="shared" si="23"/>
        <v>1.9018186140911976E-2</v>
      </c>
      <c r="O60" s="84">
        <f t="shared" si="24"/>
        <v>1.6000000000349246</v>
      </c>
      <c r="P60" s="79">
        <f t="shared" si="25"/>
        <v>84.13</v>
      </c>
      <c r="Q60" s="34">
        <f t="shared" si="26"/>
        <v>1.9018186140911976E-2</v>
      </c>
      <c r="R60" s="1">
        <v>8</v>
      </c>
      <c r="AA60" s="101"/>
    </row>
    <row r="61" spans="1:27" ht="24" customHeight="1">
      <c r="A61" s="81">
        <v>13</v>
      </c>
      <c r="B61" s="31" t="s">
        <v>58</v>
      </c>
      <c r="C61" s="35">
        <v>299562.8</v>
      </c>
      <c r="D61" s="35">
        <v>299562.8</v>
      </c>
      <c r="E61" s="104">
        <f t="shared" si="19"/>
        <v>0</v>
      </c>
      <c r="F61" s="110">
        <v>26599.279999999999</v>
      </c>
      <c r="G61" s="111">
        <v>0</v>
      </c>
      <c r="H61" s="10">
        <f t="shared" si="20"/>
        <v>0</v>
      </c>
      <c r="I61" s="35">
        <v>299641.09999999998</v>
      </c>
      <c r="J61" s="106">
        <f t="shared" si="21"/>
        <v>78.299999999988358</v>
      </c>
      <c r="K61" s="110">
        <v>26624</v>
      </c>
      <c r="L61" s="107">
        <f t="shared" si="22"/>
        <v>24.720000000001164</v>
      </c>
      <c r="M61" s="112">
        <v>154.46</v>
      </c>
      <c r="N61" s="28">
        <f>IFERROR(J61/M61,0)</f>
        <v>0.50692735983418591</v>
      </c>
      <c r="O61" s="84">
        <f t="shared" si="24"/>
        <v>78.299999999988358</v>
      </c>
      <c r="P61" s="79">
        <f t="shared" si="25"/>
        <v>154.46</v>
      </c>
      <c r="Q61" s="34">
        <f t="shared" si="26"/>
        <v>0.50692735983418591</v>
      </c>
      <c r="R61" s="1">
        <v>21</v>
      </c>
      <c r="U61" s="113"/>
    </row>
    <row r="62" spans="1:27" ht="24" customHeight="1">
      <c r="A62" s="81">
        <v>14</v>
      </c>
      <c r="B62" s="31" t="s">
        <v>59</v>
      </c>
      <c r="C62" s="35">
        <v>271405.8</v>
      </c>
      <c r="D62" s="35">
        <v>271405.8</v>
      </c>
      <c r="E62" s="104">
        <f t="shared" si="19"/>
        <v>0</v>
      </c>
      <c r="F62" s="110">
        <v>25357.5</v>
      </c>
      <c r="G62" s="111">
        <v>0</v>
      </c>
      <c r="H62" s="10">
        <f t="shared" si="20"/>
        <v>0</v>
      </c>
      <c r="I62" s="35">
        <v>271503</v>
      </c>
      <c r="J62" s="106">
        <f>I62-D62</f>
        <v>97.200000000011642</v>
      </c>
      <c r="K62" s="110">
        <v>25382</v>
      </c>
      <c r="L62" s="107">
        <f t="shared" si="22"/>
        <v>24.5</v>
      </c>
      <c r="M62" s="111">
        <v>147.69999999999999</v>
      </c>
      <c r="N62" s="28">
        <f>IFERROR(J62/M62,0)</f>
        <v>0.65809072444151417</v>
      </c>
      <c r="O62" s="84">
        <f t="shared" si="24"/>
        <v>97.200000000011642</v>
      </c>
      <c r="P62" s="79">
        <f t="shared" si="25"/>
        <v>147.69999999999999</v>
      </c>
      <c r="Q62" s="34">
        <f t="shared" si="26"/>
        <v>0.65809072444151417</v>
      </c>
      <c r="R62" s="1">
        <v>11</v>
      </c>
      <c r="X62" t="s">
        <v>60</v>
      </c>
    </row>
    <row r="63" spans="1:27" ht="24" customHeight="1">
      <c r="A63" s="81">
        <v>15</v>
      </c>
      <c r="B63" s="31" t="s">
        <v>61</v>
      </c>
      <c r="C63" s="104">
        <v>284733.09999999998</v>
      </c>
      <c r="D63" s="104">
        <v>284733.09999999998</v>
      </c>
      <c r="E63" s="104">
        <f t="shared" si="19"/>
        <v>0</v>
      </c>
      <c r="F63" s="110">
        <v>26568</v>
      </c>
      <c r="G63" s="111">
        <v>0</v>
      </c>
      <c r="H63" s="10">
        <f t="shared" si="20"/>
        <v>0</v>
      </c>
      <c r="I63" s="104">
        <v>284733.09999999998</v>
      </c>
      <c r="J63" s="106">
        <f>I63-D63</f>
        <v>0</v>
      </c>
      <c r="K63" s="110">
        <v>26568</v>
      </c>
      <c r="L63" s="107">
        <f t="shared" si="22"/>
        <v>0</v>
      </c>
      <c r="M63" s="112">
        <v>0</v>
      </c>
      <c r="N63" s="28">
        <f t="shared" si="23"/>
        <v>0</v>
      </c>
      <c r="O63" s="84">
        <f t="shared" si="24"/>
        <v>0</v>
      </c>
      <c r="P63" s="79">
        <f t="shared" si="25"/>
        <v>0</v>
      </c>
      <c r="Q63" s="34">
        <f t="shared" si="26"/>
        <v>0</v>
      </c>
      <c r="R63" s="1">
        <v>10</v>
      </c>
    </row>
    <row r="64" spans="1:27" ht="24" customHeight="1">
      <c r="A64" s="81">
        <v>16</v>
      </c>
      <c r="B64" s="31" t="s">
        <v>62</v>
      </c>
      <c r="C64" s="35">
        <v>302852.5</v>
      </c>
      <c r="D64" s="35">
        <v>302852.5</v>
      </c>
      <c r="E64" s="104">
        <f t="shared" si="19"/>
        <v>0</v>
      </c>
      <c r="F64" s="110">
        <v>27212.01</v>
      </c>
      <c r="G64" s="111">
        <v>0</v>
      </c>
      <c r="H64" s="10">
        <f t="shared" si="20"/>
        <v>0</v>
      </c>
      <c r="I64" s="35">
        <v>302940.59999999998</v>
      </c>
      <c r="J64" s="106">
        <f t="shared" si="21"/>
        <v>88.099999999976717</v>
      </c>
      <c r="K64" s="110">
        <v>27250</v>
      </c>
      <c r="L64" s="107">
        <f t="shared" si="22"/>
        <v>37.990000000001601</v>
      </c>
      <c r="M64" s="112">
        <v>151.41</v>
      </c>
      <c r="N64" s="28">
        <f t="shared" si="23"/>
        <v>0.58186381348640592</v>
      </c>
      <c r="O64" s="84">
        <f t="shared" si="24"/>
        <v>88.099999999976717</v>
      </c>
      <c r="P64" s="79">
        <f t="shared" si="25"/>
        <v>151.41</v>
      </c>
      <c r="Q64" s="34">
        <f t="shared" si="26"/>
        <v>0.58186381348640592</v>
      </c>
      <c r="R64" s="1">
        <v>12</v>
      </c>
    </row>
    <row r="65" spans="1:18" ht="24" customHeight="1">
      <c r="A65" s="81">
        <v>17</v>
      </c>
      <c r="B65" s="31" t="s">
        <v>158</v>
      </c>
      <c r="C65" s="17">
        <v>274791</v>
      </c>
      <c r="D65" s="17">
        <v>274791</v>
      </c>
      <c r="E65" s="104">
        <f t="shared" si="19"/>
        <v>0</v>
      </c>
      <c r="F65" s="110">
        <v>25063</v>
      </c>
      <c r="G65" s="111">
        <v>0</v>
      </c>
      <c r="H65" s="10">
        <f t="shared" si="20"/>
        <v>0</v>
      </c>
      <c r="I65" s="17">
        <v>274791</v>
      </c>
      <c r="J65" s="106">
        <f t="shared" si="21"/>
        <v>0</v>
      </c>
      <c r="K65" s="110">
        <v>25063</v>
      </c>
      <c r="L65" s="107">
        <f t="shared" si="22"/>
        <v>0</v>
      </c>
      <c r="M65" s="111">
        <v>0</v>
      </c>
      <c r="N65" s="28">
        <f t="shared" si="23"/>
        <v>0</v>
      </c>
      <c r="O65" s="84">
        <f t="shared" si="24"/>
        <v>0</v>
      </c>
      <c r="P65" s="79">
        <f t="shared" si="25"/>
        <v>0</v>
      </c>
      <c r="Q65" s="34">
        <f t="shared" si="26"/>
        <v>0</v>
      </c>
      <c r="R65" s="1">
        <v>0</v>
      </c>
    </row>
    <row r="66" spans="1:18" ht="24" customHeight="1">
      <c r="A66" s="81">
        <v>18</v>
      </c>
      <c r="B66" s="31" t="s">
        <v>159</v>
      </c>
      <c r="C66" s="17">
        <v>277907</v>
      </c>
      <c r="D66" s="17">
        <v>277907</v>
      </c>
      <c r="E66" s="104">
        <f t="shared" si="19"/>
        <v>0</v>
      </c>
      <c r="F66" s="110">
        <v>25896</v>
      </c>
      <c r="G66" s="111">
        <v>0</v>
      </c>
      <c r="H66" s="10">
        <f t="shared" si="20"/>
        <v>0</v>
      </c>
      <c r="I66" s="17">
        <v>277907</v>
      </c>
      <c r="J66" s="106">
        <f t="shared" si="21"/>
        <v>0</v>
      </c>
      <c r="K66" s="110">
        <v>25896</v>
      </c>
      <c r="L66" s="107">
        <f t="shared" si="22"/>
        <v>0</v>
      </c>
      <c r="M66" s="111">
        <v>0</v>
      </c>
      <c r="N66" s="28">
        <f t="shared" si="23"/>
        <v>0</v>
      </c>
      <c r="O66" s="84">
        <f t="shared" si="24"/>
        <v>0</v>
      </c>
      <c r="P66" s="79">
        <f t="shared" si="25"/>
        <v>0</v>
      </c>
      <c r="Q66" s="34">
        <f t="shared" si="26"/>
        <v>0</v>
      </c>
      <c r="R66" s="1">
        <v>0</v>
      </c>
    </row>
    <row r="67" spans="1:18" ht="24" customHeight="1">
      <c r="A67" s="81">
        <v>19</v>
      </c>
      <c r="B67" s="31" t="s">
        <v>160</v>
      </c>
      <c r="C67" s="17">
        <v>304994</v>
      </c>
      <c r="D67" s="17">
        <v>304994</v>
      </c>
      <c r="E67" s="104">
        <f t="shared" si="19"/>
        <v>0</v>
      </c>
      <c r="F67" s="110">
        <v>25082</v>
      </c>
      <c r="G67" s="111">
        <v>0</v>
      </c>
      <c r="H67" s="10">
        <f t="shared" si="20"/>
        <v>0</v>
      </c>
      <c r="I67" s="17">
        <v>305133</v>
      </c>
      <c r="J67" s="106">
        <f t="shared" si="21"/>
        <v>139</v>
      </c>
      <c r="K67" s="110">
        <v>25104</v>
      </c>
      <c r="L67" s="107">
        <f t="shared" si="22"/>
        <v>22</v>
      </c>
      <c r="M67" s="111">
        <v>197.67</v>
      </c>
      <c r="N67" s="28">
        <f t="shared" si="23"/>
        <v>0.70319218900187186</v>
      </c>
      <c r="O67" s="84">
        <f t="shared" si="24"/>
        <v>139</v>
      </c>
      <c r="P67" s="79">
        <f t="shared" si="25"/>
        <v>197.67</v>
      </c>
      <c r="Q67" s="34">
        <f t="shared" si="26"/>
        <v>0.70319218900187186</v>
      </c>
      <c r="R67" s="1">
        <v>25</v>
      </c>
    </row>
    <row r="68" spans="1:18" ht="24" customHeight="1">
      <c r="A68" s="81">
        <v>20</v>
      </c>
      <c r="B68" s="31" t="s">
        <v>161</v>
      </c>
      <c r="C68" s="17">
        <v>302969</v>
      </c>
      <c r="D68" s="17">
        <v>302969</v>
      </c>
      <c r="E68" s="104">
        <f t="shared" si="19"/>
        <v>0</v>
      </c>
      <c r="F68" s="110">
        <v>25305</v>
      </c>
      <c r="G68" s="116">
        <v>0</v>
      </c>
      <c r="H68" s="10">
        <f t="shared" si="20"/>
        <v>0</v>
      </c>
      <c r="I68" s="17">
        <v>303068</v>
      </c>
      <c r="J68" s="106">
        <f t="shared" si="21"/>
        <v>99</v>
      </c>
      <c r="K68" s="110">
        <v>25321</v>
      </c>
      <c r="L68" s="107">
        <f t="shared" si="22"/>
        <v>16</v>
      </c>
      <c r="M68" s="111">
        <v>146.65</v>
      </c>
      <c r="N68" s="28">
        <f t="shared" si="23"/>
        <v>0.67507671326287078</v>
      </c>
      <c r="O68" s="84">
        <f t="shared" si="24"/>
        <v>99</v>
      </c>
      <c r="P68" s="79">
        <f t="shared" si="25"/>
        <v>146.65</v>
      </c>
      <c r="Q68" s="34">
        <f t="shared" si="26"/>
        <v>0.67507671326287078</v>
      </c>
      <c r="R68" s="1">
        <v>20</v>
      </c>
    </row>
    <row r="69" spans="1:18" ht="24" customHeight="1">
      <c r="A69" s="81">
        <v>21</v>
      </c>
      <c r="B69" s="31" t="s">
        <v>162</v>
      </c>
      <c r="C69" s="17">
        <v>319817</v>
      </c>
      <c r="D69" s="17">
        <v>319817</v>
      </c>
      <c r="E69" s="104">
        <f t="shared" si="19"/>
        <v>0</v>
      </c>
      <c r="F69" s="110">
        <v>26510</v>
      </c>
      <c r="G69" s="111">
        <v>0</v>
      </c>
      <c r="H69" s="10">
        <f t="shared" si="20"/>
        <v>0</v>
      </c>
      <c r="I69" s="17">
        <v>319927</v>
      </c>
      <c r="J69" s="106">
        <f t="shared" si="21"/>
        <v>110</v>
      </c>
      <c r="K69" s="110">
        <v>26510</v>
      </c>
      <c r="L69" s="107">
        <f t="shared" si="22"/>
        <v>0</v>
      </c>
      <c r="M69" s="111">
        <v>151.69999999999999</v>
      </c>
      <c r="N69" s="28">
        <f t="shared" si="23"/>
        <v>0.72511535926170079</v>
      </c>
      <c r="O69" s="84">
        <f t="shared" si="24"/>
        <v>110</v>
      </c>
      <c r="P69" s="79">
        <f t="shared" si="25"/>
        <v>151.69999999999999</v>
      </c>
      <c r="Q69" s="34">
        <f t="shared" si="26"/>
        <v>0.72511535926170079</v>
      </c>
      <c r="R69" s="1">
        <v>20</v>
      </c>
    </row>
    <row r="70" spans="1:18" ht="24" customHeight="1">
      <c r="A70" s="81">
        <v>22</v>
      </c>
      <c r="B70" s="31" t="s">
        <v>68</v>
      </c>
      <c r="C70" s="17">
        <v>275477.90000000002</v>
      </c>
      <c r="D70" s="17">
        <v>275477.90000000002</v>
      </c>
      <c r="E70" s="104">
        <f t="shared" si="19"/>
        <v>0</v>
      </c>
      <c r="F70" s="110">
        <v>22344</v>
      </c>
      <c r="G70" s="111">
        <v>0</v>
      </c>
      <c r="H70" s="10">
        <f t="shared" si="20"/>
        <v>0</v>
      </c>
      <c r="I70" s="17">
        <v>275588.2</v>
      </c>
      <c r="J70" s="106">
        <f t="shared" si="21"/>
        <v>110.29999999998836</v>
      </c>
      <c r="K70" s="110">
        <v>22364</v>
      </c>
      <c r="L70" s="107">
        <f t="shared" si="22"/>
        <v>20</v>
      </c>
      <c r="M70" s="112">
        <v>189.03</v>
      </c>
      <c r="N70" s="28">
        <f t="shared" si="23"/>
        <v>0.58350526371469269</v>
      </c>
      <c r="O70" s="84">
        <f t="shared" si="24"/>
        <v>110.29999999998836</v>
      </c>
      <c r="P70" s="79">
        <f t="shared" si="25"/>
        <v>189.03</v>
      </c>
      <c r="Q70" s="34">
        <f t="shared" si="26"/>
        <v>0.58350526371469269</v>
      </c>
      <c r="R70" s="1">
        <v>24</v>
      </c>
    </row>
    <row r="71" spans="1:18" ht="24" customHeight="1">
      <c r="A71" s="81">
        <v>23</v>
      </c>
      <c r="B71" s="31" t="s">
        <v>69</v>
      </c>
      <c r="C71" s="17">
        <v>257585.8</v>
      </c>
      <c r="D71" s="17">
        <v>257585.8</v>
      </c>
      <c r="E71" s="104">
        <f t="shared" si="19"/>
        <v>0</v>
      </c>
      <c r="F71" s="110">
        <v>19725</v>
      </c>
      <c r="G71" s="111">
        <v>0</v>
      </c>
      <c r="H71" s="10">
        <f t="shared" si="20"/>
        <v>0</v>
      </c>
      <c r="I71" s="17">
        <v>257719.1</v>
      </c>
      <c r="J71" s="106">
        <f t="shared" si="21"/>
        <v>133.30000000001746</v>
      </c>
      <c r="K71" s="110">
        <v>19746</v>
      </c>
      <c r="L71" s="107">
        <f t="shared" si="22"/>
        <v>21</v>
      </c>
      <c r="M71" s="112">
        <v>151.30000000000001</v>
      </c>
      <c r="N71" s="28">
        <f t="shared" si="23"/>
        <v>0.88103106411115306</v>
      </c>
      <c r="O71" s="84">
        <f t="shared" si="24"/>
        <v>133.30000000001746</v>
      </c>
      <c r="P71" s="79">
        <f t="shared" si="25"/>
        <v>151.30000000000001</v>
      </c>
      <c r="Q71" s="34">
        <f t="shared" si="26"/>
        <v>0.88103106411115306</v>
      </c>
      <c r="R71" s="1">
        <v>10</v>
      </c>
    </row>
    <row r="72" spans="1:18" ht="24" customHeight="1">
      <c r="A72" s="81">
        <v>24</v>
      </c>
      <c r="B72" s="31" t="s">
        <v>70</v>
      </c>
      <c r="C72" s="104">
        <v>302130.90000000002</v>
      </c>
      <c r="D72" s="104">
        <v>302130.90000000002</v>
      </c>
      <c r="E72" s="104">
        <f t="shared" si="19"/>
        <v>0</v>
      </c>
      <c r="F72" s="110">
        <v>4897</v>
      </c>
      <c r="G72" s="111">
        <v>0</v>
      </c>
      <c r="H72" s="10">
        <f t="shared" si="20"/>
        <v>0</v>
      </c>
      <c r="I72" s="104">
        <v>302223.7</v>
      </c>
      <c r="J72" s="106">
        <f t="shared" si="21"/>
        <v>92.799999999988358</v>
      </c>
      <c r="K72" s="110">
        <v>4923</v>
      </c>
      <c r="L72" s="107">
        <f t="shared" si="22"/>
        <v>26</v>
      </c>
      <c r="M72" s="111">
        <v>162.54</v>
      </c>
      <c r="N72" s="28">
        <f t="shared" si="23"/>
        <v>0.5709363848898017</v>
      </c>
      <c r="O72" s="84">
        <f t="shared" si="24"/>
        <v>92.799999999988358</v>
      </c>
      <c r="P72" s="79">
        <f t="shared" si="25"/>
        <v>162.54</v>
      </c>
      <c r="Q72" s="34">
        <f t="shared" si="26"/>
        <v>0.5709363848898017</v>
      </c>
      <c r="R72" s="1">
        <v>10</v>
      </c>
    </row>
    <row r="73" spans="1:18" ht="24" customHeight="1">
      <c r="A73" s="81">
        <v>25</v>
      </c>
      <c r="B73" s="31" t="s">
        <v>71</v>
      </c>
      <c r="C73" s="35">
        <v>312119.8</v>
      </c>
      <c r="D73" s="35">
        <v>312119.8</v>
      </c>
      <c r="E73" s="104">
        <f t="shared" si="19"/>
        <v>0</v>
      </c>
      <c r="F73" s="110">
        <v>22791</v>
      </c>
      <c r="G73" s="111">
        <v>0</v>
      </c>
      <c r="H73" s="10">
        <f t="shared" si="20"/>
        <v>0</v>
      </c>
      <c r="I73" s="35">
        <v>312223.09999999998</v>
      </c>
      <c r="J73" s="106">
        <f t="shared" si="21"/>
        <v>103.29999999998836</v>
      </c>
      <c r="K73" s="110">
        <v>22816</v>
      </c>
      <c r="L73" s="107">
        <f t="shared" si="22"/>
        <v>25</v>
      </c>
      <c r="M73" s="111">
        <v>206.06</v>
      </c>
      <c r="N73" s="28">
        <f>IFERROR(J73/M73,0)</f>
        <v>0.50131029797140814</v>
      </c>
      <c r="O73" s="84">
        <f t="shared" si="24"/>
        <v>103.29999999998836</v>
      </c>
      <c r="P73" s="79">
        <f>G73+M73</f>
        <v>206.06</v>
      </c>
      <c r="Q73" s="34">
        <f t="shared" si="26"/>
        <v>0.50131029797140814</v>
      </c>
      <c r="R73" s="1">
        <v>27</v>
      </c>
    </row>
    <row r="74" spans="1:18" ht="24" customHeight="1">
      <c r="A74" s="81">
        <v>26</v>
      </c>
      <c r="B74" s="31" t="s">
        <v>72</v>
      </c>
      <c r="C74" s="35">
        <v>282871.3</v>
      </c>
      <c r="D74" s="35">
        <v>282871.3</v>
      </c>
      <c r="E74" s="104">
        <f t="shared" si="19"/>
        <v>0</v>
      </c>
      <c r="F74" s="110">
        <v>20422</v>
      </c>
      <c r="G74" s="111">
        <v>0</v>
      </c>
      <c r="H74" s="10">
        <f t="shared" si="20"/>
        <v>0</v>
      </c>
      <c r="I74" s="35">
        <v>282894.90000000002</v>
      </c>
      <c r="J74" s="106">
        <f t="shared" si="21"/>
        <v>23.600000000034925</v>
      </c>
      <c r="K74" s="110">
        <v>20428</v>
      </c>
      <c r="L74" s="107">
        <f t="shared" si="22"/>
        <v>6</v>
      </c>
      <c r="M74" s="112">
        <v>58.45</v>
      </c>
      <c r="N74" s="28">
        <f t="shared" si="23"/>
        <v>0.40376390077048629</v>
      </c>
      <c r="O74" s="84">
        <f t="shared" si="24"/>
        <v>23.600000000034925</v>
      </c>
      <c r="P74" s="79">
        <f t="shared" si="25"/>
        <v>58.45</v>
      </c>
      <c r="Q74" s="34">
        <f t="shared" si="26"/>
        <v>0.40376390077048629</v>
      </c>
      <c r="R74" s="1">
        <v>8</v>
      </c>
    </row>
    <row r="75" spans="1:18" ht="24" customHeight="1">
      <c r="A75" s="81">
        <v>27</v>
      </c>
      <c r="B75" s="31" t="s">
        <v>73</v>
      </c>
      <c r="C75" s="104">
        <v>310561</v>
      </c>
      <c r="D75" s="104">
        <v>310561</v>
      </c>
      <c r="E75" s="104">
        <f t="shared" si="19"/>
        <v>0</v>
      </c>
      <c r="F75" s="110">
        <v>22515</v>
      </c>
      <c r="G75" s="111">
        <v>0</v>
      </c>
      <c r="H75" s="10">
        <f t="shared" si="20"/>
        <v>0</v>
      </c>
      <c r="I75" s="104">
        <v>310675.8</v>
      </c>
      <c r="J75" s="106">
        <f t="shared" si="21"/>
        <v>114.79999999998836</v>
      </c>
      <c r="K75" s="110">
        <v>22538</v>
      </c>
      <c r="L75" s="107">
        <f t="shared" si="22"/>
        <v>23</v>
      </c>
      <c r="M75" s="112">
        <v>179.79</v>
      </c>
      <c r="N75" s="28">
        <f t="shared" si="23"/>
        <v>0.63852272095215734</v>
      </c>
      <c r="O75" s="84">
        <f t="shared" si="24"/>
        <v>114.79999999998836</v>
      </c>
      <c r="P75" s="79">
        <f t="shared" si="25"/>
        <v>179.79</v>
      </c>
      <c r="Q75" s="34">
        <f t="shared" si="26"/>
        <v>0.63852272095215734</v>
      </c>
      <c r="R75" s="1">
        <v>21</v>
      </c>
    </row>
    <row r="76" spans="1:18" ht="24" customHeight="1">
      <c r="A76" s="81">
        <v>28</v>
      </c>
      <c r="B76" s="31" t="s">
        <v>74</v>
      </c>
      <c r="C76" s="35">
        <v>280947.59999999998</v>
      </c>
      <c r="D76" s="35">
        <v>280947.59999999998</v>
      </c>
      <c r="E76" s="104">
        <f t="shared" si="19"/>
        <v>0</v>
      </c>
      <c r="F76" s="110">
        <v>4047</v>
      </c>
      <c r="G76" s="111">
        <v>0</v>
      </c>
      <c r="H76" s="10">
        <f t="shared" si="20"/>
        <v>0</v>
      </c>
      <c r="I76" s="35">
        <v>281093.7</v>
      </c>
      <c r="J76" s="106">
        <f t="shared" si="21"/>
        <v>146.10000000003492</v>
      </c>
      <c r="K76" s="110">
        <v>4070</v>
      </c>
      <c r="L76" s="107">
        <f>K76-F76</f>
        <v>23</v>
      </c>
      <c r="M76" s="111">
        <v>222.98</v>
      </c>
      <c r="N76" s="28">
        <f t="shared" si="23"/>
        <v>0.65521571441400539</v>
      </c>
      <c r="O76" s="84">
        <f t="shared" si="24"/>
        <v>146.10000000003492</v>
      </c>
      <c r="P76" s="79">
        <f t="shared" si="25"/>
        <v>222.98</v>
      </c>
      <c r="Q76" s="34">
        <f t="shared" si="26"/>
        <v>0.65521571441400539</v>
      </c>
      <c r="R76" s="1">
        <v>22</v>
      </c>
    </row>
    <row r="77" spans="1:18" ht="24" customHeight="1">
      <c r="A77" s="81">
        <v>29</v>
      </c>
      <c r="B77" s="31" t="s">
        <v>75</v>
      </c>
      <c r="C77" s="104">
        <v>298676.7</v>
      </c>
      <c r="D77" s="104">
        <v>298676.7</v>
      </c>
      <c r="E77" s="104">
        <f t="shared" si="19"/>
        <v>0</v>
      </c>
      <c r="F77" s="110">
        <v>21467</v>
      </c>
      <c r="G77" s="111">
        <v>0</v>
      </c>
      <c r="H77" s="10">
        <f t="shared" si="20"/>
        <v>0</v>
      </c>
      <c r="I77" s="104">
        <v>298809.3</v>
      </c>
      <c r="J77" s="106">
        <f t="shared" si="21"/>
        <v>132.59999999997672</v>
      </c>
      <c r="K77" s="110">
        <v>21487</v>
      </c>
      <c r="L77" s="107">
        <f t="shared" si="22"/>
        <v>20</v>
      </c>
      <c r="M77" s="112">
        <v>181.22</v>
      </c>
      <c r="N77" s="28">
        <f t="shared" si="23"/>
        <v>0.73170731707304226</v>
      </c>
      <c r="O77" s="84">
        <f t="shared" si="24"/>
        <v>132.59999999997672</v>
      </c>
      <c r="P77" s="79">
        <f t="shared" si="25"/>
        <v>181.22</v>
      </c>
      <c r="Q77" s="34">
        <f t="shared" si="26"/>
        <v>0.73170731707304226</v>
      </c>
      <c r="R77" s="1">
        <v>17</v>
      </c>
    </row>
    <row r="78" spans="1:18" ht="24" customHeight="1">
      <c r="A78" s="81">
        <v>30</v>
      </c>
      <c r="B78" s="31" t="s">
        <v>76</v>
      </c>
      <c r="C78" s="104">
        <v>263594.40000000002</v>
      </c>
      <c r="D78" s="104">
        <v>263594.40000000002</v>
      </c>
      <c r="E78" s="104">
        <f t="shared" si="19"/>
        <v>0</v>
      </c>
      <c r="F78" s="110">
        <v>19413</v>
      </c>
      <c r="G78" s="111">
        <v>0</v>
      </c>
      <c r="H78" s="10">
        <f t="shared" si="20"/>
        <v>0</v>
      </c>
      <c r="I78" s="104">
        <v>263667.3</v>
      </c>
      <c r="J78" s="106">
        <f t="shared" si="21"/>
        <v>72.899999999965075</v>
      </c>
      <c r="K78" s="110">
        <v>19434</v>
      </c>
      <c r="L78" s="107">
        <f t="shared" si="22"/>
        <v>21</v>
      </c>
      <c r="M78" s="111">
        <v>126.3</v>
      </c>
      <c r="N78" s="28">
        <f t="shared" si="23"/>
        <v>0.57719714964342894</v>
      </c>
      <c r="O78" s="84">
        <f t="shared" si="24"/>
        <v>72.899999999965075</v>
      </c>
      <c r="P78" s="79">
        <f t="shared" si="25"/>
        <v>126.3</v>
      </c>
      <c r="Q78" s="34">
        <f t="shared" si="26"/>
        <v>0.57719714964342894</v>
      </c>
      <c r="R78" s="1">
        <v>22</v>
      </c>
    </row>
    <row r="79" spans="1:18" ht="24" customHeight="1">
      <c r="A79" s="81">
        <v>31</v>
      </c>
      <c r="B79" s="31" t="s">
        <v>77</v>
      </c>
      <c r="C79" s="83">
        <v>261723.3</v>
      </c>
      <c r="D79" s="83">
        <v>261723.3</v>
      </c>
      <c r="E79" s="104">
        <f t="shared" si="19"/>
        <v>0</v>
      </c>
      <c r="F79" s="110">
        <v>19131</v>
      </c>
      <c r="G79" s="111">
        <v>0</v>
      </c>
      <c r="H79" s="10">
        <f t="shared" si="20"/>
        <v>0</v>
      </c>
      <c r="I79" s="83">
        <v>261761</v>
      </c>
      <c r="J79" s="106">
        <f t="shared" si="21"/>
        <v>37.700000000011642</v>
      </c>
      <c r="K79" s="110">
        <v>19139</v>
      </c>
      <c r="L79" s="107">
        <f>K79-F79</f>
        <v>8</v>
      </c>
      <c r="M79" s="111">
        <v>87.55</v>
      </c>
      <c r="N79" s="28">
        <f t="shared" si="23"/>
        <v>0.43061107938334259</v>
      </c>
      <c r="O79" s="84">
        <f t="shared" si="24"/>
        <v>37.700000000011642</v>
      </c>
      <c r="P79" s="79">
        <f t="shared" si="25"/>
        <v>87.55</v>
      </c>
      <c r="Q79" s="34">
        <f t="shared" si="26"/>
        <v>0.43061107938334259</v>
      </c>
      <c r="R79" s="1">
        <v>11</v>
      </c>
    </row>
    <row r="80" spans="1:18" ht="24" customHeight="1">
      <c r="A80" s="81">
        <v>32</v>
      </c>
      <c r="B80" s="31" t="s">
        <v>78</v>
      </c>
      <c r="C80" s="104">
        <v>287364.2</v>
      </c>
      <c r="D80" s="104">
        <v>287364.2</v>
      </c>
      <c r="E80" s="104">
        <f t="shared" si="19"/>
        <v>0</v>
      </c>
      <c r="F80" s="110">
        <v>20701</v>
      </c>
      <c r="G80" s="111">
        <v>0</v>
      </c>
      <c r="H80" s="10">
        <f t="shared" si="20"/>
        <v>0</v>
      </c>
      <c r="I80" s="104">
        <v>287496.2</v>
      </c>
      <c r="J80" s="106">
        <f t="shared" si="21"/>
        <v>132</v>
      </c>
      <c r="K80" s="110">
        <v>20728</v>
      </c>
      <c r="L80" s="107">
        <f t="shared" si="22"/>
        <v>27</v>
      </c>
      <c r="M80" s="111">
        <v>225.04</v>
      </c>
      <c r="N80" s="28">
        <f t="shared" si="23"/>
        <v>0.58656238890863843</v>
      </c>
      <c r="O80" s="84">
        <f t="shared" si="24"/>
        <v>132</v>
      </c>
      <c r="P80" s="79">
        <f t="shared" si="25"/>
        <v>225.04</v>
      </c>
      <c r="Q80" s="34">
        <f t="shared" si="26"/>
        <v>0.58656238890863843</v>
      </c>
      <c r="R80" s="1">
        <v>27</v>
      </c>
    </row>
    <row r="81" spans="1:19" ht="24" customHeight="1">
      <c r="A81" s="81">
        <v>33</v>
      </c>
      <c r="B81" s="31" t="s">
        <v>79</v>
      </c>
      <c r="C81" s="104">
        <v>302181.2</v>
      </c>
      <c r="D81" s="104">
        <v>302181.2</v>
      </c>
      <c r="E81" s="104">
        <f t="shared" si="19"/>
        <v>0</v>
      </c>
      <c r="F81" s="110">
        <v>21434</v>
      </c>
      <c r="G81" s="111">
        <v>0</v>
      </c>
      <c r="H81" s="10">
        <f t="shared" si="20"/>
        <v>0</v>
      </c>
      <c r="I81" s="104">
        <v>302303.5</v>
      </c>
      <c r="J81" s="106">
        <f t="shared" si="21"/>
        <v>122.29999999998836</v>
      </c>
      <c r="K81" s="110">
        <v>21461</v>
      </c>
      <c r="L81" s="107">
        <f t="shared" si="22"/>
        <v>27</v>
      </c>
      <c r="M81" s="111">
        <v>189.36</v>
      </c>
      <c r="N81" s="28">
        <f t="shared" si="23"/>
        <v>0.64585973806499974</v>
      </c>
      <c r="O81" s="84">
        <f t="shared" si="24"/>
        <v>122.29999999998836</v>
      </c>
      <c r="P81" s="79">
        <f t="shared" si="25"/>
        <v>189.36</v>
      </c>
      <c r="Q81" s="34">
        <f t="shared" si="26"/>
        <v>0.64585973806499974</v>
      </c>
      <c r="R81" s="1">
        <v>36</v>
      </c>
    </row>
    <row r="82" spans="1:19" ht="24" customHeight="1">
      <c r="A82" s="81">
        <v>34</v>
      </c>
      <c r="B82" s="31" t="s">
        <v>163</v>
      </c>
      <c r="C82" s="104">
        <v>243134.9</v>
      </c>
      <c r="D82" s="104">
        <v>243134.9</v>
      </c>
      <c r="E82" s="104">
        <f t="shared" si="19"/>
        <v>0</v>
      </c>
      <c r="F82" s="110">
        <v>18126</v>
      </c>
      <c r="G82" s="111">
        <v>0</v>
      </c>
      <c r="H82" s="10">
        <f t="shared" si="20"/>
        <v>0</v>
      </c>
      <c r="I82" s="104">
        <v>243244.1</v>
      </c>
      <c r="J82" s="106">
        <f t="shared" si="21"/>
        <v>109.20000000001164</v>
      </c>
      <c r="K82" s="110">
        <v>18152</v>
      </c>
      <c r="L82" s="107">
        <f t="shared" si="22"/>
        <v>26</v>
      </c>
      <c r="M82" s="111">
        <v>174.19</v>
      </c>
      <c r="N82" s="28">
        <f t="shared" si="23"/>
        <v>0.6269016591079376</v>
      </c>
      <c r="O82" s="84">
        <f t="shared" si="24"/>
        <v>109.20000000001164</v>
      </c>
      <c r="P82" s="79">
        <f t="shared" si="25"/>
        <v>174.19</v>
      </c>
      <c r="Q82" s="34">
        <f t="shared" si="26"/>
        <v>0.6269016591079376</v>
      </c>
      <c r="R82" s="1">
        <v>10</v>
      </c>
    </row>
    <row r="83" spans="1:19" ht="24" customHeight="1">
      <c r="A83" s="81">
        <v>35</v>
      </c>
      <c r="B83" s="31" t="s">
        <v>164</v>
      </c>
      <c r="C83" s="104">
        <v>242568.7</v>
      </c>
      <c r="D83" s="104">
        <v>242568.7</v>
      </c>
      <c r="E83" s="104">
        <f t="shared" si="19"/>
        <v>0</v>
      </c>
      <c r="F83" s="110">
        <v>18093</v>
      </c>
      <c r="G83" s="111">
        <v>0</v>
      </c>
      <c r="H83" s="10">
        <f t="shared" si="20"/>
        <v>0</v>
      </c>
      <c r="I83" s="104">
        <v>242650.3</v>
      </c>
      <c r="J83" s="106">
        <f t="shared" si="21"/>
        <v>81.599999999976717</v>
      </c>
      <c r="K83" s="110">
        <v>18114</v>
      </c>
      <c r="L83" s="107">
        <f t="shared" si="22"/>
        <v>21</v>
      </c>
      <c r="M83" s="111">
        <v>129.25</v>
      </c>
      <c r="N83" s="28">
        <f t="shared" si="23"/>
        <v>0.63133462282380437</v>
      </c>
      <c r="O83" s="84">
        <f t="shared" si="24"/>
        <v>81.599999999976717</v>
      </c>
      <c r="P83" s="79">
        <f t="shared" si="25"/>
        <v>129.25</v>
      </c>
      <c r="Q83" s="34">
        <f t="shared" si="26"/>
        <v>0.63133462282380437</v>
      </c>
      <c r="R83" s="1">
        <v>26</v>
      </c>
    </row>
    <row r="84" spans="1:19" ht="24" customHeight="1">
      <c r="A84" s="81">
        <v>36</v>
      </c>
      <c r="B84" s="31" t="s">
        <v>165</v>
      </c>
      <c r="C84" s="104">
        <v>249389.7</v>
      </c>
      <c r="D84" s="104">
        <v>249389.7</v>
      </c>
      <c r="E84" s="104">
        <f t="shared" si="19"/>
        <v>0</v>
      </c>
      <c r="F84" s="110">
        <v>17720</v>
      </c>
      <c r="G84" s="111">
        <v>0</v>
      </c>
      <c r="H84" s="10">
        <f t="shared" si="20"/>
        <v>0</v>
      </c>
      <c r="I84" s="104">
        <v>249470</v>
      </c>
      <c r="J84" s="106">
        <f t="shared" si="21"/>
        <v>80.299999999988358</v>
      </c>
      <c r="K84" s="110">
        <v>17744</v>
      </c>
      <c r="L84" s="107">
        <f t="shared" si="22"/>
        <v>24</v>
      </c>
      <c r="M84" s="112">
        <v>139.63999999999999</v>
      </c>
      <c r="N84" s="28">
        <f t="shared" si="23"/>
        <v>0.57505012890280982</v>
      </c>
      <c r="O84" s="84">
        <f t="shared" si="24"/>
        <v>80.299999999988358</v>
      </c>
      <c r="P84" s="79">
        <f t="shared" si="25"/>
        <v>139.63999999999999</v>
      </c>
      <c r="Q84" s="34">
        <f t="shared" si="26"/>
        <v>0.57505012890280982</v>
      </c>
      <c r="R84" s="1">
        <v>23</v>
      </c>
    </row>
    <row r="85" spans="1:19" ht="24" customHeight="1">
      <c r="A85" s="81">
        <v>37</v>
      </c>
      <c r="B85" s="31" t="s">
        <v>83</v>
      </c>
      <c r="C85" s="104">
        <v>258181.9</v>
      </c>
      <c r="D85" s="104">
        <v>258181.9</v>
      </c>
      <c r="E85" s="104">
        <f t="shared" si="19"/>
        <v>0</v>
      </c>
      <c r="F85" s="110">
        <v>18285</v>
      </c>
      <c r="G85" s="111">
        <v>0</v>
      </c>
      <c r="H85" s="10">
        <f t="shared" si="20"/>
        <v>0</v>
      </c>
      <c r="I85" s="104">
        <v>258181.9</v>
      </c>
      <c r="J85" s="106">
        <f t="shared" si="21"/>
        <v>0</v>
      </c>
      <c r="K85" s="110">
        <v>18285</v>
      </c>
      <c r="L85" s="107">
        <f t="shared" si="22"/>
        <v>0</v>
      </c>
      <c r="M85" s="112">
        <v>0</v>
      </c>
      <c r="N85" s="28">
        <f t="shared" si="23"/>
        <v>0</v>
      </c>
      <c r="O85" s="84">
        <f t="shared" si="24"/>
        <v>0</v>
      </c>
      <c r="P85" s="79">
        <f t="shared" si="25"/>
        <v>0</v>
      </c>
      <c r="Q85" s="34">
        <f t="shared" si="26"/>
        <v>0</v>
      </c>
      <c r="R85" s="1">
        <v>9</v>
      </c>
    </row>
    <row r="86" spans="1:19" ht="24" customHeight="1">
      <c r="A86" s="81">
        <v>38</v>
      </c>
      <c r="B86" s="31" t="s">
        <v>84</v>
      </c>
      <c r="C86" s="104">
        <v>269216.59999999998</v>
      </c>
      <c r="D86" s="104">
        <v>269216.59999999998</v>
      </c>
      <c r="E86" s="104">
        <f t="shared" si="19"/>
        <v>0</v>
      </c>
      <c r="F86" s="110">
        <v>17611</v>
      </c>
      <c r="G86" s="111">
        <v>0</v>
      </c>
      <c r="H86" s="10">
        <f t="shared" si="20"/>
        <v>0</v>
      </c>
      <c r="I86" s="104">
        <v>269305.5</v>
      </c>
      <c r="J86" s="106">
        <f t="shared" si="21"/>
        <v>88.900000000023283</v>
      </c>
      <c r="K86" s="110">
        <v>17635</v>
      </c>
      <c r="L86" s="107">
        <f t="shared" si="22"/>
        <v>24</v>
      </c>
      <c r="M86" s="112">
        <v>158.34</v>
      </c>
      <c r="N86" s="28">
        <f t="shared" si="23"/>
        <v>0.56145004420881195</v>
      </c>
      <c r="O86" s="84">
        <f t="shared" si="24"/>
        <v>88.900000000023283</v>
      </c>
      <c r="P86" s="79">
        <f t="shared" si="25"/>
        <v>158.34</v>
      </c>
      <c r="Q86" s="34">
        <f t="shared" si="26"/>
        <v>0.56145004420881195</v>
      </c>
      <c r="R86" s="1">
        <v>24</v>
      </c>
    </row>
    <row r="87" spans="1:19" ht="24" customHeight="1">
      <c r="A87" s="81">
        <v>39</v>
      </c>
      <c r="B87" s="31" t="s">
        <v>85</v>
      </c>
      <c r="C87" s="35">
        <v>277369.59999999998</v>
      </c>
      <c r="D87" s="35">
        <v>277369.59999999998</v>
      </c>
      <c r="E87" s="104">
        <f t="shared" si="19"/>
        <v>0</v>
      </c>
      <c r="F87" s="110">
        <v>19532</v>
      </c>
      <c r="G87" s="111">
        <v>0</v>
      </c>
      <c r="H87" s="10">
        <f t="shared" si="20"/>
        <v>0</v>
      </c>
      <c r="I87" s="35">
        <v>277445.09999999998</v>
      </c>
      <c r="J87" s="106">
        <f t="shared" si="21"/>
        <v>75.5</v>
      </c>
      <c r="K87" s="110">
        <v>19554</v>
      </c>
      <c r="L87" s="107">
        <f t="shared" si="22"/>
        <v>22</v>
      </c>
      <c r="M87" s="112">
        <v>122.31</v>
      </c>
      <c r="N87" s="28">
        <f t="shared" si="23"/>
        <v>0.61728395061728392</v>
      </c>
      <c r="O87" s="84">
        <f t="shared" si="24"/>
        <v>75.5</v>
      </c>
      <c r="P87" s="79">
        <f t="shared" si="25"/>
        <v>122.31</v>
      </c>
      <c r="Q87" s="34">
        <f t="shared" si="26"/>
        <v>0.61728395061728392</v>
      </c>
      <c r="R87" s="1">
        <v>21</v>
      </c>
    </row>
    <row r="88" spans="1:19" ht="24" customHeight="1">
      <c r="A88" s="81">
        <v>40</v>
      </c>
      <c r="B88" s="31" t="s">
        <v>86</v>
      </c>
      <c r="C88" s="104">
        <v>248328.8</v>
      </c>
      <c r="D88" s="104">
        <v>248328.8</v>
      </c>
      <c r="E88" s="104">
        <f t="shared" si="19"/>
        <v>0</v>
      </c>
      <c r="F88" s="110">
        <v>17614</v>
      </c>
      <c r="G88" s="111">
        <v>0</v>
      </c>
      <c r="H88" s="10">
        <f t="shared" si="20"/>
        <v>0</v>
      </c>
      <c r="I88" s="104">
        <v>248478.8</v>
      </c>
      <c r="J88" s="106">
        <f t="shared" si="21"/>
        <v>150</v>
      </c>
      <c r="K88" s="110">
        <v>17634</v>
      </c>
      <c r="L88" s="107">
        <f t="shared" si="22"/>
        <v>20</v>
      </c>
      <c r="M88" s="112">
        <v>207.4</v>
      </c>
      <c r="N88" s="28">
        <f t="shared" si="23"/>
        <v>0.72324011571841851</v>
      </c>
      <c r="O88" s="84">
        <f t="shared" si="24"/>
        <v>150</v>
      </c>
      <c r="P88" s="79">
        <f t="shared" si="25"/>
        <v>207.4</v>
      </c>
      <c r="Q88" s="34">
        <f t="shared" si="26"/>
        <v>0.72324011571841851</v>
      </c>
      <c r="R88" s="1">
        <v>6</v>
      </c>
    </row>
    <row r="89" spans="1:19" ht="24" customHeight="1">
      <c r="A89" s="81">
        <v>41</v>
      </c>
      <c r="B89" s="31" t="s">
        <v>87</v>
      </c>
      <c r="C89" s="104">
        <v>277313.8</v>
      </c>
      <c r="D89" s="104">
        <v>277313.8</v>
      </c>
      <c r="E89" s="104">
        <f t="shared" si="19"/>
        <v>0</v>
      </c>
      <c r="F89" s="110">
        <v>19116</v>
      </c>
      <c r="G89" s="111">
        <v>0</v>
      </c>
      <c r="H89" s="10">
        <f t="shared" si="20"/>
        <v>0</v>
      </c>
      <c r="I89" s="104">
        <v>277313.8</v>
      </c>
      <c r="J89" s="106">
        <f t="shared" si="21"/>
        <v>0</v>
      </c>
      <c r="K89" s="110">
        <v>19116</v>
      </c>
      <c r="L89" s="107">
        <f t="shared" si="22"/>
        <v>0</v>
      </c>
      <c r="M89" s="111">
        <v>0</v>
      </c>
      <c r="N89" s="28">
        <f t="shared" si="23"/>
        <v>0</v>
      </c>
      <c r="O89" s="84">
        <f t="shared" si="24"/>
        <v>0</v>
      </c>
      <c r="P89" s="79">
        <f t="shared" si="25"/>
        <v>0</v>
      </c>
      <c r="Q89" s="34">
        <f t="shared" si="26"/>
        <v>0</v>
      </c>
      <c r="R89" s="1">
        <v>6</v>
      </c>
    </row>
    <row r="90" spans="1:19" ht="24" customHeight="1">
      <c r="A90" s="81">
        <v>42</v>
      </c>
      <c r="B90" s="31" t="s">
        <v>88</v>
      </c>
      <c r="C90" s="104">
        <v>272980.09999999998</v>
      </c>
      <c r="D90" s="104">
        <v>272980.09999999998</v>
      </c>
      <c r="E90" s="104">
        <f t="shared" si="19"/>
        <v>0</v>
      </c>
      <c r="F90" s="110">
        <v>18477</v>
      </c>
      <c r="G90" s="111">
        <v>0</v>
      </c>
      <c r="H90" s="10">
        <f t="shared" si="20"/>
        <v>0</v>
      </c>
      <c r="I90" s="104">
        <v>273075.90000000002</v>
      </c>
      <c r="J90" s="106">
        <f t="shared" si="21"/>
        <v>95.800000000046566</v>
      </c>
      <c r="K90" s="110">
        <v>18501</v>
      </c>
      <c r="L90" s="107">
        <f t="shared" si="22"/>
        <v>24</v>
      </c>
      <c r="M90" s="111">
        <v>148.4</v>
      </c>
      <c r="N90" s="28">
        <f t="shared" si="23"/>
        <v>0.645552560647214</v>
      </c>
      <c r="O90" s="84">
        <f t="shared" si="24"/>
        <v>95.800000000046566</v>
      </c>
      <c r="P90" s="79">
        <f t="shared" si="25"/>
        <v>148.4</v>
      </c>
      <c r="Q90" s="34">
        <f t="shared" si="26"/>
        <v>0.645552560647214</v>
      </c>
      <c r="R90" s="1">
        <v>14</v>
      </c>
    </row>
    <row r="91" spans="1:19" ht="24" customHeight="1">
      <c r="A91" s="81">
        <v>43</v>
      </c>
      <c r="B91" s="31" t="s">
        <v>89</v>
      </c>
      <c r="C91" s="35">
        <v>265455.5</v>
      </c>
      <c r="D91" s="35">
        <v>265455.5</v>
      </c>
      <c r="E91" s="104">
        <f t="shared" si="19"/>
        <v>0</v>
      </c>
      <c r="F91" s="110">
        <v>18146</v>
      </c>
      <c r="G91" s="111">
        <v>0</v>
      </c>
      <c r="H91" s="10">
        <f t="shared" si="20"/>
        <v>0</v>
      </c>
      <c r="I91" s="35">
        <v>265516.09999999998</v>
      </c>
      <c r="J91" s="106">
        <f t="shared" si="21"/>
        <v>60.599999999976717</v>
      </c>
      <c r="K91" s="110">
        <v>18168</v>
      </c>
      <c r="L91" s="107">
        <f t="shared" si="22"/>
        <v>22</v>
      </c>
      <c r="M91" s="111">
        <v>86.48</v>
      </c>
      <c r="N91" s="28">
        <f t="shared" si="23"/>
        <v>0.70074005550389351</v>
      </c>
      <c r="O91" s="84">
        <f t="shared" si="24"/>
        <v>60.599999999976717</v>
      </c>
      <c r="P91" s="79">
        <f t="shared" si="25"/>
        <v>86.48</v>
      </c>
      <c r="Q91" s="34">
        <f t="shared" si="26"/>
        <v>0.70074005550389351</v>
      </c>
      <c r="R91" s="1">
        <v>11</v>
      </c>
    </row>
    <row r="92" spans="1:19" ht="24" customHeight="1">
      <c r="A92" s="81">
        <v>44</v>
      </c>
      <c r="B92" s="31" t="s">
        <v>90</v>
      </c>
      <c r="C92" s="104">
        <v>242873.5</v>
      </c>
      <c r="D92" s="104">
        <v>242873.5</v>
      </c>
      <c r="E92" s="104">
        <f t="shared" si="19"/>
        <v>0</v>
      </c>
      <c r="F92" s="110">
        <v>17467</v>
      </c>
      <c r="G92" s="111">
        <v>0</v>
      </c>
      <c r="H92" s="10">
        <f>IFERROR(E92/G92,0)</f>
        <v>0</v>
      </c>
      <c r="I92" s="104">
        <v>243003.3</v>
      </c>
      <c r="J92" s="106">
        <f t="shared" si="21"/>
        <v>129.79999999998836</v>
      </c>
      <c r="K92" s="110">
        <v>17493</v>
      </c>
      <c r="L92" s="107">
        <f t="shared" si="22"/>
        <v>26</v>
      </c>
      <c r="M92" s="111">
        <v>208.28</v>
      </c>
      <c r="N92" s="28">
        <f t="shared" si="23"/>
        <v>0.62319953908194914</v>
      </c>
      <c r="O92" s="84">
        <f t="shared" si="24"/>
        <v>129.79999999998836</v>
      </c>
      <c r="P92" s="79">
        <f t="shared" si="25"/>
        <v>208.28</v>
      </c>
      <c r="Q92" s="34">
        <f t="shared" si="26"/>
        <v>0.62319953908194914</v>
      </c>
      <c r="R92" s="1">
        <v>21</v>
      </c>
    </row>
    <row r="93" spans="1:19" ht="24" customHeight="1">
      <c r="A93" s="81">
        <v>45</v>
      </c>
      <c r="B93" s="31" t="s">
        <v>91</v>
      </c>
      <c r="C93" s="104">
        <v>254153.9</v>
      </c>
      <c r="D93" s="104">
        <v>254153.9</v>
      </c>
      <c r="E93" s="104">
        <f t="shared" si="19"/>
        <v>0</v>
      </c>
      <c r="F93" s="110">
        <v>17731</v>
      </c>
      <c r="G93" s="111">
        <v>0</v>
      </c>
      <c r="H93" s="10">
        <f t="shared" si="20"/>
        <v>0</v>
      </c>
      <c r="I93" s="104">
        <v>254153.9</v>
      </c>
      <c r="J93" s="106">
        <f t="shared" si="21"/>
        <v>0</v>
      </c>
      <c r="K93" s="110">
        <v>17731</v>
      </c>
      <c r="L93" s="107">
        <f t="shared" si="22"/>
        <v>0</v>
      </c>
      <c r="M93" s="111">
        <v>0</v>
      </c>
      <c r="N93" s="28">
        <f t="shared" si="23"/>
        <v>0</v>
      </c>
      <c r="O93" s="84">
        <f t="shared" si="24"/>
        <v>0</v>
      </c>
      <c r="P93" s="79">
        <f t="shared" si="25"/>
        <v>0</v>
      </c>
      <c r="Q93" s="34">
        <f t="shared" si="26"/>
        <v>0</v>
      </c>
      <c r="R93" s="1">
        <v>0</v>
      </c>
    </row>
    <row r="94" spans="1:19" ht="24" customHeight="1">
      <c r="A94" s="81">
        <v>46</v>
      </c>
      <c r="B94" s="31" t="s">
        <v>92</v>
      </c>
      <c r="C94" s="35">
        <v>236734.6</v>
      </c>
      <c r="D94" s="35">
        <v>236734.6</v>
      </c>
      <c r="E94" s="104">
        <f>D94-C94</f>
        <v>0</v>
      </c>
      <c r="F94" s="110">
        <v>17104</v>
      </c>
      <c r="G94" s="111">
        <v>0</v>
      </c>
      <c r="H94" s="10">
        <f t="shared" si="20"/>
        <v>0</v>
      </c>
      <c r="I94" s="35">
        <v>236887.9</v>
      </c>
      <c r="J94" s="106">
        <f>I94-D94</f>
        <v>153.29999999998836</v>
      </c>
      <c r="K94" s="110">
        <v>17128</v>
      </c>
      <c r="L94" s="107">
        <f t="shared" si="22"/>
        <v>24</v>
      </c>
      <c r="M94" s="111">
        <v>205.31</v>
      </c>
      <c r="N94" s="28">
        <f t="shared" si="23"/>
        <v>0.74667575860887614</v>
      </c>
      <c r="O94" s="84">
        <f t="shared" si="24"/>
        <v>153.29999999998836</v>
      </c>
      <c r="P94" s="79">
        <f>G94+M94</f>
        <v>205.31</v>
      </c>
      <c r="Q94" s="34">
        <f t="shared" si="26"/>
        <v>0.74667575860887614</v>
      </c>
      <c r="R94" s="1">
        <v>21</v>
      </c>
    </row>
    <row r="95" spans="1:19" ht="24" customHeight="1">
      <c r="A95" s="81">
        <v>47</v>
      </c>
      <c r="B95" s="31" t="s">
        <v>93</v>
      </c>
      <c r="C95" s="104">
        <v>245069.3</v>
      </c>
      <c r="D95" s="104">
        <v>245069.3</v>
      </c>
      <c r="E95" s="104">
        <f>D95-C95</f>
        <v>0</v>
      </c>
      <c r="F95" s="110">
        <v>16590</v>
      </c>
      <c r="G95" s="111">
        <v>0</v>
      </c>
      <c r="H95" s="10">
        <f t="shared" si="20"/>
        <v>0</v>
      </c>
      <c r="I95" s="104">
        <v>245223.5</v>
      </c>
      <c r="J95" s="106">
        <f>I95-D95</f>
        <v>154.20000000001164</v>
      </c>
      <c r="K95" s="110">
        <v>16615</v>
      </c>
      <c r="L95" s="107">
        <f t="shared" si="22"/>
        <v>25</v>
      </c>
      <c r="M95" s="111">
        <v>210.29</v>
      </c>
      <c r="N95" s="28">
        <f t="shared" si="23"/>
        <v>0.73327309905374316</v>
      </c>
      <c r="O95" s="84">
        <f t="shared" si="24"/>
        <v>154.20000000001164</v>
      </c>
      <c r="P95" s="79">
        <f t="shared" si="25"/>
        <v>210.29</v>
      </c>
      <c r="Q95" s="34">
        <f t="shared" si="26"/>
        <v>0.73327309905374316</v>
      </c>
      <c r="R95" s="1">
        <v>35</v>
      </c>
      <c r="S95" t="s">
        <v>94</v>
      </c>
    </row>
    <row r="96" spans="1:19" ht="24" customHeight="1">
      <c r="A96" s="81">
        <v>48</v>
      </c>
      <c r="B96" s="31" t="s">
        <v>95</v>
      </c>
      <c r="C96" s="104">
        <v>242247.6</v>
      </c>
      <c r="D96" s="104">
        <v>242247.6</v>
      </c>
      <c r="E96" s="104">
        <f t="shared" si="19"/>
        <v>0</v>
      </c>
      <c r="F96" s="110">
        <v>18040</v>
      </c>
      <c r="G96" s="111">
        <v>0</v>
      </c>
      <c r="H96" s="10">
        <f t="shared" si="20"/>
        <v>0</v>
      </c>
      <c r="I96" s="104">
        <v>242247.6</v>
      </c>
      <c r="J96" s="106">
        <f t="shared" si="21"/>
        <v>0</v>
      </c>
      <c r="K96" s="110">
        <v>18040</v>
      </c>
      <c r="L96" s="107">
        <f t="shared" si="22"/>
        <v>0</v>
      </c>
      <c r="M96" s="111">
        <v>0</v>
      </c>
      <c r="N96" s="28">
        <f t="shared" si="23"/>
        <v>0</v>
      </c>
      <c r="O96" s="84">
        <f t="shared" si="24"/>
        <v>0</v>
      </c>
      <c r="P96" s="79">
        <f t="shared" si="25"/>
        <v>0</v>
      </c>
      <c r="Q96" s="34">
        <f t="shared" si="26"/>
        <v>0</v>
      </c>
      <c r="R96" s="1">
        <v>20</v>
      </c>
    </row>
    <row r="97" spans="1:18" ht="24" customHeight="1">
      <c r="A97" s="81">
        <v>49</v>
      </c>
      <c r="B97" s="31" t="s">
        <v>96</v>
      </c>
      <c r="C97" s="35">
        <v>246890</v>
      </c>
      <c r="D97" s="35">
        <v>246890</v>
      </c>
      <c r="E97" s="104">
        <f t="shared" si="19"/>
        <v>0</v>
      </c>
      <c r="F97" s="110">
        <v>17724</v>
      </c>
      <c r="G97" s="111">
        <v>0</v>
      </c>
      <c r="H97" s="10">
        <f>IFERROR(E97/G97,0)</f>
        <v>0</v>
      </c>
      <c r="I97" s="35">
        <v>246890</v>
      </c>
      <c r="J97" s="106">
        <f t="shared" si="21"/>
        <v>0</v>
      </c>
      <c r="K97" s="110">
        <v>17724</v>
      </c>
      <c r="L97" s="107">
        <f t="shared" si="22"/>
        <v>0</v>
      </c>
      <c r="M97" s="111">
        <v>0</v>
      </c>
      <c r="N97" s="28">
        <f t="shared" si="23"/>
        <v>0</v>
      </c>
      <c r="O97" s="84">
        <f t="shared" si="24"/>
        <v>0</v>
      </c>
      <c r="P97" s="79">
        <f t="shared" si="25"/>
        <v>0</v>
      </c>
      <c r="Q97" s="34">
        <f t="shared" si="26"/>
        <v>0</v>
      </c>
      <c r="R97" s="1">
        <v>0</v>
      </c>
    </row>
    <row r="98" spans="1:18" ht="24" customHeight="1">
      <c r="A98" s="81">
        <v>50</v>
      </c>
      <c r="B98" s="31" t="s">
        <v>97</v>
      </c>
      <c r="C98" s="104">
        <v>235262.5</v>
      </c>
      <c r="D98" s="104">
        <v>235262.5</v>
      </c>
      <c r="E98" s="104">
        <f t="shared" si="19"/>
        <v>0</v>
      </c>
      <c r="F98" s="110">
        <v>16240</v>
      </c>
      <c r="G98" s="111">
        <v>0</v>
      </c>
      <c r="H98" s="10">
        <f t="shared" si="20"/>
        <v>0</v>
      </c>
      <c r="I98" s="104">
        <v>235331.8</v>
      </c>
      <c r="J98" s="106">
        <f t="shared" si="21"/>
        <v>69.299999999988358</v>
      </c>
      <c r="K98" s="110">
        <v>16251</v>
      </c>
      <c r="L98" s="107">
        <f t="shared" si="22"/>
        <v>11</v>
      </c>
      <c r="M98" s="111">
        <v>146.33000000000001</v>
      </c>
      <c r="N98" s="28">
        <f t="shared" si="23"/>
        <v>0.47358709765590346</v>
      </c>
      <c r="O98" s="84">
        <f t="shared" si="24"/>
        <v>69.299999999988358</v>
      </c>
      <c r="P98" s="79">
        <f t="shared" si="25"/>
        <v>146.33000000000001</v>
      </c>
      <c r="Q98" s="34">
        <f t="shared" si="26"/>
        <v>0.47358709765590346</v>
      </c>
      <c r="R98" s="1">
        <v>21</v>
      </c>
    </row>
    <row r="99" spans="1:18" ht="24" customHeight="1">
      <c r="A99" s="81">
        <v>51</v>
      </c>
      <c r="B99" s="121" t="s">
        <v>166</v>
      </c>
      <c r="C99" s="104">
        <v>204372</v>
      </c>
      <c r="D99" s="104">
        <v>204372</v>
      </c>
      <c r="E99" s="118">
        <f t="shared" si="19"/>
        <v>0</v>
      </c>
      <c r="F99" s="110">
        <v>17402</v>
      </c>
      <c r="G99" s="111">
        <v>0</v>
      </c>
      <c r="H99" s="55">
        <f t="shared" si="20"/>
        <v>0</v>
      </c>
      <c r="I99" s="104">
        <v>204555</v>
      </c>
      <c r="J99" s="119">
        <f t="shared" si="21"/>
        <v>183</v>
      </c>
      <c r="K99" s="110">
        <v>17423</v>
      </c>
      <c r="L99" s="120">
        <f t="shared" si="22"/>
        <v>21</v>
      </c>
      <c r="M99" s="111">
        <v>267.8</v>
      </c>
      <c r="N99" s="28">
        <f t="shared" si="23"/>
        <v>0.68334578043315908</v>
      </c>
      <c r="O99" s="58">
        <f t="shared" si="24"/>
        <v>183</v>
      </c>
      <c r="P99" s="79">
        <f t="shared" si="25"/>
        <v>267.8</v>
      </c>
      <c r="Q99" s="34">
        <f t="shared" si="26"/>
        <v>0.68334578043315908</v>
      </c>
      <c r="R99" s="1">
        <v>20</v>
      </c>
    </row>
    <row r="100" spans="1:18" ht="24" customHeight="1">
      <c r="A100" s="81">
        <v>52</v>
      </c>
      <c r="B100" s="121" t="s">
        <v>167</v>
      </c>
      <c r="C100" s="104">
        <v>186406</v>
      </c>
      <c r="D100" s="104">
        <v>186406</v>
      </c>
      <c r="E100" s="118">
        <f t="shared" si="19"/>
        <v>0</v>
      </c>
      <c r="F100" s="110">
        <v>16317</v>
      </c>
      <c r="G100" s="111">
        <v>0</v>
      </c>
      <c r="H100" s="55">
        <f t="shared" si="20"/>
        <v>0</v>
      </c>
      <c r="I100" s="104">
        <v>186406</v>
      </c>
      <c r="J100" s="119">
        <f t="shared" si="21"/>
        <v>0</v>
      </c>
      <c r="K100" s="110">
        <v>16317</v>
      </c>
      <c r="L100" s="120">
        <f t="shared" si="22"/>
        <v>0</v>
      </c>
      <c r="M100" s="111">
        <v>0</v>
      </c>
      <c r="N100" s="28">
        <f t="shared" si="23"/>
        <v>0</v>
      </c>
      <c r="O100" s="58">
        <f t="shared" si="24"/>
        <v>0</v>
      </c>
      <c r="P100" s="79">
        <f t="shared" si="25"/>
        <v>0</v>
      </c>
      <c r="Q100" s="34">
        <f t="shared" si="26"/>
        <v>0</v>
      </c>
      <c r="R100" s="1">
        <v>0</v>
      </c>
    </row>
    <row r="101" spans="1:18" ht="24" customHeight="1">
      <c r="A101" s="81">
        <v>53</v>
      </c>
      <c r="B101" s="121" t="s">
        <v>168</v>
      </c>
      <c r="C101" s="104">
        <v>190156</v>
      </c>
      <c r="D101" s="104">
        <v>190156</v>
      </c>
      <c r="E101" s="118">
        <f t="shared" si="19"/>
        <v>0</v>
      </c>
      <c r="F101" s="110">
        <v>16975</v>
      </c>
      <c r="G101" s="111">
        <v>0</v>
      </c>
      <c r="H101" s="55">
        <f t="shared" si="20"/>
        <v>0</v>
      </c>
      <c r="I101" s="104">
        <v>190272</v>
      </c>
      <c r="J101" s="119">
        <f t="shared" si="21"/>
        <v>116</v>
      </c>
      <c r="K101" s="110">
        <v>16998</v>
      </c>
      <c r="L101" s="120">
        <f t="shared" si="22"/>
        <v>23</v>
      </c>
      <c r="M101" s="111">
        <v>177.41</v>
      </c>
      <c r="N101" s="28">
        <f t="shared" si="23"/>
        <v>0.65385265768558709</v>
      </c>
      <c r="O101" s="58">
        <f t="shared" si="24"/>
        <v>116</v>
      </c>
      <c r="P101" s="79">
        <f t="shared" si="25"/>
        <v>177.41</v>
      </c>
      <c r="Q101" s="34">
        <f t="shared" si="26"/>
        <v>0.65385265768558709</v>
      </c>
      <c r="R101" s="1">
        <v>18</v>
      </c>
    </row>
    <row r="102" spans="1:18" ht="24" customHeight="1">
      <c r="A102" s="81">
        <v>54</v>
      </c>
      <c r="B102" s="121" t="s">
        <v>169</v>
      </c>
      <c r="C102" s="104">
        <v>194366</v>
      </c>
      <c r="D102" s="104">
        <v>194366</v>
      </c>
      <c r="E102" s="118">
        <f t="shared" si="19"/>
        <v>0</v>
      </c>
      <c r="F102" s="110">
        <v>16465</v>
      </c>
      <c r="G102" s="111">
        <v>0</v>
      </c>
      <c r="H102" s="55">
        <f t="shared" si="20"/>
        <v>0</v>
      </c>
      <c r="I102" s="104">
        <v>194509</v>
      </c>
      <c r="J102" s="119">
        <f t="shared" si="21"/>
        <v>143</v>
      </c>
      <c r="K102" s="110">
        <v>16487</v>
      </c>
      <c r="L102" s="120">
        <f t="shared" si="22"/>
        <v>22</v>
      </c>
      <c r="M102" s="111">
        <v>213.37</v>
      </c>
      <c r="N102" s="28">
        <f t="shared" si="23"/>
        <v>0.67019730983737169</v>
      </c>
      <c r="O102" s="58">
        <f t="shared" si="24"/>
        <v>143</v>
      </c>
      <c r="P102" s="79">
        <f t="shared" si="25"/>
        <v>213.37</v>
      </c>
      <c r="Q102" s="34">
        <f t="shared" si="26"/>
        <v>0.67019730983737169</v>
      </c>
      <c r="R102" s="1">
        <v>15</v>
      </c>
    </row>
    <row r="103" spans="1:18" ht="24" customHeight="1">
      <c r="A103" s="81">
        <v>55</v>
      </c>
      <c r="B103" s="121" t="s">
        <v>104</v>
      </c>
      <c r="C103" s="104">
        <v>69242.2</v>
      </c>
      <c r="D103" s="104">
        <v>69242.2</v>
      </c>
      <c r="E103" s="122">
        <f t="shared" si="19"/>
        <v>0</v>
      </c>
      <c r="F103" s="110">
        <v>4667</v>
      </c>
      <c r="G103" s="111">
        <v>0</v>
      </c>
      <c r="H103" s="78">
        <f t="shared" si="20"/>
        <v>0</v>
      </c>
      <c r="I103" s="104">
        <v>69369.3</v>
      </c>
      <c r="J103" s="112">
        <f t="shared" si="21"/>
        <v>127.10000000000582</v>
      </c>
      <c r="K103" s="110">
        <v>4686</v>
      </c>
      <c r="L103" s="107">
        <f t="shared" si="22"/>
        <v>19</v>
      </c>
      <c r="M103" s="111">
        <v>160.43</v>
      </c>
      <c r="N103" s="28">
        <f t="shared" si="23"/>
        <v>0.79224583930689907</v>
      </c>
      <c r="O103" s="58">
        <f t="shared" si="24"/>
        <v>127.10000000000582</v>
      </c>
      <c r="P103" s="79">
        <f t="shared" si="25"/>
        <v>160.43</v>
      </c>
      <c r="Q103" s="34">
        <f t="shared" si="26"/>
        <v>0.79224583930689907</v>
      </c>
      <c r="R103" s="1">
        <v>17</v>
      </c>
    </row>
    <row r="104" spans="1:18" ht="24" customHeight="1">
      <c r="A104" s="81">
        <v>56</v>
      </c>
      <c r="B104" s="121" t="s">
        <v>105</v>
      </c>
      <c r="C104" s="35">
        <v>67824.399999999994</v>
      </c>
      <c r="D104" s="35">
        <v>67824.399999999994</v>
      </c>
      <c r="E104" s="122">
        <f t="shared" si="19"/>
        <v>0</v>
      </c>
      <c r="F104" s="110">
        <v>4667</v>
      </c>
      <c r="G104" s="111">
        <v>0</v>
      </c>
      <c r="H104" s="78">
        <f t="shared" si="20"/>
        <v>0</v>
      </c>
      <c r="I104" s="35">
        <v>67968.100000000006</v>
      </c>
      <c r="J104" s="112">
        <f t="shared" si="21"/>
        <v>143.70000000001164</v>
      </c>
      <c r="K104" s="110">
        <v>4687</v>
      </c>
      <c r="L104" s="107">
        <f t="shared" si="22"/>
        <v>20</v>
      </c>
      <c r="M104" s="111">
        <v>183.09</v>
      </c>
      <c r="N104" s="28">
        <f t="shared" si="23"/>
        <v>0.78485990496483504</v>
      </c>
      <c r="O104" s="58">
        <f t="shared" si="24"/>
        <v>143.70000000001164</v>
      </c>
      <c r="P104" s="79">
        <f t="shared" si="25"/>
        <v>183.09</v>
      </c>
      <c r="Q104" s="34">
        <f t="shared" si="26"/>
        <v>0.78485990496483504</v>
      </c>
      <c r="R104" s="1">
        <v>23</v>
      </c>
    </row>
    <row r="105" spans="1:18" ht="24" customHeight="1">
      <c r="A105" s="81">
        <v>57</v>
      </c>
      <c r="B105" s="121" t="s">
        <v>106</v>
      </c>
      <c r="C105" s="104">
        <v>65871.399999999994</v>
      </c>
      <c r="D105" s="104">
        <v>65871.399999999994</v>
      </c>
      <c r="E105" s="122">
        <f t="shared" si="19"/>
        <v>0</v>
      </c>
      <c r="F105" s="110">
        <v>4692</v>
      </c>
      <c r="G105" s="111">
        <v>0</v>
      </c>
      <c r="H105" s="78">
        <f t="shared" si="20"/>
        <v>0</v>
      </c>
      <c r="I105" s="104">
        <v>65986.100000000006</v>
      </c>
      <c r="J105" s="112">
        <f t="shared" si="21"/>
        <v>114.70000000001164</v>
      </c>
      <c r="K105" s="110">
        <v>4712</v>
      </c>
      <c r="L105" s="107">
        <f t="shared" si="22"/>
        <v>20</v>
      </c>
      <c r="M105" s="111">
        <v>157.77000000000001</v>
      </c>
      <c r="N105" s="28">
        <f t="shared" si="23"/>
        <v>0.72700766939222683</v>
      </c>
      <c r="O105" s="58">
        <f t="shared" si="24"/>
        <v>114.70000000001164</v>
      </c>
      <c r="P105" s="79">
        <f t="shared" si="25"/>
        <v>157.77000000000001</v>
      </c>
      <c r="Q105" s="34">
        <f t="shared" si="26"/>
        <v>0.72700766939222683</v>
      </c>
      <c r="R105" s="1">
        <v>22</v>
      </c>
    </row>
    <row r="106" spans="1:18" ht="24" customHeight="1">
      <c r="A106" s="81">
        <v>58</v>
      </c>
      <c r="B106" s="121" t="s">
        <v>107</v>
      </c>
      <c r="C106" s="104">
        <v>68036.5</v>
      </c>
      <c r="D106" s="104">
        <v>68036.5</v>
      </c>
      <c r="E106" s="122">
        <f t="shared" si="19"/>
        <v>0</v>
      </c>
      <c r="F106" s="110">
        <v>4690</v>
      </c>
      <c r="G106" s="111">
        <v>0</v>
      </c>
      <c r="H106" s="78">
        <f t="shared" si="20"/>
        <v>0</v>
      </c>
      <c r="I106" s="104">
        <v>68199.199999999997</v>
      </c>
      <c r="J106" s="112">
        <f t="shared" si="21"/>
        <v>162.69999999999709</v>
      </c>
      <c r="K106" s="110">
        <v>4709</v>
      </c>
      <c r="L106" s="107">
        <f t="shared" si="22"/>
        <v>19</v>
      </c>
      <c r="M106" s="111">
        <v>202.99</v>
      </c>
      <c r="N106" s="28">
        <f t="shared" si="23"/>
        <v>0.80151731612393262</v>
      </c>
      <c r="O106" s="58">
        <f t="shared" si="24"/>
        <v>162.69999999999709</v>
      </c>
      <c r="P106" s="79">
        <f t="shared" si="25"/>
        <v>202.99</v>
      </c>
      <c r="Q106" s="34">
        <f t="shared" si="26"/>
        <v>0.80151731612393262</v>
      </c>
      <c r="R106" s="1">
        <v>21</v>
      </c>
    </row>
    <row r="107" spans="1:18" ht="24" customHeight="1">
      <c r="A107" s="81">
        <v>59</v>
      </c>
      <c r="B107" s="121" t="s">
        <v>108</v>
      </c>
      <c r="C107" s="104">
        <v>67064.3</v>
      </c>
      <c r="D107" s="104">
        <v>67064.3</v>
      </c>
      <c r="E107" s="122">
        <f t="shared" si="19"/>
        <v>0</v>
      </c>
      <c r="F107" s="110">
        <v>4656</v>
      </c>
      <c r="G107" s="111">
        <v>0</v>
      </c>
      <c r="H107" s="78">
        <f t="shared" si="20"/>
        <v>0</v>
      </c>
      <c r="I107" s="104">
        <v>67210.3</v>
      </c>
      <c r="J107" s="112">
        <f t="shared" si="21"/>
        <v>146</v>
      </c>
      <c r="K107" s="110">
        <v>4678</v>
      </c>
      <c r="L107" s="107">
        <f t="shared" si="22"/>
        <v>22</v>
      </c>
      <c r="M107" s="111">
        <v>182.64</v>
      </c>
      <c r="N107" s="28">
        <f t="shared" si="23"/>
        <v>0.79938677179150242</v>
      </c>
      <c r="O107" s="58">
        <f t="shared" si="24"/>
        <v>146</v>
      </c>
      <c r="P107" s="79">
        <f t="shared" si="25"/>
        <v>182.64</v>
      </c>
      <c r="Q107" s="34">
        <f t="shared" si="26"/>
        <v>0.79938677179150242</v>
      </c>
      <c r="R107" s="1">
        <v>22</v>
      </c>
    </row>
    <row r="108" spans="1:18" ht="24" customHeight="1">
      <c r="A108" s="81">
        <v>60</v>
      </c>
      <c r="B108" s="121" t="s">
        <v>109</v>
      </c>
      <c r="C108" s="104">
        <v>69036.100000000006</v>
      </c>
      <c r="D108" s="104">
        <v>69036.100000000006</v>
      </c>
      <c r="E108" s="118">
        <f t="shared" si="19"/>
        <v>0</v>
      </c>
      <c r="F108" s="110">
        <v>4756</v>
      </c>
      <c r="G108" s="111">
        <v>0</v>
      </c>
      <c r="H108" s="55">
        <f t="shared" si="20"/>
        <v>0</v>
      </c>
      <c r="I108" s="104">
        <v>69141.7</v>
      </c>
      <c r="J108" s="119">
        <f t="shared" si="21"/>
        <v>105.59999999999127</v>
      </c>
      <c r="K108" s="110">
        <v>4775</v>
      </c>
      <c r="L108" s="120">
        <f t="shared" si="22"/>
        <v>19</v>
      </c>
      <c r="M108" s="111">
        <v>131.72999999999999</v>
      </c>
      <c r="N108" s="28">
        <f t="shared" si="23"/>
        <v>0.80163971760412422</v>
      </c>
      <c r="O108" s="58">
        <f t="shared" si="24"/>
        <v>105.59999999999127</v>
      </c>
      <c r="P108" s="79">
        <f t="shared" si="25"/>
        <v>131.72999999999999</v>
      </c>
      <c r="Q108" s="34">
        <f t="shared" si="26"/>
        <v>0.80163971760412422</v>
      </c>
      <c r="R108" s="1">
        <v>24</v>
      </c>
    </row>
    <row r="109" spans="1:18" ht="24" customHeight="1">
      <c r="A109" s="81">
        <v>61</v>
      </c>
      <c r="B109" s="121" t="s">
        <v>110</v>
      </c>
      <c r="C109" s="104">
        <v>33050.6</v>
      </c>
      <c r="D109" s="104">
        <v>33050.6</v>
      </c>
      <c r="E109" s="118">
        <f t="shared" si="19"/>
        <v>0</v>
      </c>
      <c r="F109" s="110">
        <v>2672</v>
      </c>
      <c r="G109" s="111">
        <v>0</v>
      </c>
      <c r="H109" s="55">
        <f t="shared" si="20"/>
        <v>0</v>
      </c>
      <c r="I109" s="104">
        <v>33161.199999999997</v>
      </c>
      <c r="J109" s="119">
        <f t="shared" si="21"/>
        <v>110.59999999999854</v>
      </c>
      <c r="K109" s="110">
        <v>2691</v>
      </c>
      <c r="L109" s="120">
        <f t="shared" si="22"/>
        <v>19</v>
      </c>
      <c r="M109" s="111">
        <v>112.7</v>
      </c>
      <c r="N109" s="28">
        <f t="shared" si="23"/>
        <v>0.98136645962731628</v>
      </c>
      <c r="O109" s="58">
        <f t="shared" si="24"/>
        <v>110.59999999999854</v>
      </c>
      <c r="P109" s="79">
        <f t="shared" si="25"/>
        <v>112.7</v>
      </c>
      <c r="Q109" s="34">
        <f t="shared" si="26"/>
        <v>0.98136645962731628</v>
      </c>
      <c r="R109" s="1">
        <v>7</v>
      </c>
    </row>
    <row r="110" spans="1:18" ht="22.2" customHeight="1">
      <c r="A110" s="123" t="s">
        <v>28</v>
      </c>
      <c r="B110" s="123"/>
      <c r="C110" s="40"/>
      <c r="D110" s="123"/>
      <c r="E110" s="124">
        <f>SUM(E49:E109)</f>
        <v>0</v>
      </c>
      <c r="F110" s="125"/>
      <c r="G110" s="126">
        <f>SUM(G49:G109)</f>
        <v>0</v>
      </c>
      <c r="H110" s="39"/>
      <c r="I110" s="40"/>
      <c r="J110" s="40">
        <f>SUM(J49:J109)</f>
        <v>4602.0999999999985</v>
      </c>
      <c r="K110" s="127"/>
      <c r="L110" s="128">
        <f>SUM(L49:L109)</f>
        <v>900.21000000000276</v>
      </c>
      <c r="M110" s="128">
        <f>SUM(M49:M109)</f>
        <v>7450.99</v>
      </c>
      <c r="N110" s="28">
        <f>IFERROR(J110/M110,0)</f>
        <v>0.61764946671516119</v>
      </c>
      <c r="O110" s="129">
        <f>SUM(O49:O109)</f>
        <v>4602.0999999999985</v>
      </c>
      <c r="P110" s="79">
        <f>G110+M110</f>
        <v>7450.99</v>
      </c>
      <c r="Q110" s="34">
        <f>IFERROR(O110/P110,0)</f>
        <v>0.61764946671516119</v>
      </c>
      <c r="R110" s="130">
        <f>SUM(R49:R109)</f>
        <v>873</v>
      </c>
    </row>
    <row r="111" spans="1:18" ht="22.2" customHeight="1" thickBot="1">
      <c r="A111" s="206" t="s">
        <v>111</v>
      </c>
      <c r="B111" s="207"/>
      <c r="C111" s="207"/>
      <c r="D111" s="207"/>
      <c r="E111" s="207"/>
      <c r="F111" s="207"/>
      <c r="G111" s="207"/>
      <c r="H111" s="207"/>
      <c r="I111" s="207"/>
      <c r="J111" s="207"/>
      <c r="K111" s="207"/>
      <c r="L111" s="208"/>
      <c r="M111" s="131"/>
      <c r="N111" s="132"/>
      <c r="O111" s="133"/>
    </row>
    <row r="112" spans="1:18" ht="22.2" customHeight="1">
      <c r="A112" s="209" t="s">
        <v>3</v>
      </c>
      <c r="B112" s="211" t="s">
        <v>4</v>
      </c>
      <c r="C112" s="213" t="s">
        <v>5</v>
      </c>
      <c r="D112" s="214"/>
      <c r="E112" s="214"/>
      <c r="F112" s="214"/>
      <c r="G112" s="215"/>
      <c r="H112" s="216" t="s">
        <v>6</v>
      </c>
      <c r="I112" s="217"/>
      <c r="J112" s="217"/>
      <c r="K112" s="218"/>
      <c r="L112" s="48"/>
      <c r="M112" s="219" t="s">
        <v>7</v>
      </c>
      <c r="N112" s="194" t="s">
        <v>8</v>
      </c>
      <c r="O112" s="37"/>
    </row>
    <row r="113" spans="1:17" ht="27.6" customHeight="1" thickBot="1">
      <c r="A113" s="210"/>
      <c r="B113" s="212"/>
      <c r="C113" s="49" t="s">
        <v>11</v>
      </c>
      <c r="D113" s="49" t="s">
        <v>12</v>
      </c>
      <c r="E113" s="49" t="s">
        <v>13</v>
      </c>
      <c r="F113" s="6" t="s">
        <v>14</v>
      </c>
      <c r="G113" s="6" t="s">
        <v>8</v>
      </c>
      <c r="H113" s="49" t="s">
        <v>12</v>
      </c>
      <c r="I113" s="49" t="s">
        <v>13</v>
      </c>
      <c r="J113" s="49" t="s">
        <v>14</v>
      </c>
      <c r="K113" s="7" t="s">
        <v>8</v>
      </c>
      <c r="L113" s="50" t="s">
        <v>15</v>
      </c>
      <c r="M113" s="220"/>
      <c r="N113" s="195"/>
      <c r="O113" s="37"/>
    </row>
    <row r="114" spans="1:17" ht="22.2" customHeight="1">
      <c r="A114" s="76">
        <v>1</v>
      </c>
      <c r="B114" s="31" t="s">
        <v>112</v>
      </c>
      <c r="C114" s="35">
        <v>121512</v>
      </c>
      <c r="D114" s="35">
        <v>121512</v>
      </c>
      <c r="E114" s="17">
        <f>D114-C114</f>
        <v>0</v>
      </c>
      <c r="F114" s="33">
        <v>0</v>
      </c>
      <c r="G114" s="10">
        <f>IFERROR(F114/E114,0)</f>
        <v>0</v>
      </c>
      <c r="H114" s="35">
        <v>121512</v>
      </c>
      <c r="I114" s="19">
        <f>H114-D114</f>
        <v>0</v>
      </c>
      <c r="J114" s="33">
        <v>0</v>
      </c>
      <c r="K114" s="28">
        <f t="shared" ref="K114:K128" si="27">IFERROR(J114/I114,0)</f>
        <v>0</v>
      </c>
      <c r="L114" s="18">
        <f t="shared" ref="L114:M128" si="28">E114+I114</f>
        <v>0</v>
      </c>
      <c r="M114" s="22">
        <f>F114+J114</f>
        <v>0</v>
      </c>
      <c r="N114" s="71">
        <f>IFERROR(L114/M114,0)</f>
        <v>0</v>
      </c>
      <c r="O114" s="37"/>
    </row>
    <row r="115" spans="1:17" ht="22.2" customHeight="1">
      <c r="A115" s="76">
        <v>2</v>
      </c>
      <c r="B115" s="31" t="s">
        <v>113</v>
      </c>
      <c r="C115" s="35">
        <v>4267.21</v>
      </c>
      <c r="D115" s="35">
        <v>4289.53</v>
      </c>
      <c r="E115" s="17">
        <f t="shared" ref="E115:E128" si="29">D115-C115</f>
        <v>22.319999999999709</v>
      </c>
      <c r="F115" s="33">
        <v>153</v>
      </c>
      <c r="G115" s="10">
        <f t="shared" ref="G115:G128" si="30">IFERROR(F115/E115,0)</f>
        <v>6.8548387096775087</v>
      </c>
      <c r="H115" s="35">
        <v>4289.53</v>
      </c>
      <c r="I115" s="19">
        <f>H115-D115</f>
        <v>0</v>
      </c>
      <c r="J115" s="33">
        <v>0</v>
      </c>
      <c r="K115" s="28">
        <f t="shared" si="27"/>
        <v>0</v>
      </c>
      <c r="L115" s="18">
        <f t="shared" si="28"/>
        <v>22.319999999999709</v>
      </c>
      <c r="M115" s="22">
        <f t="shared" si="28"/>
        <v>153</v>
      </c>
      <c r="N115" s="71">
        <f t="shared" ref="N115:N128" si="31">IFERROR(L115/M115,0)</f>
        <v>0.14588235294117458</v>
      </c>
      <c r="O115" s="134"/>
    </row>
    <row r="116" spans="1:17" ht="22.2" customHeight="1">
      <c r="A116" s="76">
        <v>3</v>
      </c>
      <c r="B116" s="31" t="s">
        <v>114</v>
      </c>
      <c r="C116" s="35">
        <v>126.47</v>
      </c>
      <c r="D116" s="35">
        <v>147.27000000000001</v>
      </c>
      <c r="E116" s="17">
        <f t="shared" si="29"/>
        <v>20.800000000000011</v>
      </c>
      <c r="F116" s="33">
        <v>34</v>
      </c>
      <c r="G116" s="10">
        <f t="shared" si="30"/>
        <v>1.6346153846153837</v>
      </c>
      <c r="H116" s="35">
        <v>147.27000000000001</v>
      </c>
      <c r="I116" s="19">
        <f t="shared" ref="I116:I128" si="32">H116-D116</f>
        <v>0</v>
      </c>
      <c r="J116" s="33">
        <v>0</v>
      </c>
      <c r="K116" s="28">
        <f t="shared" si="27"/>
        <v>0</v>
      </c>
      <c r="L116" s="18">
        <f t="shared" si="28"/>
        <v>20.800000000000011</v>
      </c>
      <c r="M116" s="22">
        <f t="shared" si="28"/>
        <v>34</v>
      </c>
      <c r="N116" s="71">
        <f t="shared" si="31"/>
        <v>0.61176470588235332</v>
      </c>
      <c r="O116" s="37"/>
    </row>
    <row r="117" spans="1:17" ht="22.2" customHeight="1">
      <c r="A117" s="76">
        <v>4</v>
      </c>
      <c r="B117" s="31" t="s">
        <v>115</v>
      </c>
      <c r="C117" s="136">
        <v>139611</v>
      </c>
      <c r="D117" s="136">
        <v>139611</v>
      </c>
      <c r="E117" s="17">
        <f t="shared" si="29"/>
        <v>0</v>
      </c>
      <c r="F117" s="33">
        <v>0</v>
      </c>
      <c r="G117" s="10">
        <f t="shared" si="30"/>
        <v>0</v>
      </c>
      <c r="H117" s="136">
        <v>139611</v>
      </c>
      <c r="I117" s="19">
        <f t="shared" si="32"/>
        <v>0</v>
      </c>
      <c r="J117" s="33">
        <v>0</v>
      </c>
      <c r="K117" s="28">
        <f t="shared" si="27"/>
        <v>0</v>
      </c>
      <c r="L117" s="18">
        <f t="shared" si="28"/>
        <v>0</v>
      </c>
      <c r="M117" s="22">
        <f t="shared" si="28"/>
        <v>0</v>
      </c>
      <c r="N117" s="71">
        <f t="shared" si="31"/>
        <v>0</v>
      </c>
      <c r="O117" s="137"/>
    </row>
    <row r="118" spans="1:17" ht="22.2" customHeight="1">
      <c r="A118" s="76">
        <v>5</v>
      </c>
      <c r="B118" s="31" t="s">
        <v>116</v>
      </c>
      <c r="C118" s="35">
        <v>44558.9</v>
      </c>
      <c r="D118" s="35">
        <v>44558.9</v>
      </c>
      <c r="E118" s="17">
        <f t="shared" si="29"/>
        <v>0</v>
      </c>
      <c r="F118" s="33">
        <v>0</v>
      </c>
      <c r="G118" s="10">
        <f t="shared" si="30"/>
        <v>0</v>
      </c>
      <c r="H118" s="35">
        <v>44558.9</v>
      </c>
      <c r="I118" s="19">
        <f t="shared" si="32"/>
        <v>0</v>
      </c>
      <c r="J118" s="33">
        <v>0</v>
      </c>
      <c r="K118" s="28">
        <f t="shared" si="27"/>
        <v>0</v>
      </c>
      <c r="L118" s="18">
        <f t="shared" si="28"/>
        <v>0</v>
      </c>
      <c r="M118" s="22">
        <f t="shared" si="28"/>
        <v>0</v>
      </c>
      <c r="N118" s="71">
        <f t="shared" si="31"/>
        <v>0</v>
      </c>
      <c r="O118" s="77"/>
    </row>
    <row r="119" spans="1:17" ht="22.2" customHeight="1">
      <c r="A119" s="76">
        <v>6</v>
      </c>
      <c r="B119" s="31" t="s">
        <v>117</v>
      </c>
      <c r="C119" s="35">
        <v>100316.9</v>
      </c>
      <c r="D119" s="35">
        <v>100316.9</v>
      </c>
      <c r="E119" s="17">
        <f t="shared" si="29"/>
        <v>0</v>
      </c>
      <c r="F119" s="33">
        <v>0</v>
      </c>
      <c r="G119" s="10">
        <f t="shared" si="30"/>
        <v>0</v>
      </c>
      <c r="H119" s="35">
        <v>100316.9</v>
      </c>
      <c r="I119" s="19">
        <f t="shared" si="32"/>
        <v>0</v>
      </c>
      <c r="J119" s="33">
        <v>0</v>
      </c>
      <c r="K119" s="28">
        <f t="shared" si="27"/>
        <v>0</v>
      </c>
      <c r="L119" s="18">
        <f t="shared" si="28"/>
        <v>0</v>
      </c>
      <c r="M119" s="22">
        <f t="shared" si="28"/>
        <v>0</v>
      </c>
      <c r="N119" s="71">
        <f t="shared" si="31"/>
        <v>0</v>
      </c>
      <c r="O119" s="37"/>
    </row>
    <row r="120" spans="1:17" ht="22.2" customHeight="1">
      <c r="A120" s="76">
        <v>7</v>
      </c>
      <c r="B120" s="31" t="s">
        <v>118</v>
      </c>
      <c r="C120" s="35">
        <v>152067.5</v>
      </c>
      <c r="D120" s="35">
        <v>152067.5</v>
      </c>
      <c r="E120" s="17">
        <f t="shared" si="29"/>
        <v>0</v>
      </c>
      <c r="F120" s="33">
        <v>0</v>
      </c>
      <c r="G120" s="10">
        <f t="shared" si="30"/>
        <v>0</v>
      </c>
      <c r="H120" s="35">
        <v>152067.5</v>
      </c>
      <c r="I120" s="19">
        <f t="shared" si="32"/>
        <v>0</v>
      </c>
      <c r="J120" s="33">
        <v>0</v>
      </c>
      <c r="K120" s="28">
        <f t="shared" si="27"/>
        <v>0</v>
      </c>
      <c r="L120" s="18">
        <f t="shared" si="28"/>
        <v>0</v>
      </c>
      <c r="M120" s="22">
        <f>F120+J120</f>
        <v>0</v>
      </c>
      <c r="N120" s="71">
        <f t="shared" si="31"/>
        <v>0</v>
      </c>
      <c r="O120" s="37"/>
    </row>
    <row r="121" spans="1:17" ht="22.2" customHeight="1">
      <c r="A121" s="76">
        <v>8</v>
      </c>
      <c r="B121" s="138" t="s">
        <v>119</v>
      </c>
      <c r="C121" s="136">
        <v>40493.800000000003</v>
      </c>
      <c r="D121" s="136">
        <v>40493.800000000003</v>
      </c>
      <c r="E121" s="17">
        <f t="shared" si="29"/>
        <v>0</v>
      </c>
      <c r="F121" s="33">
        <v>0</v>
      </c>
      <c r="G121" s="10">
        <f t="shared" si="30"/>
        <v>0</v>
      </c>
      <c r="H121" s="136">
        <v>40493.800000000003</v>
      </c>
      <c r="I121" s="19">
        <f t="shared" si="32"/>
        <v>0</v>
      </c>
      <c r="J121" s="33">
        <v>0</v>
      </c>
      <c r="K121" s="28">
        <f t="shared" si="27"/>
        <v>0</v>
      </c>
      <c r="L121" s="18">
        <f t="shared" si="28"/>
        <v>0</v>
      </c>
      <c r="M121" s="22">
        <f>F121+J121</f>
        <v>0</v>
      </c>
      <c r="N121" s="71">
        <f t="shared" si="31"/>
        <v>0</v>
      </c>
      <c r="O121" s="37"/>
    </row>
    <row r="122" spans="1:17" ht="22.2" customHeight="1">
      <c r="A122" s="76">
        <v>9</v>
      </c>
      <c r="B122" s="138" t="s">
        <v>120</v>
      </c>
      <c r="C122" s="35">
        <v>33478</v>
      </c>
      <c r="D122" s="35">
        <v>33478</v>
      </c>
      <c r="E122" s="17">
        <f t="shared" si="29"/>
        <v>0</v>
      </c>
      <c r="F122" s="33">
        <v>0</v>
      </c>
      <c r="G122" s="10">
        <f t="shared" si="30"/>
        <v>0</v>
      </c>
      <c r="H122" s="35">
        <v>33757</v>
      </c>
      <c r="I122" s="19">
        <f t="shared" si="32"/>
        <v>279</v>
      </c>
      <c r="J122" s="33">
        <v>185.51</v>
      </c>
      <c r="K122" s="28">
        <f t="shared" si="27"/>
        <v>0.66491039426523291</v>
      </c>
      <c r="L122" s="18">
        <f t="shared" si="28"/>
        <v>279</v>
      </c>
      <c r="M122" s="22">
        <f t="shared" si="28"/>
        <v>185.51</v>
      </c>
      <c r="N122" s="71">
        <f t="shared" si="31"/>
        <v>1.503962050563312</v>
      </c>
      <c r="O122" s="37"/>
    </row>
    <row r="123" spans="1:17" ht="22.2" customHeight="1">
      <c r="A123" s="76">
        <v>10</v>
      </c>
      <c r="B123" s="31" t="s">
        <v>121</v>
      </c>
      <c r="C123" s="35">
        <v>154569</v>
      </c>
      <c r="D123" s="35">
        <v>154569</v>
      </c>
      <c r="E123" s="17">
        <f t="shared" si="29"/>
        <v>0</v>
      </c>
      <c r="F123" s="33">
        <v>0</v>
      </c>
      <c r="G123" s="10">
        <f t="shared" si="30"/>
        <v>0</v>
      </c>
      <c r="H123" s="35">
        <v>154569</v>
      </c>
      <c r="I123" s="19">
        <f t="shared" si="32"/>
        <v>0</v>
      </c>
      <c r="J123" s="33">
        <v>0</v>
      </c>
      <c r="K123" s="28">
        <f t="shared" si="27"/>
        <v>0</v>
      </c>
      <c r="L123" s="18">
        <f t="shared" si="28"/>
        <v>0</v>
      </c>
      <c r="M123" s="22">
        <f t="shared" si="28"/>
        <v>0</v>
      </c>
      <c r="N123" s="71">
        <f t="shared" si="31"/>
        <v>0</v>
      </c>
      <c r="O123" s="137"/>
    </row>
    <row r="124" spans="1:17" ht="23.4" customHeight="1">
      <c r="A124" s="76">
        <v>11</v>
      </c>
      <c r="B124" s="138" t="s">
        <v>122</v>
      </c>
      <c r="C124" s="35">
        <v>36223</v>
      </c>
      <c r="D124" s="35">
        <v>36223</v>
      </c>
      <c r="E124" s="17">
        <f t="shared" si="29"/>
        <v>0</v>
      </c>
      <c r="F124" s="33">
        <v>0</v>
      </c>
      <c r="G124" s="10">
        <f t="shared" si="30"/>
        <v>0</v>
      </c>
      <c r="H124" s="35">
        <v>36223</v>
      </c>
      <c r="I124" s="19">
        <f t="shared" si="32"/>
        <v>0</v>
      </c>
      <c r="J124" s="33">
        <v>0</v>
      </c>
      <c r="K124" s="28">
        <f t="shared" si="27"/>
        <v>0</v>
      </c>
      <c r="L124" s="18">
        <f t="shared" si="28"/>
        <v>0</v>
      </c>
      <c r="M124" s="22">
        <f t="shared" si="28"/>
        <v>0</v>
      </c>
      <c r="N124" s="71">
        <f t="shared" si="31"/>
        <v>0</v>
      </c>
      <c r="O124" s="37"/>
      <c r="Q124" s="38"/>
    </row>
    <row r="125" spans="1:17" ht="22.2" customHeight="1">
      <c r="A125" s="76">
        <v>12</v>
      </c>
      <c r="B125" s="138" t="s">
        <v>123</v>
      </c>
      <c r="C125" s="35">
        <v>15392</v>
      </c>
      <c r="D125" s="35">
        <v>15392</v>
      </c>
      <c r="E125" s="17">
        <f t="shared" si="29"/>
        <v>0</v>
      </c>
      <c r="F125" s="33">
        <v>0</v>
      </c>
      <c r="G125" s="78">
        <f t="shared" si="30"/>
        <v>0</v>
      </c>
      <c r="H125" s="35">
        <v>15392</v>
      </c>
      <c r="I125" s="19">
        <f t="shared" si="32"/>
        <v>0</v>
      </c>
      <c r="J125" s="33">
        <v>0</v>
      </c>
      <c r="K125" s="28">
        <f t="shared" si="27"/>
        <v>0</v>
      </c>
      <c r="L125" s="18">
        <f t="shared" si="28"/>
        <v>0</v>
      </c>
      <c r="M125" s="79">
        <f t="shared" si="28"/>
        <v>0</v>
      </c>
      <c r="N125" s="71">
        <f t="shared" si="31"/>
        <v>0</v>
      </c>
      <c r="O125" s="37"/>
      <c r="Q125" s="45"/>
    </row>
    <row r="126" spans="1:17" ht="21.6" customHeight="1">
      <c r="A126" s="76">
        <v>13</v>
      </c>
      <c r="B126" s="171" t="s">
        <v>124</v>
      </c>
      <c r="C126" s="35">
        <v>890.2</v>
      </c>
      <c r="D126" s="35">
        <v>890.2</v>
      </c>
      <c r="E126" s="17">
        <f t="shared" si="29"/>
        <v>0</v>
      </c>
      <c r="F126" s="35">
        <v>0</v>
      </c>
      <c r="G126" s="78">
        <f t="shared" si="30"/>
        <v>0</v>
      </c>
      <c r="H126" s="35">
        <v>890.2</v>
      </c>
      <c r="I126" s="19">
        <f t="shared" si="32"/>
        <v>0</v>
      </c>
      <c r="J126" s="35">
        <v>0</v>
      </c>
      <c r="K126" s="28">
        <f t="shared" si="27"/>
        <v>0</v>
      </c>
      <c r="L126" s="18">
        <f t="shared" si="28"/>
        <v>0</v>
      </c>
      <c r="M126" s="79">
        <f t="shared" si="28"/>
        <v>0</v>
      </c>
      <c r="N126" s="71">
        <f t="shared" si="31"/>
        <v>0</v>
      </c>
      <c r="O126" s="37"/>
      <c r="Q126" s="45"/>
    </row>
    <row r="127" spans="1:17" ht="21.6" customHeight="1">
      <c r="A127" s="76">
        <v>14</v>
      </c>
      <c r="B127" s="171" t="s">
        <v>174</v>
      </c>
      <c r="C127" s="35">
        <v>1676</v>
      </c>
      <c r="D127" s="35">
        <v>1676</v>
      </c>
      <c r="E127" s="17">
        <f t="shared" si="29"/>
        <v>0</v>
      </c>
      <c r="F127" s="35">
        <v>0</v>
      </c>
      <c r="G127" s="78">
        <f t="shared" si="30"/>
        <v>0</v>
      </c>
      <c r="H127" s="35">
        <v>1676</v>
      </c>
      <c r="I127" s="19">
        <f t="shared" si="32"/>
        <v>0</v>
      </c>
      <c r="J127" s="141">
        <v>0</v>
      </c>
      <c r="K127" s="28">
        <f t="shared" si="27"/>
        <v>0</v>
      </c>
      <c r="L127" s="18">
        <f t="shared" si="28"/>
        <v>0</v>
      </c>
      <c r="M127" s="79">
        <f t="shared" si="28"/>
        <v>0</v>
      </c>
      <c r="N127" s="71">
        <f t="shared" si="31"/>
        <v>0</v>
      </c>
      <c r="O127" s="37"/>
      <c r="Q127" s="45"/>
    </row>
    <row r="128" spans="1:17" ht="25.2" customHeight="1">
      <c r="A128" s="76">
        <v>15</v>
      </c>
      <c r="B128" s="138" t="s">
        <v>127</v>
      </c>
      <c r="C128" s="35">
        <v>0</v>
      </c>
      <c r="D128" s="35">
        <v>0</v>
      </c>
      <c r="E128" s="17">
        <f t="shared" si="29"/>
        <v>0</v>
      </c>
      <c r="F128" s="33">
        <v>0</v>
      </c>
      <c r="G128" s="78">
        <f t="shared" si="30"/>
        <v>0</v>
      </c>
      <c r="H128" s="35">
        <v>0</v>
      </c>
      <c r="I128" s="19">
        <f t="shared" si="32"/>
        <v>0</v>
      </c>
      <c r="J128" s="33">
        <v>0</v>
      </c>
      <c r="K128" s="28">
        <f t="shared" si="27"/>
        <v>0</v>
      </c>
      <c r="L128" s="18">
        <f t="shared" si="28"/>
        <v>0</v>
      </c>
      <c r="M128" s="79">
        <f t="shared" si="28"/>
        <v>0</v>
      </c>
      <c r="N128" s="71">
        <f t="shared" si="31"/>
        <v>0</v>
      </c>
      <c r="O128" s="77"/>
      <c r="Q128" s="45"/>
    </row>
    <row r="129" spans="1:16" ht="18">
      <c r="A129" s="196" t="s">
        <v>28</v>
      </c>
      <c r="B129" s="197"/>
      <c r="C129" s="123"/>
      <c r="D129" s="123"/>
      <c r="E129" s="40">
        <f>SUM(E114:E128)</f>
        <v>43.11999999999972</v>
      </c>
      <c r="F129" s="40">
        <f>SUM(F114:F128)</f>
        <v>187</v>
      </c>
      <c r="G129" s="39"/>
      <c r="H129" s="39"/>
      <c r="I129" s="40">
        <f>SUM(I114:I128)</f>
        <v>279</v>
      </c>
      <c r="J129" s="40">
        <f>SUM(J114:J128)</f>
        <v>185.51</v>
      </c>
      <c r="K129" s="145"/>
      <c r="L129" s="146">
        <f>SUM(L114:L128)</f>
        <v>322.11999999999972</v>
      </c>
      <c r="M129" s="147">
        <f>SUM(M114:M128)</f>
        <v>372.51</v>
      </c>
      <c r="N129" s="34"/>
      <c r="O129" s="37"/>
      <c r="P129" s="72"/>
    </row>
    <row r="130" spans="1:16" ht="21.6" thickBot="1">
      <c r="A130" s="148"/>
      <c r="B130" s="149"/>
      <c r="C130" s="149"/>
      <c r="D130" s="149"/>
      <c r="E130" s="149" t="s">
        <v>139</v>
      </c>
      <c r="F130" s="150">
        <f>F18+F24+F33+F39+F45+G110+F129</f>
        <v>1200</v>
      </c>
      <c r="G130" s="149"/>
      <c r="H130" s="149"/>
      <c r="I130" s="151" t="s">
        <v>140</v>
      </c>
      <c r="J130" s="150">
        <f>J18+J24+J33+J39+J45+M110+J129</f>
        <v>11354.35</v>
      </c>
      <c r="K130" s="198" t="s">
        <v>141</v>
      </c>
      <c r="L130" s="198"/>
      <c r="M130" s="198"/>
      <c r="N130" s="198"/>
      <c r="O130" s="152"/>
    </row>
    <row r="131" spans="1:16" ht="15">
      <c r="B131" s="153"/>
      <c r="C131" s="152"/>
      <c r="D131" s="152"/>
      <c r="E131" s="152"/>
      <c r="F131" s="152"/>
      <c r="G131" s="152"/>
      <c r="H131" s="152"/>
      <c r="I131" s="152"/>
      <c r="J131" s="154"/>
      <c r="K131" s="155" t="s">
        <v>142</v>
      </c>
      <c r="L131" s="199">
        <f>N2</f>
        <v>46208</v>
      </c>
      <c r="M131" s="200"/>
      <c r="N131" s="156"/>
      <c r="O131" s="157">
        <f>M129-N137</f>
        <v>372.51</v>
      </c>
    </row>
    <row r="132" spans="1:16" ht="18">
      <c r="B132" s="158" t="s">
        <v>143</v>
      </c>
      <c r="C132" s="159">
        <f>F130</f>
        <v>1200</v>
      </c>
      <c r="D132" s="160"/>
      <c r="E132" s="160"/>
      <c r="F132" s="159"/>
      <c r="G132" s="160"/>
      <c r="H132" s="160"/>
      <c r="I132" s="160"/>
      <c r="J132" s="45"/>
      <c r="K132" s="188" t="s">
        <v>144</v>
      </c>
      <c r="L132" s="189"/>
      <c r="M132" s="190"/>
      <c r="N132" s="161">
        <f>P110</f>
        <v>7450.99</v>
      </c>
      <c r="O132" s="152"/>
    </row>
    <row r="133" spans="1:16" ht="18">
      <c r="B133" s="158" t="s">
        <v>145</v>
      </c>
      <c r="C133" s="159">
        <f>J130</f>
        <v>11354.35</v>
      </c>
      <c r="D133" s="160"/>
      <c r="E133" s="160"/>
      <c r="F133" s="159"/>
      <c r="G133" s="159"/>
      <c r="H133" s="160"/>
      <c r="I133" s="160"/>
      <c r="J133" s="45"/>
      <c r="K133" s="188" t="s">
        <v>146</v>
      </c>
      <c r="L133" s="189"/>
      <c r="M133" s="190"/>
      <c r="N133" s="161">
        <f>M18</f>
        <v>2768</v>
      </c>
      <c r="O133" s="152"/>
    </row>
    <row r="134" spans="1:16" ht="18">
      <c r="B134" s="158" t="s">
        <v>28</v>
      </c>
      <c r="C134" s="159">
        <f>C132+C133</f>
        <v>12554.35</v>
      </c>
      <c r="D134" s="160"/>
      <c r="E134" s="160"/>
      <c r="F134" s="160"/>
      <c r="G134" s="159"/>
      <c r="H134" s="160"/>
      <c r="I134" s="160"/>
      <c r="K134" s="188" t="s">
        <v>147</v>
      </c>
      <c r="L134" s="189"/>
      <c r="M134" s="190"/>
      <c r="N134" s="161">
        <f>M33</f>
        <v>1055.6399999999999</v>
      </c>
    </row>
    <row r="135" spans="1:16" ht="18">
      <c r="C135" s="45"/>
      <c r="D135" s="45"/>
      <c r="E135" s="45"/>
      <c r="F135" s="45"/>
      <c r="G135" s="45"/>
      <c r="H135" s="160" t="s">
        <v>94</v>
      </c>
      <c r="I135" s="45"/>
      <c r="K135" s="188" t="s">
        <v>148</v>
      </c>
      <c r="L135" s="189"/>
      <c r="M135" s="190"/>
      <c r="N135" s="161">
        <f>M39</f>
        <v>490.85</v>
      </c>
    </row>
    <row r="136" spans="1:16" ht="25.2" customHeight="1">
      <c r="B136" s="162" t="s">
        <v>149</v>
      </c>
      <c r="C136" s="193"/>
      <c r="D136" s="193"/>
      <c r="E136" s="193"/>
      <c r="F136" s="193"/>
      <c r="G136" s="193"/>
      <c r="H136" s="193"/>
      <c r="I136" s="193"/>
      <c r="J136" s="193"/>
      <c r="K136" s="188" t="s">
        <v>150</v>
      </c>
      <c r="L136" s="189"/>
      <c r="M136" s="190"/>
      <c r="N136" s="161">
        <f>M45</f>
        <v>0</v>
      </c>
    </row>
    <row r="137" spans="1:16" ht="18">
      <c r="C137" s="45"/>
      <c r="D137" s="45"/>
      <c r="E137" s="26"/>
      <c r="F137" s="26"/>
      <c r="G137" s="45"/>
      <c r="H137" s="160"/>
      <c r="I137" s="45"/>
      <c r="K137" s="188" t="s">
        <v>151</v>
      </c>
      <c r="L137" s="189"/>
      <c r="M137" s="190"/>
      <c r="N137" s="161">
        <f>M118+M119+M120+M121</f>
        <v>0</v>
      </c>
    </row>
    <row r="138" spans="1:16" ht="18">
      <c r="E138" s="38"/>
      <c r="F138" s="45"/>
      <c r="G138" s="45"/>
      <c r="H138" s="160"/>
      <c r="I138" s="45"/>
      <c r="K138" s="188" t="s">
        <v>152</v>
      </c>
      <c r="L138" s="189"/>
      <c r="M138" s="190"/>
      <c r="N138" s="161">
        <f>O131</f>
        <v>372.51</v>
      </c>
    </row>
    <row r="139" spans="1:16" ht="18.600000000000001" thickBot="1">
      <c r="C139" s="38"/>
      <c r="D139" s="38"/>
      <c r="G139" s="163"/>
      <c r="H139" s="160"/>
      <c r="K139" s="188" t="s">
        <v>153</v>
      </c>
      <c r="L139" s="189"/>
      <c r="M139" s="190"/>
      <c r="N139" s="164">
        <f>M24</f>
        <v>416.36</v>
      </c>
      <c r="P139" s="38"/>
    </row>
    <row r="140" spans="1:16" ht="16.8" thickBot="1">
      <c r="C140" s="38"/>
      <c r="D140" s="38"/>
      <c r="E140" s="38"/>
      <c r="F140" s="38"/>
      <c r="H140" s="38"/>
      <c r="K140" s="191" t="s">
        <v>154</v>
      </c>
      <c r="L140" s="192"/>
      <c r="M140" s="192"/>
      <c r="N140" s="165">
        <f>SUM(N132:N139)</f>
        <v>12554.35</v>
      </c>
    </row>
    <row r="141" spans="1:16">
      <c r="C141" s="38"/>
      <c r="D141" s="38"/>
      <c r="E141" s="159"/>
      <c r="F141" s="159"/>
      <c r="H141" s="38"/>
      <c r="I141" s="38"/>
    </row>
    <row r="142" spans="1:16">
      <c r="C142" s="38"/>
      <c r="D142" s="38"/>
      <c r="E142" s="38"/>
      <c r="F142" s="38"/>
      <c r="H142" s="160"/>
    </row>
    <row r="143" spans="1:16">
      <c r="A143" s="159"/>
      <c r="B143" s="159"/>
      <c r="C143" s="159"/>
      <c r="D143" s="159"/>
      <c r="E143" s="159"/>
      <c r="F143" s="159"/>
      <c r="G143" s="38"/>
      <c r="H143" s="38"/>
      <c r="N143" s="45"/>
    </row>
    <row r="144" spans="1:16">
      <c r="A144" s="159"/>
    </row>
  </sheetData>
  <mergeCells count="72">
    <mergeCell ref="A1:N1"/>
    <mergeCell ref="A2:L2"/>
    <mergeCell ref="A3:A4"/>
    <mergeCell ref="B3:B4"/>
    <mergeCell ref="C3:G3"/>
    <mergeCell ref="H3:L3"/>
    <mergeCell ref="M3:M4"/>
    <mergeCell ref="N3:N4"/>
    <mergeCell ref="O3:O4"/>
    <mergeCell ref="P3:P4"/>
    <mergeCell ref="A18:B18"/>
    <mergeCell ref="A19:L19"/>
    <mergeCell ref="A20:A21"/>
    <mergeCell ref="B20:B21"/>
    <mergeCell ref="C20:G20"/>
    <mergeCell ref="H20:K20"/>
    <mergeCell ref="M20:M21"/>
    <mergeCell ref="N20:N21"/>
    <mergeCell ref="A24:B24"/>
    <mergeCell ref="A25:L25"/>
    <mergeCell ref="A26:A27"/>
    <mergeCell ref="B26:B27"/>
    <mergeCell ref="C26:G26"/>
    <mergeCell ref="H26:K26"/>
    <mergeCell ref="M26:M27"/>
    <mergeCell ref="N26:N27"/>
    <mergeCell ref="A33:B33"/>
    <mergeCell ref="A34:L34"/>
    <mergeCell ref="A35:A36"/>
    <mergeCell ref="B35:B36"/>
    <mergeCell ref="C35:G35"/>
    <mergeCell ref="H35:K35"/>
    <mergeCell ref="M35:M36"/>
    <mergeCell ref="N35:N36"/>
    <mergeCell ref="A39:B39"/>
    <mergeCell ref="A40:L40"/>
    <mergeCell ref="A41:A42"/>
    <mergeCell ref="B41:B42"/>
    <mergeCell ref="C41:G41"/>
    <mergeCell ref="H41:K41"/>
    <mergeCell ref="M41:M42"/>
    <mergeCell ref="N41:N42"/>
    <mergeCell ref="A45:B45"/>
    <mergeCell ref="A46:L46"/>
    <mergeCell ref="A47:A48"/>
    <mergeCell ref="B47:B48"/>
    <mergeCell ref="C47:H47"/>
    <mergeCell ref="I47:N47"/>
    <mergeCell ref="K133:M133"/>
    <mergeCell ref="O47:O48"/>
    <mergeCell ref="P47:P48"/>
    <mergeCell ref="Q47:Q48"/>
    <mergeCell ref="R47:R48"/>
    <mergeCell ref="A111:L111"/>
    <mergeCell ref="A112:A113"/>
    <mergeCell ref="B112:B113"/>
    <mergeCell ref="C112:G112"/>
    <mergeCell ref="H112:K112"/>
    <mergeCell ref="M112:M113"/>
    <mergeCell ref="N112:N113"/>
    <mergeCell ref="A129:B129"/>
    <mergeCell ref="K130:N130"/>
    <mergeCell ref="L131:M131"/>
    <mergeCell ref="K132:M132"/>
    <mergeCell ref="K139:M139"/>
    <mergeCell ref="K140:M140"/>
    <mergeCell ref="K134:M134"/>
    <mergeCell ref="K135:M135"/>
    <mergeCell ref="C136:J136"/>
    <mergeCell ref="K136:M136"/>
    <mergeCell ref="K137:M137"/>
    <mergeCell ref="K138:M138"/>
  </mergeCells>
  <conditionalFormatting sqref="N7:N19 N22:N23 N28:N32 N37:N38 N43:N44">
    <cfRule type="cellIs" dxfId="43" priority="2" operator="greaterThan">
      <formula>40</formula>
    </cfRule>
  </conditionalFormatting>
  <conditionalFormatting sqref="Q49:Q110">
    <cfRule type="cellIs" dxfId="42" priority="1" operator="lessThan">
      <formula>0.5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4600C-3E3A-4AF4-8E50-6B5C91EF9C4F}">
  <dimension ref="A1:AA144"/>
  <sheetViews>
    <sheetView zoomScale="74" zoomScaleNormal="74" workbookViewId="0">
      <pane ySplit="1" topLeftCell="A62" activePane="bottomLeft" state="frozen"/>
      <selection pane="bottomLeft" activeCell="H141" sqref="H141"/>
    </sheetView>
  </sheetViews>
  <sheetFormatPr defaultColWidth="9" defaultRowHeight="14.4"/>
  <cols>
    <col min="1" max="1" width="8.5546875" customWidth="1"/>
    <col min="2" max="2" width="29.44140625" bestFit="1" customWidth="1"/>
    <col min="3" max="3" width="11.6640625" customWidth="1"/>
    <col min="4" max="4" width="8.77734375" customWidth="1"/>
    <col min="5" max="5" width="9.77734375" customWidth="1"/>
    <col min="6" max="6" width="13.6640625" customWidth="1"/>
    <col min="7" max="7" width="10" customWidth="1"/>
    <col min="8" max="8" width="9.77734375" customWidth="1"/>
    <col min="9" max="9" width="12.77734375" bestFit="1" customWidth="1"/>
    <col min="10" max="10" width="10.6640625" bestFit="1" customWidth="1"/>
    <col min="11" max="11" width="15.77734375" customWidth="1"/>
    <col min="12" max="12" width="10.77734375" customWidth="1"/>
    <col min="13" max="13" width="12.5546875" customWidth="1"/>
    <col min="14" max="14" width="17.88671875" customWidth="1"/>
    <col min="15" max="15" width="12" customWidth="1"/>
    <col min="16" max="16" width="10.44140625" customWidth="1"/>
    <col min="17" max="17" width="11.109375" bestFit="1" customWidth="1"/>
    <col min="19" max="19" width="9.21875" bestFit="1" customWidth="1"/>
    <col min="20" max="20" width="8.21875" bestFit="1" customWidth="1"/>
    <col min="21" max="22" width="11.21875" customWidth="1"/>
  </cols>
  <sheetData>
    <row r="1" spans="1:22" ht="18.600000000000001" thickBot="1">
      <c r="A1" s="249" t="s">
        <v>0</v>
      </c>
      <c r="B1" s="249"/>
      <c r="C1" s="249"/>
      <c r="D1" s="249"/>
      <c r="E1" s="249"/>
      <c r="F1" s="249"/>
      <c r="G1" s="249"/>
      <c r="H1" s="249"/>
      <c r="I1" s="249"/>
      <c r="J1" s="249"/>
      <c r="K1" s="249"/>
      <c r="L1" s="249"/>
      <c r="M1" s="249"/>
      <c r="N1" s="249"/>
      <c r="O1" s="1"/>
      <c r="V1" s="2"/>
    </row>
    <row r="2" spans="1:22" ht="19.8" customHeight="1" thickBot="1">
      <c r="A2" s="250" t="s">
        <v>1</v>
      </c>
      <c r="B2" s="251"/>
      <c r="C2" s="252"/>
      <c r="D2" s="252"/>
      <c r="E2" s="252"/>
      <c r="F2" s="252"/>
      <c r="G2" s="252"/>
      <c r="H2" s="252"/>
      <c r="I2" s="252"/>
      <c r="J2" s="252"/>
      <c r="K2" s="252"/>
      <c r="L2" s="251"/>
      <c r="M2" s="3" t="s">
        <v>2</v>
      </c>
      <c r="N2" s="4">
        <v>46209</v>
      </c>
      <c r="O2" s="1"/>
    </row>
    <row r="3" spans="1:22" ht="18" customHeight="1">
      <c r="A3" s="209" t="s">
        <v>3</v>
      </c>
      <c r="B3" s="211" t="s">
        <v>4</v>
      </c>
      <c r="C3" s="213" t="s">
        <v>5</v>
      </c>
      <c r="D3" s="214"/>
      <c r="E3" s="214"/>
      <c r="F3" s="214"/>
      <c r="G3" s="215"/>
      <c r="H3" s="253" t="s">
        <v>6</v>
      </c>
      <c r="I3" s="254"/>
      <c r="J3" s="254"/>
      <c r="K3" s="254"/>
      <c r="L3" s="255"/>
      <c r="M3" s="219" t="s">
        <v>7</v>
      </c>
      <c r="N3" s="194" t="s">
        <v>8</v>
      </c>
      <c r="O3" s="243" t="s">
        <v>9</v>
      </c>
      <c r="P3" s="222" t="s">
        <v>10</v>
      </c>
    </row>
    <row r="4" spans="1:22" ht="22.8" customHeight="1">
      <c r="A4" s="247"/>
      <c r="B4" s="248"/>
      <c r="C4" s="6" t="s">
        <v>11</v>
      </c>
      <c r="D4" s="6" t="s">
        <v>12</v>
      </c>
      <c r="E4" s="6" t="s">
        <v>13</v>
      </c>
      <c r="F4" s="6" t="s">
        <v>14</v>
      </c>
      <c r="G4" s="6" t="s">
        <v>8</v>
      </c>
      <c r="H4" s="6" t="s">
        <v>12</v>
      </c>
      <c r="I4" s="6" t="s">
        <v>13</v>
      </c>
      <c r="J4" s="6" t="s">
        <v>14</v>
      </c>
      <c r="K4" s="7" t="s">
        <v>8</v>
      </c>
      <c r="L4" s="8" t="s">
        <v>15</v>
      </c>
      <c r="M4" s="236"/>
      <c r="N4" s="237"/>
      <c r="O4" s="248"/>
      <c r="P4" s="243"/>
    </row>
    <row r="5" spans="1:22" ht="22.8" customHeight="1">
      <c r="A5" s="5">
        <v>1</v>
      </c>
      <c r="B5" s="9" t="s">
        <v>175</v>
      </c>
      <c r="C5" s="2">
        <v>31949.5</v>
      </c>
      <c r="D5" s="2">
        <v>31960.799999999999</v>
      </c>
      <c r="E5" s="2">
        <f>D5-C5</f>
        <v>11.299999999999272</v>
      </c>
      <c r="F5" s="2">
        <v>243.77</v>
      </c>
      <c r="G5" s="10">
        <f>IFERROR(F5/E5,0)</f>
        <v>21.572566371682807</v>
      </c>
      <c r="H5" s="2">
        <v>31960.799999999999</v>
      </c>
      <c r="I5" s="167">
        <f>H5-D5</f>
        <v>0</v>
      </c>
      <c r="J5" s="2">
        <v>0</v>
      </c>
      <c r="K5" s="11">
        <f>IFERROR(J5/I5,0)</f>
        <v>0</v>
      </c>
      <c r="L5" s="12">
        <f>E5+I5</f>
        <v>11.299999999999272</v>
      </c>
      <c r="M5" s="13">
        <f>F5+J5</f>
        <v>243.77</v>
      </c>
      <c r="N5" s="14">
        <f>IFERROR(M5/L5,0)</f>
        <v>21.572566371682807</v>
      </c>
      <c r="O5" s="2">
        <v>21</v>
      </c>
      <c r="P5" s="5"/>
    </row>
    <row r="6" spans="1:22" ht="22.8" customHeight="1">
      <c r="A6" s="81">
        <v>2</v>
      </c>
      <c r="B6" s="16" t="s">
        <v>170</v>
      </c>
      <c r="C6" s="49">
        <v>33713.9</v>
      </c>
      <c r="D6" s="49">
        <v>33719.9</v>
      </c>
      <c r="E6" s="2">
        <f>D6-C6</f>
        <v>6</v>
      </c>
      <c r="F6" s="49">
        <v>153</v>
      </c>
      <c r="G6" s="10">
        <f>IFERROR(F6/E6,0)</f>
        <v>25.5</v>
      </c>
      <c r="H6" s="49">
        <v>33726.699999999997</v>
      </c>
      <c r="I6" s="167">
        <f>H6-D6</f>
        <v>6.7999999999956344</v>
      </c>
      <c r="J6" s="49">
        <v>202.26</v>
      </c>
      <c r="K6" s="11">
        <f>IFERROR(J6/I6,0)</f>
        <v>29.744117647077918</v>
      </c>
      <c r="L6" s="169">
        <v>0</v>
      </c>
      <c r="M6" s="13">
        <f>F6+J6</f>
        <v>355.26</v>
      </c>
      <c r="N6" s="14">
        <f>IFERROR(M6/L6,0)</f>
        <v>0</v>
      </c>
      <c r="O6" s="49">
        <v>168</v>
      </c>
      <c r="P6" s="81"/>
    </row>
    <row r="7" spans="1:22" ht="24" customHeight="1">
      <c r="A7" s="5">
        <v>3</v>
      </c>
      <c r="B7" s="16" t="s">
        <v>17</v>
      </c>
      <c r="C7" s="17">
        <v>32493.3</v>
      </c>
      <c r="D7" s="17">
        <v>32493.3</v>
      </c>
      <c r="E7" s="17">
        <f t="shared" ref="E7:E17" si="0">D7-C7</f>
        <v>0</v>
      </c>
      <c r="F7" s="18">
        <v>0</v>
      </c>
      <c r="G7" s="10">
        <f>IFERROR(F7/E7,0)</f>
        <v>0</v>
      </c>
      <c r="H7" s="17">
        <v>32493.3</v>
      </c>
      <c r="I7" s="19">
        <f t="shared" ref="I7:I14" si="1">H7-D7</f>
        <v>0</v>
      </c>
      <c r="J7" s="20">
        <v>0</v>
      </c>
      <c r="K7" s="21">
        <f>IFERROR(J7/I7,0)</f>
        <v>0</v>
      </c>
      <c r="L7" s="18">
        <f>E7+I7</f>
        <v>0</v>
      </c>
      <c r="M7" s="22">
        <f>F7+J7</f>
        <v>0</v>
      </c>
      <c r="N7" s="23">
        <f>IFERROR(M7/L7,0)</f>
        <v>0</v>
      </c>
      <c r="O7" s="24">
        <v>0</v>
      </c>
      <c r="P7" s="25"/>
      <c r="Q7" s="26"/>
    </row>
    <row r="8" spans="1:22" ht="25.8" customHeight="1">
      <c r="A8" s="81">
        <v>4</v>
      </c>
      <c r="B8" s="16" t="s">
        <v>18</v>
      </c>
      <c r="C8" s="17">
        <v>24524.2</v>
      </c>
      <c r="D8" s="17">
        <v>24538.2</v>
      </c>
      <c r="E8" s="17">
        <f t="shared" si="0"/>
        <v>14</v>
      </c>
      <c r="F8" s="18">
        <v>472</v>
      </c>
      <c r="G8" s="10">
        <f t="shared" ref="G8:G13" si="2">IFERROR(F8/E8,0)</f>
        <v>33.714285714285715</v>
      </c>
      <c r="H8" s="17">
        <v>24545.4</v>
      </c>
      <c r="I8" s="19">
        <f t="shared" si="1"/>
        <v>7.2000000000007276</v>
      </c>
      <c r="J8" s="20">
        <v>267.68</v>
      </c>
      <c r="K8" s="28">
        <f t="shared" ref="K8:K14" si="3">IFERROR(J8/I8,0)</f>
        <v>37.177777777774018</v>
      </c>
      <c r="L8" s="18">
        <f t="shared" ref="L8:M16" si="4">E8+I8</f>
        <v>21.200000000000728</v>
      </c>
      <c r="M8" s="22">
        <f t="shared" si="4"/>
        <v>739.68000000000006</v>
      </c>
      <c r="N8" s="23">
        <f t="shared" ref="N8:N17" si="5">IFERROR(M8/L8,0)</f>
        <v>34.890566037734658</v>
      </c>
      <c r="O8" s="29">
        <v>216</v>
      </c>
      <c r="P8" s="30"/>
      <c r="Q8" s="26"/>
      <c r="S8" s="26"/>
    </row>
    <row r="9" spans="1:22" ht="25.8" customHeight="1">
      <c r="A9" s="5">
        <v>5</v>
      </c>
      <c r="B9" s="31" t="s">
        <v>19</v>
      </c>
      <c r="C9" s="17">
        <v>32475.3</v>
      </c>
      <c r="D9" s="17">
        <v>32475.3</v>
      </c>
      <c r="E9" s="17">
        <f t="shared" si="0"/>
        <v>0</v>
      </c>
      <c r="F9" s="32">
        <v>0</v>
      </c>
      <c r="G9" s="10">
        <f t="shared" si="2"/>
        <v>0</v>
      </c>
      <c r="H9" s="17">
        <v>32479.7</v>
      </c>
      <c r="I9" s="19">
        <f t="shared" si="1"/>
        <v>4.4000000000014552</v>
      </c>
      <c r="J9" s="33">
        <v>115.55</v>
      </c>
      <c r="K9" s="28">
        <f t="shared" si="3"/>
        <v>26.26136363635495</v>
      </c>
      <c r="L9" s="18">
        <f t="shared" si="4"/>
        <v>4.4000000000014552</v>
      </c>
      <c r="M9" s="22">
        <f t="shared" si="4"/>
        <v>115.55</v>
      </c>
      <c r="N9" s="23">
        <f t="shared" si="5"/>
        <v>26.26136363635495</v>
      </c>
      <c r="O9" s="29">
        <v>45</v>
      </c>
      <c r="P9" s="30"/>
      <c r="Q9" s="26"/>
      <c r="S9" s="26"/>
    </row>
    <row r="10" spans="1:22" ht="25.8" customHeight="1">
      <c r="A10" s="81">
        <v>6</v>
      </c>
      <c r="B10" s="16" t="s">
        <v>20</v>
      </c>
      <c r="C10" s="17">
        <v>33404.800000000003</v>
      </c>
      <c r="D10" s="17">
        <v>33418.199999999997</v>
      </c>
      <c r="E10" s="17">
        <f>D10-C10</f>
        <v>13.399999999994179</v>
      </c>
      <c r="F10" s="34">
        <v>502.22</v>
      </c>
      <c r="G10" s="10">
        <f>IFERROR(F10/E10,0)</f>
        <v>37.479104477628219</v>
      </c>
      <c r="H10" s="17">
        <v>33425</v>
      </c>
      <c r="I10" s="19">
        <f>H10-D10</f>
        <v>6.8000000000029104</v>
      </c>
      <c r="J10" s="33">
        <v>242.94</v>
      </c>
      <c r="K10" s="28">
        <f>IFERROR(J10/I10,0)</f>
        <v>35.726470588220003</v>
      </c>
      <c r="L10" s="18">
        <f>E10+I10</f>
        <v>20.19999999999709</v>
      </c>
      <c r="M10" s="22">
        <f>F10+J10</f>
        <v>745.16000000000008</v>
      </c>
      <c r="N10" s="23">
        <f>IFERROR(M10/L10,0)</f>
        <v>36.889108910896411</v>
      </c>
      <c r="O10" s="29">
        <v>197</v>
      </c>
      <c r="P10" s="30"/>
      <c r="Q10" s="26"/>
      <c r="S10" s="26"/>
    </row>
    <row r="11" spans="1:22" ht="22.8" customHeight="1">
      <c r="A11" s="5">
        <v>7</v>
      </c>
      <c r="B11" s="16" t="s">
        <v>21</v>
      </c>
      <c r="C11" s="17">
        <v>27912.6</v>
      </c>
      <c r="D11" s="17">
        <v>27926.6</v>
      </c>
      <c r="E11" s="17">
        <f t="shared" si="0"/>
        <v>14</v>
      </c>
      <c r="F11" s="32">
        <v>340.46</v>
      </c>
      <c r="G11" s="10">
        <f t="shared" si="2"/>
        <v>24.318571428571428</v>
      </c>
      <c r="H11" s="17">
        <v>27935.1</v>
      </c>
      <c r="I11" s="19">
        <f t="shared" si="1"/>
        <v>8.5</v>
      </c>
      <c r="J11" s="20">
        <v>204.27</v>
      </c>
      <c r="K11" s="28">
        <f t="shared" si="3"/>
        <v>24.031764705882352</v>
      </c>
      <c r="L11" s="18">
        <f t="shared" si="4"/>
        <v>22.5</v>
      </c>
      <c r="M11" s="22">
        <f t="shared" si="4"/>
        <v>544.73</v>
      </c>
      <c r="N11" s="23">
        <f t="shared" si="5"/>
        <v>24.210222222222225</v>
      </c>
      <c r="O11" s="29">
        <v>58</v>
      </c>
      <c r="P11" s="30"/>
      <c r="Q11" s="26"/>
      <c r="S11" s="26"/>
    </row>
    <row r="12" spans="1:22" ht="22.8" customHeight="1">
      <c r="A12" s="81">
        <v>8</v>
      </c>
      <c r="B12" s="31" t="s">
        <v>22</v>
      </c>
      <c r="C12" s="35">
        <v>27281.200000000001</v>
      </c>
      <c r="D12" s="35">
        <v>27304.2</v>
      </c>
      <c r="E12" s="17">
        <f t="shared" si="0"/>
        <v>23</v>
      </c>
      <c r="F12" s="32">
        <v>214.49</v>
      </c>
      <c r="G12" s="10">
        <f t="shared" si="2"/>
        <v>9.3256521739130438</v>
      </c>
      <c r="H12" s="35">
        <v>27304.2</v>
      </c>
      <c r="I12" s="19">
        <f t="shared" si="1"/>
        <v>0</v>
      </c>
      <c r="J12" s="33">
        <v>0</v>
      </c>
      <c r="K12" s="28">
        <f t="shared" si="3"/>
        <v>0</v>
      </c>
      <c r="L12" s="18">
        <f t="shared" si="4"/>
        <v>23</v>
      </c>
      <c r="M12" s="22">
        <f t="shared" si="4"/>
        <v>214.49</v>
      </c>
      <c r="N12" s="23">
        <f t="shared" si="5"/>
        <v>9.3256521739130438</v>
      </c>
      <c r="O12" s="29">
        <v>175</v>
      </c>
      <c r="P12" s="30"/>
      <c r="Q12" s="26"/>
      <c r="S12" s="26"/>
    </row>
    <row r="13" spans="1:22" ht="24" customHeight="1">
      <c r="A13" s="5">
        <v>9</v>
      </c>
      <c r="B13" s="31" t="s">
        <v>23</v>
      </c>
      <c r="C13" s="17">
        <v>22447.65</v>
      </c>
      <c r="D13" s="17">
        <v>22449.62</v>
      </c>
      <c r="E13" s="17">
        <f t="shared" si="0"/>
        <v>1.9699999999975262</v>
      </c>
      <c r="F13" s="34">
        <v>74</v>
      </c>
      <c r="G13" s="10">
        <f t="shared" si="2"/>
        <v>37.563451776696915</v>
      </c>
      <c r="H13" s="17">
        <v>22456.67</v>
      </c>
      <c r="I13" s="19">
        <f t="shared" si="1"/>
        <v>7.0499999999992724</v>
      </c>
      <c r="J13" s="20">
        <v>255.86</v>
      </c>
      <c r="K13" s="28">
        <f t="shared" si="3"/>
        <v>36.29219858156403</v>
      </c>
      <c r="L13" s="18">
        <f t="shared" si="4"/>
        <v>9.0199999999967986</v>
      </c>
      <c r="M13" s="22">
        <f t="shared" si="4"/>
        <v>329.86</v>
      </c>
      <c r="N13" s="23">
        <f t="shared" si="5"/>
        <v>36.569844789369967</v>
      </c>
      <c r="O13" s="29">
        <v>36</v>
      </c>
      <c r="P13" s="36"/>
      <c r="Q13" s="26"/>
      <c r="S13" s="26"/>
    </row>
    <row r="14" spans="1:22" ht="24" customHeight="1">
      <c r="A14" s="81">
        <v>10</v>
      </c>
      <c r="B14" s="31" t="s">
        <v>24</v>
      </c>
      <c r="C14" s="17">
        <v>22453.35</v>
      </c>
      <c r="D14" s="17">
        <v>22466.85</v>
      </c>
      <c r="E14" s="17">
        <f t="shared" si="0"/>
        <v>13.5</v>
      </c>
      <c r="F14" s="32">
        <v>441</v>
      </c>
      <c r="G14" s="10">
        <f>IFERROR(F14/E14,0)</f>
        <v>32.666666666666664</v>
      </c>
      <c r="H14" s="17">
        <v>22466.85</v>
      </c>
      <c r="I14" s="19">
        <f t="shared" si="1"/>
        <v>0</v>
      </c>
      <c r="J14" s="20">
        <v>0</v>
      </c>
      <c r="K14" s="28">
        <f t="shared" si="3"/>
        <v>0</v>
      </c>
      <c r="L14" s="18">
        <f t="shared" si="4"/>
        <v>13.5</v>
      </c>
      <c r="M14" s="22">
        <f t="shared" si="4"/>
        <v>441</v>
      </c>
      <c r="N14" s="23">
        <f t="shared" si="5"/>
        <v>32.666666666666664</v>
      </c>
      <c r="O14" s="29">
        <v>239</v>
      </c>
      <c r="P14" s="37"/>
      <c r="Q14" s="26"/>
      <c r="S14" s="26"/>
    </row>
    <row r="15" spans="1:22" ht="24" customHeight="1">
      <c r="A15" s="5">
        <v>11</v>
      </c>
      <c r="B15" s="31" t="s">
        <v>25</v>
      </c>
      <c r="C15" s="17">
        <v>19898.419999999998</v>
      </c>
      <c r="D15" s="17">
        <v>19908.55</v>
      </c>
      <c r="E15" s="17">
        <f t="shared" si="0"/>
        <v>10.130000000001019</v>
      </c>
      <c r="F15" s="32">
        <v>509.77</v>
      </c>
      <c r="G15" s="10">
        <f>IFERROR(F15/E15,0)</f>
        <v>50.322803553795531</v>
      </c>
      <c r="H15" s="17">
        <v>19915.259999999998</v>
      </c>
      <c r="I15" s="19">
        <f>H15-D15</f>
        <v>6.7099999999991269</v>
      </c>
      <c r="J15" s="20">
        <v>309.88</v>
      </c>
      <c r="K15" s="28">
        <f>IFERROR(J15/I15,0)</f>
        <v>46.181818181824191</v>
      </c>
      <c r="L15" s="18">
        <f>E15+I15</f>
        <v>16.840000000000146</v>
      </c>
      <c r="M15" s="22">
        <f t="shared" si="4"/>
        <v>819.65</v>
      </c>
      <c r="N15" s="23">
        <f t="shared" si="5"/>
        <v>48.672802850355872</v>
      </c>
      <c r="O15" s="29">
        <v>222</v>
      </c>
      <c r="P15" s="37"/>
      <c r="Q15" s="26"/>
      <c r="S15" s="26"/>
      <c r="T15" s="38"/>
    </row>
    <row r="16" spans="1:22" ht="24" customHeight="1">
      <c r="A16" s="81">
        <v>12</v>
      </c>
      <c r="B16" s="31" t="s">
        <v>27</v>
      </c>
      <c r="C16" s="17">
        <v>18190.3</v>
      </c>
      <c r="D16" s="17">
        <v>18207</v>
      </c>
      <c r="E16" s="17">
        <f t="shared" si="0"/>
        <v>16.700000000000728</v>
      </c>
      <c r="F16" s="18">
        <v>194.24</v>
      </c>
      <c r="G16" s="10">
        <f>IFERROR(F16/E16,0)</f>
        <v>11.631137724550392</v>
      </c>
      <c r="H16" s="17">
        <v>18212.099999999999</v>
      </c>
      <c r="I16" s="19">
        <f t="shared" ref="I16" si="6">H16-D16</f>
        <v>5.0999999999985448</v>
      </c>
      <c r="J16" s="20">
        <v>46</v>
      </c>
      <c r="K16" s="28">
        <f t="shared" ref="K16" si="7">IFERROR(J16/I16,0)</f>
        <v>9.0196078431398288</v>
      </c>
      <c r="L16" s="18">
        <f t="shared" ref="L16" si="8">E16+I16</f>
        <v>21.799999999999272</v>
      </c>
      <c r="M16" s="22">
        <f t="shared" si="4"/>
        <v>240.24</v>
      </c>
      <c r="N16" s="23">
        <f t="shared" si="5"/>
        <v>11.020183486238901</v>
      </c>
      <c r="O16" s="29">
        <v>0</v>
      </c>
      <c r="P16" s="37"/>
      <c r="Q16" s="26"/>
      <c r="S16" s="26"/>
      <c r="T16" s="38"/>
    </row>
    <row r="17" spans="1:20" ht="24" customHeight="1">
      <c r="A17" s="5">
        <v>13</v>
      </c>
      <c r="B17" s="31" t="s">
        <v>26</v>
      </c>
      <c r="C17" s="17">
        <v>15231.7</v>
      </c>
      <c r="D17" s="17">
        <v>15231.7</v>
      </c>
      <c r="E17" s="17">
        <f t="shared" si="0"/>
        <v>0</v>
      </c>
      <c r="F17" s="32">
        <v>0</v>
      </c>
      <c r="G17" s="10">
        <f>IFERROR(F17/E17,0)</f>
        <v>0</v>
      </c>
      <c r="H17" s="17">
        <v>15231.7</v>
      </c>
      <c r="I17" s="19">
        <f>H17-D17</f>
        <v>0</v>
      </c>
      <c r="J17" s="20">
        <v>0</v>
      </c>
      <c r="K17" s="28">
        <f>IFERROR(J17/I17,0)</f>
        <v>0</v>
      </c>
      <c r="L17" s="18">
        <f>E17+I17</f>
        <v>0</v>
      </c>
      <c r="M17" s="22">
        <f>F17+J17</f>
        <v>0</v>
      </c>
      <c r="N17" s="23">
        <f t="shared" si="5"/>
        <v>0</v>
      </c>
      <c r="O17" s="29">
        <v>0</v>
      </c>
      <c r="P17" s="37"/>
      <c r="Q17" s="26"/>
      <c r="S17" s="26"/>
      <c r="T17" s="38"/>
    </row>
    <row r="18" spans="1:20" ht="24" customHeight="1">
      <c r="A18" s="196" t="s">
        <v>28</v>
      </c>
      <c r="B18" s="197"/>
      <c r="C18" s="39"/>
      <c r="D18" s="39"/>
      <c r="E18" s="40">
        <f>SUM(E7:E17)</f>
        <v>106.69999999999345</v>
      </c>
      <c r="F18" s="41">
        <f>SUM(F5:F17)</f>
        <v>3144.95</v>
      </c>
      <c r="G18" s="39"/>
      <c r="H18" s="39"/>
      <c r="I18" s="40">
        <f>SUM(I7:I17)</f>
        <v>45.760000000002037</v>
      </c>
      <c r="J18" s="41">
        <f>SUM(J5:J17)</f>
        <v>1644.44</v>
      </c>
      <c r="K18" s="28">
        <f>IFERROR(J18/I18,0)</f>
        <v>35.936188811187215</v>
      </c>
      <c r="L18" s="42">
        <f>SUM(L7:L17)</f>
        <v>152.45999999999549</v>
      </c>
      <c r="M18" s="43">
        <f>SUM(M5:M17)</f>
        <v>4789.3900000000003</v>
      </c>
      <c r="N18" s="23">
        <f>IFERROR(M18/L18,0)</f>
        <v>31.414075823167664</v>
      </c>
      <c r="O18" s="44">
        <f>SUM(O5:O17)</f>
        <v>1377</v>
      </c>
      <c r="P18" s="45"/>
      <c r="S18" s="26"/>
    </row>
    <row r="19" spans="1:20" ht="18" customHeight="1" thickBot="1">
      <c r="A19" s="206" t="s">
        <v>29</v>
      </c>
      <c r="B19" s="207"/>
      <c r="C19" s="207"/>
      <c r="D19" s="207"/>
      <c r="E19" s="207"/>
      <c r="F19" s="207"/>
      <c r="G19" s="207"/>
      <c r="H19" s="207"/>
      <c r="I19" s="207"/>
      <c r="J19" s="207"/>
      <c r="K19" s="207"/>
      <c r="L19" s="208"/>
      <c r="M19" s="46"/>
      <c r="N19" s="47"/>
      <c r="O19" s="37"/>
    </row>
    <row r="20" spans="1:20" ht="22.8" customHeight="1">
      <c r="A20" s="209" t="s">
        <v>3</v>
      </c>
      <c r="B20" s="211" t="s">
        <v>4</v>
      </c>
      <c r="C20" s="234" t="s">
        <v>5</v>
      </c>
      <c r="D20" s="234"/>
      <c r="E20" s="234"/>
      <c r="F20" s="234"/>
      <c r="G20" s="234"/>
      <c r="H20" s="235" t="s">
        <v>6</v>
      </c>
      <c r="I20" s="235"/>
      <c r="J20" s="235"/>
      <c r="K20" s="235"/>
      <c r="L20" s="48"/>
      <c r="M20" s="219" t="s">
        <v>7</v>
      </c>
      <c r="N20" s="194" t="s">
        <v>8</v>
      </c>
      <c r="O20" s="37"/>
    </row>
    <row r="21" spans="1:20" s="51" customFormat="1" ht="24" customHeight="1" thickBot="1">
      <c r="A21" s="210"/>
      <c r="B21" s="212"/>
      <c r="C21" s="49" t="s">
        <v>11</v>
      </c>
      <c r="D21" s="49" t="s">
        <v>12</v>
      </c>
      <c r="E21" s="49" t="s">
        <v>13</v>
      </c>
      <c r="F21" s="2" t="s">
        <v>14</v>
      </c>
      <c r="G21" s="2" t="s">
        <v>8</v>
      </c>
      <c r="H21" s="49" t="s">
        <v>12</v>
      </c>
      <c r="I21" s="49" t="s">
        <v>13</v>
      </c>
      <c r="J21" s="49" t="s">
        <v>14</v>
      </c>
      <c r="K21" s="7" t="s">
        <v>8</v>
      </c>
      <c r="L21" s="50" t="s">
        <v>15</v>
      </c>
      <c r="M21" s="220"/>
      <c r="N21" s="195"/>
      <c r="O21" s="37"/>
      <c r="Q21"/>
      <c r="R21"/>
      <c r="S21"/>
      <c r="T21"/>
    </row>
    <row r="22" spans="1:20" s="51" customFormat="1" ht="24" customHeight="1">
      <c r="A22" s="27">
        <v>1</v>
      </c>
      <c r="B22" s="52" t="s">
        <v>30</v>
      </c>
      <c r="C22" s="6">
        <v>18730</v>
      </c>
      <c r="D22" s="6">
        <v>18741.400000000001</v>
      </c>
      <c r="E22" s="53">
        <f>D22-C22</f>
        <v>11.400000000001455</v>
      </c>
      <c r="F22" s="54">
        <v>164.61</v>
      </c>
      <c r="G22" s="55">
        <f>IFERROR(F22/E22,0)</f>
        <v>14.439473684208684</v>
      </c>
      <c r="H22" s="6">
        <v>18747.599999999999</v>
      </c>
      <c r="I22" s="56">
        <f>H22-D22</f>
        <v>6.1999999999970896</v>
      </c>
      <c r="J22" s="54">
        <v>93.81</v>
      </c>
      <c r="K22" s="57">
        <f>IFERROR(J22/I22,0)</f>
        <v>15.130645161297425</v>
      </c>
      <c r="L22" s="58">
        <f>E22+I22</f>
        <v>17.599999999998545</v>
      </c>
      <c r="M22" s="59">
        <f t="shared" ref="M22:M23" si="9">F22+J22</f>
        <v>258.42</v>
      </c>
      <c r="N22" s="60">
        <f>IFERROR(M22/L22,0)</f>
        <v>14.682954545455761</v>
      </c>
      <c r="O22" s="61"/>
      <c r="Q22"/>
      <c r="R22"/>
      <c r="S22"/>
      <c r="T22"/>
    </row>
    <row r="23" spans="1:20" ht="24" customHeight="1">
      <c r="A23" s="62">
        <v>2</v>
      </c>
      <c r="B23" s="52" t="s">
        <v>31</v>
      </c>
      <c r="C23" s="63">
        <v>11129.2</v>
      </c>
      <c r="D23" s="63">
        <v>11137.8</v>
      </c>
      <c r="E23" s="53">
        <f>D23-C23</f>
        <v>8.5999999999985448</v>
      </c>
      <c r="F23" s="54">
        <v>153</v>
      </c>
      <c r="G23" s="55">
        <f>IFERROR(F23/E23,0)</f>
        <v>17.790697674421615</v>
      </c>
      <c r="H23" s="63">
        <v>11144.7</v>
      </c>
      <c r="I23" s="64">
        <f>H23-D23</f>
        <v>6.9000000000014552</v>
      </c>
      <c r="J23" s="54">
        <v>135.08000000000001</v>
      </c>
      <c r="K23" s="57">
        <f>IFERROR(J23/I23,0)</f>
        <v>19.576811594198773</v>
      </c>
      <c r="L23" s="58">
        <f>E23+I23</f>
        <v>15.5</v>
      </c>
      <c r="M23" s="59">
        <f t="shared" si="9"/>
        <v>288.08000000000004</v>
      </c>
      <c r="N23" s="60">
        <f>IFERROR(M23/L23,0)</f>
        <v>18.585806451612907</v>
      </c>
      <c r="O23" s="65"/>
    </row>
    <row r="24" spans="1:20" ht="24" customHeight="1" thickBot="1">
      <c r="A24" s="238" t="s">
        <v>28</v>
      </c>
      <c r="B24" s="239"/>
      <c r="C24" s="66"/>
      <c r="D24" s="66"/>
      <c r="E24" s="67">
        <f>SUM(E22:E23)</f>
        <v>20</v>
      </c>
      <c r="F24" s="67">
        <f>SUM(F22:F23)</f>
        <v>317.61</v>
      </c>
      <c r="G24" s="68"/>
      <c r="H24" s="68"/>
      <c r="I24" s="67">
        <f>SUM(I22:I23)</f>
        <v>13.099999999998545</v>
      </c>
      <c r="J24" s="67">
        <f>SUM(J22:J23)</f>
        <v>228.89000000000001</v>
      </c>
      <c r="K24" s="69">
        <f>SUM(K22:K23)</f>
        <v>34.707456755496196</v>
      </c>
      <c r="L24" s="70">
        <f>SUM(L22:L23)</f>
        <v>33.099999999998545</v>
      </c>
      <c r="M24" s="43">
        <f>SUM(M22:M23)</f>
        <v>546.5</v>
      </c>
      <c r="N24" s="71"/>
      <c r="O24" s="37"/>
      <c r="P24" s="72"/>
    </row>
    <row r="25" spans="1:20" ht="18" customHeight="1" thickBot="1">
      <c r="A25" s="245" t="s">
        <v>32</v>
      </c>
      <c r="B25" s="246"/>
      <c r="C25" s="226"/>
      <c r="D25" s="226"/>
      <c r="E25" s="226"/>
      <c r="F25" s="226"/>
      <c r="G25" s="226"/>
      <c r="H25" s="226"/>
      <c r="I25" s="226"/>
      <c r="J25" s="226"/>
      <c r="K25" s="226"/>
      <c r="L25" s="246"/>
      <c r="M25" s="46"/>
      <c r="N25" s="47"/>
      <c r="O25" s="37"/>
    </row>
    <row r="26" spans="1:20" ht="22.8" customHeight="1">
      <c r="A26" s="209" t="s">
        <v>3</v>
      </c>
      <c r="B26" s="211" t="s">
        <v>4</v>
      </c>
      <c r="C26" s="234" t="s">
        <v>5</v>
      </c>
      <c r="D26" s="234"/>
      <c r="E26" s="234"/>
      <c r="F26" s="234"/>
      <c r="G26" s="234"/>
      <c r="H26" s="235" t="s">
        <v>6</v>
      </c>
      <c r="I26" s="235"/>
      <c r="J26" s="235"/>
      <c r="K26" s="235"/>
      <c r="L26" s="48"/>
      <c r="M26" s="219" t="s">
        <v>7</v>
      </c>
      <c r="N26" s="194" t="s">
        <v>8</v>
      </c>
      <c r="O26" s="37"/>
      <c r="S26" s="51"/>
    </row>
    <row r="27" spans="1:20" ht="24" customHeight="1">
      <c r="A27" s="247"/>
      <c r="B27" s="248"/>
      <c r="C27" s="6" t="s">
        <v>11</v>
      </c>
      <c r="D27" s="6" t="s">
        <v>12</v>
      </c>
      <c r="E27" s="6" t="s">
        <v>13</v>
      </c>
      <c r="F27" s="6" t="s">
        <v>14</v>
      </c>
      <c r="G27" s="6" t="s">
        <v>8</v>
      </c>
      <c r="H27" s="6" t="s">
        <v>12</v>
      </c>
      <c r="I27" s="6" t="s">
        <v>13</v>
      </c>
      <c r="J27" s="6" t="s">
        <v>14</v>
      </c>
      <c r="K27" s="7" t="s">
        <v>8</v>
      </c>
      <c r="L27" s="73" t="s">
        <v>15</v>
      </c>
      <c r="M27" s="236"/>
      <c r="N27" s="237"/>
      <c r="O27" s="37"/>
      <c r="P27" s="74"/>
      <c r="S27" s="51"/>
      <c r="T27" s="75"/>
    </row>
    <row r="28" spans="1:20" ht="24" customHeight="1">
      <c r="A28" s="76">
        <v>1</v>
      </c>
      <c r="B28" s="31" t="s">
        <v>33</v>
      </c>
      <c r="C28" s="35">
        <v>21539.8</v>
      </c>
      <c r="D28" s="35">
        <v>21539.8</v>
      </c>
      <c r="E28" s="35">
        <f>D28-C28</f>
        <v>0</v>
      </c>
      <c r="F28" s="33">
        <v>0</v>
      </c>
      <c r="G28" s="10">
        <f t="shared" ref="G28:G32" si="10">IFERROR(F28/E28,0)</f>
        <v>0</v>
      </c>
      <c r="H28" s="35">
        <v>21539.8</v>
      </c>
      <c r="I28" s="56">
        <f>H28-D28</f>
        <v>0</v>
      </c>
      <c r="J28" s="33">
        <v>0</v>
      </c>
      <c r="K28" s="28">
        <f t="shared" ref="K28:K32" si="11">IFERROR(J28/I28,0)</f>
        <v>0</v>
      </c>
      <c r="L28" s="18">
        <f t="shared" ref="L28:M32" si="12">E28+I28</f>
        <v>0</v>
      </c>
      <c r="M28" s="22">
        <f t="shared" si="12"/>
        <v>0</v>
      </c>
      <c r="N28" s="23">
        <f>IFERROR(M28/L28,0)</f>
        <v>0</v>
      </c>
      <c r="O28" s="37"/>
    </row>
    <row r="29" spans="1:20" ht="24" customHeight="1">
      <c r="A29" s="76">
        <v>2</v>
      </c>
      <c r="B29" s="31" t="s">
        <v>34</v>
      </c>
      <c r="C29" s="35">
        <v>20955.3</v>
      </c>
      <c r="D29" s="35">
        <v>20968.400000000001</v>
      </c>
      <c r="E29" s="35">
        <f>D29-C29</f>
        <v>13.100000000002183</v>
      </c>
      <c r="F29" s="33">
        <v>301.24</v>
      </c>
      <c r="G29" s="10">
        <f t="shared" si="10"/>
        <v>22.995419847324413</v>
      </c>
      <c r="H29" s="35">
        <v>20977.7</v>
      </c>
      <c r="I29" s="56">
        <f>H29-D29</f>
        <v>9.2999999999992724</v>
      </c>
      <c r="J29" s="33">
        <v>237</v>
      </c>
      <c r="K29" s="28">
        <f>IFERROR(J29/I29,0)</f>
        <v>25.483870967743929</v>
      </c>
      <c r="L29" s="18">
        <f t="shared" si="12"/>
        <v>22.400000000001455</v>
      </c>
      <c r="M29" s="22">
        <f t="shared" si="12"/>
        <v>538.24</v>
      </c>
      <c r="N29" s="23">
        <f>IFERROR(M29/L29,0)</f>
        <v>24.028571428569869</v>
      </c>
      <c r="O29" s="37"/>
    </row>
    <row r="30" spans="1:20" ht="24" customHeight="1">
      <c r="A30" s="76">
        <v>3</v>
      </c>
      <c r="B30" s="31" t="s">
        <v>35</v>
      </c>
      <c r="C30" s="35">
        <v>8890.9</v>
      </c>
      <c r="D30" s="35">
        <v>8899.4</v>
      </c>
      <c r="E30" s="17">
        <f t="shared" ref="E30:E32" si="13">D30-C30</f>
        <v>8.5</v>
      </c>
      <c r="F30" s="33">
        <v>157.49</v>
      </c>
      <c r="G30" s="10">
        <f t="shared" si="10"/>
        <v>18.52823529411765</v>
      </c>
      <c r="H30" s="35">
        <v>8905.2999999999993</v>
      </c>
      <c r="I30" s="19">
        <f>H30-D30</f>
        <v>5.8999999999996362</v>
      </c>
      <c r="J30" s="33">
        <v>104.75</v>
      </c>
      <c r="K30" s="28">
        <f t="shared" si="11"/>
        <v>17.754237288136689</v>
      </c>
      <c r="L30" s="18">
        <f t="shared" si="12"/>
        <v>14.399999999999636</v>
      </c>
      <c r="M30" s="22">
        <f t="shared" si="12"/>
        <v>262.24</v>
      </c>
      <c r="N30" s="23">
        <f>IFERROR(M30/L30,0)</f>
        <v>18.21111111111157</v>
      </c>
      <c r="O30" s="77"/>
    </row>
    <row r="31" spans="1:20" ht="24.6" customHeight="1">
      <c r="A31" s="76">
        <v>4</v>
      </c>
      <c r="B31" s="31" t="s">
        <v>36</v>
      </c>
      <c r="C31" s="35">
        <v>3281.2</v>
      </c>
      <c r="D31" s="35">
        <v>3293.6</v>
      </c>
      <c r="E31" s="17">
        <f t="shared" si="13"/>
        <v>12.400000000000091</v>
      </c>
      <c r="F31" s="33">
        <v>302</v>
      </c>
      <c r="G31" s="78">
        <f t="shared" si="10"/>
        <v>24.354838709677242</v>
      </c>
      <c r="H31" s="35">
        <v>3299.6</v>
      </c>
      <c r="I31" s="19">
        <f t="shared" ref="I31:I32" si="14">H31-D31</f>
        <v>6</v>
      </c>
      <c r="J31" s="33">
        <v>124.23</v>
      </c>
      <c r="K31" s="28">
        <f t="shared" si="11"/>
        <v>20.705000000000002</v>
      </c>
      <c r="L31" s="18">
        <f t="shared" si="12"/>
        <v>18.400000000000091</v>
      </c>
      <c r="M31" s="79">
        <f t="shared" si="12"/>
        <v>426.23</v>
      </c>
      <c r="N31" s="23">
        <f>IFERROR(M31/L31,0)</f>
        <v>23.164673913043366</v>
      </c>
      <c r="O31" s="80"/>
    </row>
    <row r="32" spans="1:20" ht="24.6" customHeight="1">
      <c r="A32" s="76">
        <v>5</v>
      </c>
      <c r="B32" s="31" t="s">
        <v>37</v>
      </c>
      <c r="C32" s="35">
        <v>588.6</v>
      </c>
      <c r="D32" s="35">
        <v>599.4</v>
      </c>
      <c r="E32" s="17">
        <f t="shared" si="13"/>
        <v>10.799999999999955</v>
      </c>
      <c r="F32" s="33">
        <v>285.83</v>
      </c>
      <c r="G32" s="78">
        <f t="shared" si="10"/>
        <v>26.465740740740852</v>
      </c>
      <c r="H32" s="35">
        <v>609.5</v>
      </c>
      <c r="I32" s="19">
        <f t="shared" si="14"/>
        <v>10.100000000000023</v>
      </c>
      <c r="J32" s="33">
        <v>297</v>
      </c>
      <c r="K32" s="28">
        <f t="shared" si="11"/>
        <v>29.405940594059341</v>
      </c>
      <c r="L32" s="18">
        <f t="shared" si="12"/>
        <v>20.899999999999977</v>
      </c>
      <c r="M32" s="79">
        <f t="shared" si="12"/>
        <v>582.82999999999993</v>
      </c>
      <c r="N32" s="23">
        <f>IFERROR(M32/L32,0)</f>
        <v>27.886602870813423</v>
      </c>
      <c r="O32" s="80"/>
    </row>
    <row r="33" spans="1:26" ht="22.8" customHeight="1" thickBot="1">
      <c r="A33" s="238" t="s">
        <v>28</v>
      </c>
      <c r="B33" s="239"/>
      <c r="C33" s="66"/>
      <c r="D33" s="66"/>
      <c r="E33" s="67">
        <f>SUM(E28:E32)</f>
        <v>44.800000000002228</v>
      </c>
      <c r="F33" s="67">
        <f>SUM(F28:F32)</f>
        <v>1046.56</v>
      </c>
      <c r="G33" s="68"/>
      <c r="H33" s="68"/>
      <c r="I33" s="67">
        <f>SUM(I28:I32)</f>
        <v>31.299999999998931</v>
      </c>
      <c r="J33" s="67">
        <f>SUM(J28:J32)</f>
        <v>762.98</v>
      </c>
      <c r="K33" s="69">
        <f>SUM(K28:K32)</f>
        <v>93.349048849939962</v>
      </c>
      <c r="L33" s="70">
        <f>SUM(L28:L32)</f>
        <v>76.10000000000116</v>
      </c>
      <c r="M33" s="43">
        <f>SUM(M28:M32)</f>
        <v>1809.54</v>
      </c>
      <c r="N33" s="71">
        <f>IFERROR(M33/K33,0)</f>
        <v>19.384664571235895</v>
      </c>
      <c r="O33" s="37"/>
      <c r="P33" s="72"/>
      <c r="S33" s="51"/>
    </row>
    <row r="34" spans="1:26" ht="24" customHeight="1">
      <c r="A34" s="240" t="s">
        <v>38</v>
      </c>
      <c r="B34" s="241"/>
      <c r="C34" s="241"/>
      <c r="D34" s="241"/>
      <c r="E34" s="241"/>
      <c r="F34" s="241"/>
      <c r="G34" s="241"/>
      <c r="H34" s="241"/>
      <c r="I34" s="241"/>
      <c r="J34" s="241"/>
      <c r="K34" s="241"/>
      <c r="L34" s="242"/>
      <c r="M34" s="46"/>
      <c r="N34" s="47"/>
      <c r="O34" s="61"/>
      <c r="S34" s="51"/>
    </row>
    <row r="35" spans="1:26" ht="24" customHeight="1">
      <c r="A35" s="243" t="s">
        <v>3</v>
      </c>
      <c r="B35" s="243" t="s">
        <v>4</v>
      </c>
      <c r="C35" s="213" t="s">
        <v>5</v>
      </c>
      <c r="D35" s="214"/>
      <c r="E35" s="214"/>
      <c r="F35" s="214"/>
      <c r="G35" s="215"/>
      <c r="H35" s="216" t="s">
        <v>6</v>
      </c>
      <c r="I35" s="217"/>
      <c r="J35" s="217"/>
      <c r="K35" s="218"/>
      <c r="L35" s="5"/>
      <c r="M35" s="221" t="s">
        <v>7</v>
      </c>
      <c r="N35" s="222" t="s">
        <v>8</v>
      </c>
      <c r="O35" s="37"/>
    </row>
    <row r="36" spans="1:26" ht="24" customHeight="1">
      <c r="A36" s="244"/>
      <c r="B36" s="244"/>
      <c r="C36" s="2" t="s">
        <v>11</v>
      </c>
      <c r="D36" s="2" t="s">
        <v>12</v>
      </c>
      <c r="E36" s="2" t="s">
        <v>13</v>
      </c>
      <c r="F36" s="2" t="s">
        <v>14</v>
      </c>
      <c r="G36" s="2" t="s">
        <v>8</v>
      </c>
      <c r="H36" s="2" t="s">
        <v>12</v>
      </c>
      <c r="I36" s="2" t="s">
        <v>13</v>
      </c>
      <c r="J36" s="2" t="s">
        <v>14</v>
      </c>
      <c r="K36" s="82" t="s">
        <v>8</v>
      </c>
      <c r="L36" s="12" t="s">
        <v>15</v>
      </c>
      <c r="M36" s="221"/>
      <c r="N36" s="222"/>
      <c r="O36" s="37"/>
    </row>
    <row r="37" spans="1:26" ht="24" customHeight="1">
      <c r="A37" s="76">
        <v>1</v>
      </c>
      <c r="B37" s="31" t="s">
        <v>39</v>
      </c>
      <c r="C37" s="83">
        <v>16494.7</v>
      </c>
      <c r="D37" s="83">
        <v>16506.7</v>
      </c>
      <c r="E37" s="35">
        <f>D37-C37</f>
        <v>12</v>
      </c>
      <c r="F37" s="33">
        <v>152.97</v>
      </c>
      <c r="G37" s="78">
        <f t="shared" ref="G37:G38" si="15">IFERROR(F37/E37,0)</f>
        <v>12.7475</v>
      </c>
      <c r="H37" s="83">
        <v>16513</v>
      </c>
      <c r="I37" s="56">
        <f>H37-D37</f>
        <v>6.2999999999992724</v>
      </c>
      <c r="J37" s="33">
        <v>85</v>
      </c>
      <c r="K37" s="28">
        <f>IFERROR(J37/I37,0)</f>
        <v>13.49206349206505</v>
      </c>
      <c r="L37" s="84">
        <f t="shared" ref="L37:L38" si="16">E37+I37</f>
        <v>18.299999999999272</v>
      </c>
      <c r="M37" s="79">
        <f>F37+J37</f>
        <v>237.97</v>
      </c>
      <c r="N37" s="34">
        <f>IFERROR(M37/L37,0)</f>
        <v>13.003825136612539</v>
      </c>
      <c r="O37" s="37"/>
    </row>
    <row r="38" spans="1:26" ht="27" customHeight="1">
      <c r="A38" s="76">
        <v>2</v>
      </c>
      <c r="B38" s="31" t="s">
        <v>40</v>
      </c>
      <c r="C38" s="35">
        <v>4297.5</v>
      </c>
      <c r="D38" s="35">
        <v>4310.1000000000004</v>
      </c>
      <c r="E38" s="17">
        <f>D38-C38</f>
        <v>12.600000000000364</v>
      </c>
      <c r="F38" s="33">
        <v>290.31</v>
      </c>
      <c r="G38" s="10">
        <f t="shared" si="15"/>
        <v>23.040476190475527</v>
      </c>
      <c r="H38" s="35">
        <v>4313.3</v>
      </c>
      <c r="I38" s="19">
        <f>H38-D38</f>
        <v>3.1999999999998181</v>
      </c>
      <c r="J38" s="33">
        <v>66</v>
      </c>
      <c r="K38" s="28">
        <f>IFERROR(J38/I38,0)</f>
        <v>20.625000000001172</v>
      </c>
      <c r="L38" s="18">
        <f t="shared" si="16"/>
        <v>15.800000000000182</v>
      </c>
      <c r="M38" s="22">
        <f>F38+J38</f>
        <v>356.31</v>
      </c>
      <c r="N38" s="23">
        <f>IFERROR(M38/L38,0)</f>
        <v>22.551265822784551</v>
      </c>
      <c r="O38" s="37"/>
      <c r="S38" s="51"/>
    </row>
    <row r="39" spans="1:26" ht="22.8" customHeight="1" thickBot="1">
      <c r="A39" s="196" t="s">
        <v>28</v>
      </c>
      <c r="B39" s="233"/>
      <c r="C39" s="68"/>
      <c r="D39" s="66"/>
      <c r="E39" s="67">
        <f>SUM(E37:E38)</f>
        <v>24.600000000000364</v>
      </c>
      <c r="F39" s="67">
        <f>SUM(F37:F38:F38)</f>
        <v>443.28</v>
      </c>
      <c r="G39" s="68"/>
      <c r="H39" s="68"/>
      <c r="I39" s="67">
        <f>SUM(I37:I38)</f>
        <v>9.4999999999990905</v>
      </c>
      <c r="J39" s="67">
        <f>SUM(J37:J38)</f>
        <v>151</v>
      </c>
      <c r="K39" s="69">
        <f>SUM(K37:K38)</f>
        <v>34.117063492066222</v>
      </c>
      <c r="L39" s="70">
        <f>SUM(L37:L38)</f>
        <v>34.099999999999454</v>
      </c>
      <c r="M39" s="43">
        <f>SUM(M37:M38)</f>
        <v>594.28</v>
      </c>
      <c r="N39" s="71">
        <f>IFERROR(M39/K39,0)</f>
        <v>17.418849665599069</v>
      </c>
      <c r="O39" s="37"/>
      <c r="P39" s="72"/>
      <c r="S39" s="51"/>
    </row>
    <row r="40" spans="1:26" ht="24" customHeight="1">
      <c r="A40" s="225" t="s">
        <v>41</v>
      </c>
      <c r="B40" s="226"/>
      <c r="C40" s="226"/>
      <c r="D40" s="226"/>
      <c r="E40" s="226"/>
      <c r="F40" s="226"/>
      <c r="G40" s="226"/>
      <c r="H40" s="226"/>
      <c r="I40" s="226"/>
      <c r="J40" s="226"/>
      <c r="K40" s="226"/>
      <c r="L40" s="226"/>
      <c r="M40" s="46"/>
      <c r="N40" s="47"/>
      <c r="O40" s="61"/>
    </row>
    <row r="41" spans="1:26" ht="24" customHeight="1">
      <c r="A41" s="222" t="s">
        <v>3</v>
      </c>
      <c r="B41" s="222" t="s">
        <v>4</v>
      </c>
      <c r="C41" s="234" t="s">
        <v>5</v>
      </c>
      <c r="D41" s="234"/>
      <c r="E41" s="234"/>
      <c r="F41" s="234"/>
      <c r="G41" s="234"/>
      <c r="H41" s="235" t="s">
        <v>6</v>
      </c>
      <c r="I41" s="235"/>
      <c r="J41" s="235"/>
      <c r="K41" s="235"/>
      <c r="L41" s="5"/>
      <c r="M41" s="221" t="s">
        <v>7</v>
      </c>
      <c r="N41" s="222" t="s">
        <v>8</v>
      </c>
      <c r="O41" s="37"/>
    </row>
    <row r="42" spans="1:26" ht="25.8" customHeight="1">
      <c r="A42" s="222"/>
      <c r="B42" s="222"/>
      <c r="C42" s="2" t="s">
        <v>11</v>
      </c>
      <c r="D42" s="2" t="s">
        <v>12</v>
      </c>
      <c r="E42" s="2" t="s">
        <v>13</v>
      </c>
      <c r="F42" s="2" t="s">
        <v>14</v>
      </c>
      <c r="G42" s="2" t="s">
        <v>8</v>
      </c>
      <c r="H42" s="2" t="s">
        <v>12</v>
      </c>
      <c r="I42" s="2" t="s">
        <v>13</v>
      </c>
      <c r="J42" s="2" t="s">
        <v>14</v>
      </c>
      <c r="K42" s="82" t="s">
        <v>8</v>
      </c>
      <c r="L42" s="12" t="s">
        <v>15</v>
      </c>
      <c r="M42" s="221"/>
      <c r="N42" s="222"/>
      <c r="O42" s="37"/>
    </row>
    <row r="43" spans="1:26" ht="24.6" customHeight="1">
      <c r="A43" s="76">
        <v>1</v>
      </c>
      <c r="B43" s="85" t="s">
        <v>42</v>
      </c>
      <c r="C43" s="33">
        <v>8580.4</v>
      </c>
      <c r="D43" s="33">
        <v>8580.4</v>
      </c>
      <c r="E43" s="20">
        <f>D43-C43</f>
        <v>0</v>
      </c>
      <c r="F43" s="33">
        <v>0</v>
      </c>
      <c r="G43" s="10">
        <f t="shared" ref="G43:G44" si="17">IFERROR(F43/E43,0)</f>
        <v>0</v>
      </c>
      <c r="H43" s="33">
        <v>8589.5</v>
      </c>
      <c r="I43" s="86">
        <f>H43-D43</f>
        <v>9.1000000000003638</v>
      </c>
      <c r="J43" s="33">
        <v>322.49</v>
      </c>
      <c r="K43" s="28">
        <f>IFERROR(J43/I43,0)</f>
        <v>35.438461538460125</v>
      </c>
      <c r="L43" s="18">
        <f>E43+I43</f>
        <v>9.1000000000003638</v>
      </c>
      <c r="M43" s="22">
        <f>F43+J43</f>
        <v>322.49</v>
      </c>
      <c r="N43" s="23">
        <f>IFERROR(M43/L43,0)</f>
        <v>35.438461538460125</v>
      </c>
      <c r="O43" s="87"/>
      <c r="S43" s="51"/>
    </row>
    <row r="44" spans="1:26" ht="22.8" customHeight="1">
      <c r="A44" s="76">
        <v>2</v>
      </c>
      <c r="B44" s="85" t="s">
        <v>43</v>
      </c>
      <c r="C44" s="33">
        <v>1572.8</v>
      </c>
      <c r="D44" s="33">
        <v>1572.8</v>
      </c>
      <c r="E44" s="20">
        <f>D44-C44</f>
        <v>0</v>
      </c>
      <c r="F44" s="33">
        <v>0</v>
      </c>
      <c r="G44" s="10">
        <f t="shared" si="17"/>
        <v>0</v>
      </c>
      <c r="H44" s="33">
        <v>1586.9</v>
      </c>
      <c r="I44" s="86">
        <f>H44-D44</f>
        <v>14.100000000000136</v>
      </c>
      <c r="J44" s="33">
        <v>512.35</v>
      </c>
      <c r="K44" s="28">
        <f>IFERROR(J44/I44,0)</f>
        <v>36.336879432623761</v>
      </c>
      <c r="L44" s="18">
        <f>E44+I44</f>
        <v>14.100000000000136</v>
      </c>
      <c r="M44" s="22">
        <f t="shared" ref="M44" si="18">F44+J44</f>
        <v>512.35</v>
      </c>
      <c r="N44" s="23">
        <f>IFERROR(M44/L44,0)</f>
        <v>36.336879432623761</v>
      </c>
      <c r="O44" s="87"/>
      <c r="P44" s="88"/>
      <c r="Q44" s="89"/>
    </row>
    <row r="45" spans="1:26" ht="24" customHeight="1" thickBot="1">
      <c r="A45" s="223" t="s">
        <v>28</v>
      </c>
      <c r="B45" s="224"/>
      <c r="C45" s="90"/>
      <c r="D45" s="90"/>
      <c r="E45" s="91">
        <f>SUM(E43:E44)</f>
        <v>0</v>
      </c>
      <c r="F45" s="91">
        <f>SUM(F43:F44)</f>
        <v>0</v>
      </c>
      <c r="G45" s="92"/>
      <c r="H45" s="92"/>
      <c r="I45" s="91">
        <f>SUM(I43:I44)</f>
        <v>23.2000000000005</v>
      </c>
      <c r="J45" s="91">
        <f>SUM(J43:J44)</f>
        <v>834.84</v>
      </c>
      <c r="K45" s="93">
        <f>SUM(K43:K44)</f>
        <v>71.775340971083892</v>
      </c>
      <c r="L45" s="94">
        <f>SUM(L43:L44)</f>
        <v>23.2000000000005</v>
      </c>
      <c r="M45" s="95">
        <f>SUM(M43:M44)</f>
        <v>834.84</v>
      </c>
      <c r="N45" s="96">
        <f>M45/L45</f>
        <v>35.984482758619912</v>
      </c>
      <c r="O45" s="37"/>
      <c r="P45" s="97"/>
      <c r="Q45" s="89"/>
    </row>
    <row r="46" spans="1:26" ht="24" customHeight="1">
      <c r="A46" s="225" t="s">
        <v>44</v>
      </c>
      <c r="B46" s="226"/>
      <c r="C46" s="226"/>
      <c r="D46" s="226"/>
      <c r="E46" s="226"/>
      <c r="F46" s="226"/>
      <c r="G46" s="226"/>
      <c r="H46" s="226"/>
      <c r="I46" s="226"/>
      <c r="J46" s="226"/>
      <c r="K46" s="226"/>
      <c r="L46" s="226"/>
      <c r="M46" s="98"/>
      <c r="N46" s="99"/>
      <c r="O46" s="37"/>
      <c r="P46" s="100"/>
      <c r="Q46" s="100"/>
    </row>
    <row r="47" spans="1:26" ht="24" customHeight="1">
      <c r="A47" s="222" t="s">
        <v>3</v>
      </c>
      <c r="B47" s="222" t="s">
        <v>4</v>
      </c>
      <c r="C47" s="227" t="s">
        <v>5</v>
      </c>
      <c r="D47" s="228"/>
      <c r="E47" s="228"/>
      <c r="F47" s="228"/>
      <c r="G47" s="228"/>
      <c r="H47" s="229"/>
      <c r="I47" s="230" t="s">
        <v>6</v>
      </c>
      <c r="J47" s="231"/>
      <c r="K47" s="231"/>
      <c r="L47" s="231"/>
      <c r="M47" s="231"/>
      <c r="N47" s="232"/>
      <c r="O47" s="201" t="s">
        <v>45</v>
      </c>
      <c r="P47" s="203" t="s">
        <v>46</v>
      </c>
      <c r="Q47" s="203" t="s">
        <v>47</v>
      </c>
      <c r="R47" s="205" t="s">
        <v>48</v>
      </c>
      <c r="Z47" s="101"/>
    </row>
    <row r="48" spans="1:26" ht="33" customHeight="1">
      <c r="A48" s="222"/>
      <c r="B48" s="222"/>
      <c r="C48" s="2" t="s">
        <v>49</v>
      </c>
      <c r="D48" s="2" t="s">
        <v>50</v>
      </c>
      <c r="E48" s="2" t="s">
        <v>51</v>
      </c>
      <c r="F48" s="102" t="s">
        <v>11</v>
      </c>
      <c r="G48" s="2" t="s">
        <v>14</v>
      </c>
      <c r="H48" s="2" t="s">
        <v>8</v>
      </c>
      <c r="I48" s="2" t="s">
        <v>50</v>
      </c>
      <c r="J48" s="2" t="s">
        <v>45</v>
      </c>
      <c r="K48" s="102" t="s">
        <v>12</v>
      </c>
      <c r="L48" s="102" t="s">
        <v>15</v>
      </c>
      <c r="M48" s="2" t="s">
        <v>14</v>
      </c>
      <c r="N48" s="82" t="s">
        <v>8</v>
      </c>
      <c r="O48" s="202"/>
      <c r="P48" s="204"/>
      <c r="Q48" s="204"/>
      <c r="R48" s="205"/>
    </row>
    <row r="49" spans="1:27" ht="21" customHeight="1">
      <c r="A49" s="81">
        <v>1</v>
      </c>
      <c r="B49" s="103" t="s">
        <v>52</v>
      </c>
      <c r="C49" s="2">
        <v>278677.40000000002</v>
      </c>
      <c r="D49" s="2">
        <v>278677.40000000002</v>
      </c>
      <c r="E49" s="104">
        <f t="shared" ref="E49:E109" si="19">D49-C49</f>
        <v>0</v>
      </c>
      <c r="F49" s="105">
        <v>22056</v>
      </c>
      <c r="G49" s="49">
        <v>0</v>
      </c>
      <c r="H49" s="10">
        <f t="shared" ref="H49:H109" si="20">IFERROR(E49/G49,0)</f>
        <v>0</v>
      </c>
      <c r="I49" s="2">
        <v>278677.40000000002</v>
      </c>
      <c r="J49" s="106">
        <f t="shared" ref="J49:J109" si="21">I49-D49</f>
        <v>0</v>
      </c>
      <c r="K49" s="105">
        <v>22056</v>
      </c>
      <c r="L49" s="107">
        <f t="shared" ref="L49:L109" si="22">K49-F49</f>
        <v>0</v>
      </c>
      <c r="M49" s="2">
        <v>0</v>
      </c>
      <c r="N49" s="28">
        <f t="shared" ref="N49:N109" si="23">IFERROR(J49/M49,0)</f>
        <v>0</v>
      </c>
      <c r="O49" s="84">
        <f t="shared" ref="O49:O109" si="24">J49+E49</f>
        <v>0</v>
      </c>
      <c r="P49" s="79">
        <f t="shared" ref="P49:P109" si="25">G49+M49</f>
        <v>0</v>
      </c>
      <c r="Q49" s="34">
        <f t="shared" ref="Q49:Q109" si="26">IFERROR(O49/P49,0)</f>
        <v>0</v>
      </c>
      <c r="R49" s="108">
        <v>0</v>
      </c>
    </row>
    <row r="50" spans="1:27" ht="21" customHeight="1">
      <c r="A50" s="81">
        <v>2</v>
      </c>
      <c r="B50" s="103" t="s">
        <v>155</v>
      </c>
      <c r="C50" s="2">
        <v>300482</v>
      </c>
      <c r="D50" s="2">
        <v>300582</v>
      </c>
      <c r="E50" s="104">
        <f t="shared" si="19"/>
        <v>100</v>
      </c>
      <c r="F50" s="105">
        <v>30398</v>
      </c>
      <c r="G50" s="49">
        <v>172</v>
      </c>
      <c r="H50" s="10">
        <f t="shared" si="20"/>
        <v>0.58139534883720934</v>
      </c>
      <c r="I50" s="2">
        <v>300676</v>
      </c>
      <c r="J50" s="106">
        <f t="shared" si="21"/>
        <v>94</v>
      </c>
      <c r="K50" s="105">
        <v>30416</v>
      </c>
      <c r="L50" s="107">
        <f t="shared" si="22"/>
        <v>18</v>
      </c>
      <c r="M50" s="2">
        <v>139</v>
      </c>
      <c r="N50" s="28">
        <f t="shared" si="23"/>
        <v>0.67625899280575541</v>
      </c>
      <c r="O50" s="84">
        <f t="shared" si="24"/>
        <v>194</v>
      </c>
      <c r="P50" s="79">
        <f t="shared" si="25"/>
        <v>311</v>
      </c>
      <c r="Q50" s="34">
        <f t="shared" si="26"/>
        <v>0.6237942122186495</v>
      </c>
      <c r="R50" s="108">
        <v>18</v>
      </c>
    </row>
    <row r="51" spans="1:27" ht="21" customHeight="1">
      <c r="A51" s="81">
        <v>3</v>
      </c>
      <c r="B51" s="103" t="s">
        <v>171</v>
      </c>
      <c r="C51" s="2">
        <v>309574</v>
      </c>
      <c r="D51" s="2">
        <v>309644</v>
      </c>
      <c r="E51" s="104">
        <f t="shared" si="19"/>
        <v>70</v>
      </c>
      <c r="F51" s="105">
        <v>30953</v>
      </c>
      <c r="G51" s="49">
        <v>115.59</v>
      </c>
      <c r="H51" s="10">
        <f t="shared" si="20"/>
        <v>0.60558871874729647</v>
      </c>
      <c r="I51" s="2">
        <v>309702</v>
      </c>
      <c r="J51" s="106">
        <f t="shared" si="21"/>
        <v>58</v>
      </c>
      <c r="K51" s="105">
        <v>30967</v>
      </c>
      <c r="L51" s="107">
        <f t="shared" si="22"/>
        <v>14</v>
      </c>
      <c r="M51" s="2">
        <v>101</v>
      </c>
      <c r="N51" s="28">
        <f t="shared" si="23"/>
        <v>0.57425742574257421</v>
      </c>
      <c r="O51" s="84">
        <f t="shared" si="24"/>
        <v>128</v>
      </c>
      <c r="P51" s="79">
        <f t="shared" si="25"/>
        <v>216.59</v>
      </c>
      <c r="Q51" s="34">
        <f t="shared" si="26"/>
        <v>0.59097834618403433</v>
      </c>
      <c r="R51" s="108">
        <v>28</v>
      </c>
    </row>
    <row r="52" spans="1:27" ht="21" customHeight="1">
      <c r="A52" s="81">
        <v>4</v>
      </c>
      <c r="B52" s="103" t="s">
        <v>156</v>
      </c>
      <c r="C52" s="2">
        <v>260550</v>
      </c>
      <c r="D52" s="2">
        <v>260550</v>
      </c>
      <c r="E52" s="104">
        <f t="shared" si="19"/>
        <v>0</v>
      </c>
      <c r="F52" s="105">
        <v>27653</v>
      </c>
      <c r="G52" s="49">
        <v>0</v>
      </c>
      <c r="H52" s="10">
        <f t="shared" si="20"/>
        <v>0</v>
      </c>
      <c r="I52" s="2">
        <v>260550</v>
      </c>
      <c r="J52" s="106">
        <f t="shared" si="21"/>
        <v>0</v>
      </c>
      <c r="K52" s="105">
        <v>27653</v>
      </c>
      <c r="L52" s="107">
        <f t="shared" si="22"/>
        <v>0</v>
      </c>
      <c r="M52" s="2">
        <v>0</v>
      </c>
      <c r="N52" s="28">
        <f t="shared" si="23"/>
        <v>0</v>
      </c>
      <c r="O52" s="84">
        <f t="shared" si="24"/>
        <v>0</v>
      </c>
      <c r="P52" s="79">
        <f t="shared" si="25"/>
        <v>0</v>
      </c>
      <c r="Q52" s="34">
        <f t="shared" si="26"/>
        <v>0</v>
      </c>
      <c r="R52" s="108">
        <v>0</v>
      </c>
    </row>
    <row r="53" spans="1:27" ht="21" customHeight="1">
      <c r="A53" s="81">
        <v>5</v>
      </c>
      <c r="B53" s="103" t="s">
        <v>157</v>
      </c>
      <c r="C53" s="2">
        <v>275480</v>
      </c>
      <c r="D53" s="2">
        <v>275480</v>
      </c>
      <c r="E53" s="104">
        <f t="shared" si="19"/>
        <v>0</v>
      </c>
      <c r="F53" s="105">
        <v>27987</v>
      </c>
      <c r="G53" s="49">
        <v>212</v>
      </c>
      <c r="H53" s="10">
        <f t="shared" si="20"/>
        <v>0</v>
      </c>
      <c r="I53" s="2">
        <v>275546</v>
      </c>
      <c r="J53" s="106">
        <f t="shared" si="21"/>
        <v>66</v>
      </c>
      <c r="K53" s="105">
        <v>27993</v>
      </c>
      <c r="L53" s="107">
        <f t="shared" si="22"/>
        <v>6</v>
      </c>
      <c r="M53" s="2">
        <v>128</v>
      </c>
      <c r="N53" s="28">
        <f t="shared" si="23"/>
        <v>0.515625</v>
      </c>
      <c r="O53" s="84">
        <f t="shared" si="24"/>
        <v>66</v>
      </c>
      <c r="P53" s="79">
        <f t="shared" si="25"/>
        <v>340</v>
      </c>
      <c r="Q53" s="34">
        <f t="shared" si="26"/>
        <v>0.19411764705882353</v>
      </c>
      <c r="R53" s="108">
        <v>12</v>
      </c>
    </row>
    <row r="54" spans="1:27" ht="21" customHeight="1">
      <c r="A54" s="81">
        <v>6</v>
      </c>
      <c r="B54" s="103" t="s">
        <v>172</v>
      </c>
      <c r="C54" s="2">
        <v>266363</v>
      </c>
      <c r="D54" s="2">
        <v>266436</v>
      </c>
      <c r="E54" s="104">
        <f t="shared" si="19"/>
        <v>73</v>
      </c>
      <c r="F54" s="105">
        <v>26369</v>
      </c>
      <c r="G54" s="49">
        <v>103.35</v>
      </c>
      <c r="H54" s="10">
        <f t="shared" si="20"/>
        <v>0.706337687469763</v>
      </c>
      <c r="I54" s="2">
        <v>266482</v>
      </c>
      <c r="J54" s="106">
        <f t="shared" si="21"/>
        <v>46</v>
      </c>
      <c r="K54" s="105">
        <v>26380</v>
      </c>
      <c r="L54" s="107">
        <f t="shared" si="22"/>
        <v>11</v>
      </c>
      <c r="M54" s="2">
        <v>76</v>
      </c>
      <c r="N54" s="28">
        <f t="shared" si="23"/>
        <v>0.60526315789473684</v>
      </c>
      <c r="O54" s="84">
        <f t="shared" si="24"/>
        <v>119</v>
      </c>
      <c r="P54" s="79">
        <f t="shared" si="25"/>
        <v>179.35</v>
      </c>
      <c r="Q54" s="34">
        <f t="shared" si="26"/>
        <v>0.6635071090047393</v>
      </c>
      <c r="R54" s="108">
        <v>13</v>
      </c>
    </row>
    <row r="55" spans="1:27" ht="21" customHeight="1">
      <c r="A55" s="81">
        <v>7</v>
      </c>
      <c r="B55" s="103" t="s">
        <v>173</v>
      </c>
      <c r="C55" s="2">
        <v>295692</v>
      </c>
      <c r="D55" s="2">
        <v>295692</v>
      </c>
      <c r="E55" s="104">
        <f t="shared" si="19"/>
        <v>0</v>
      </c>
      <c r="F55" s="105">
        <v>28768</v>
      </c>
      <c r="G55" s="49">
        <v>0</v>
      </c>
      <c r="H55" s="10">
        <f t="shared" si="20"/>
        <v>0</v>
      </c>
      <c r="I55" s="2">
        <v>295692</v>
      </c>
      <c r="J55" s="106">
        <f t="shared" si="21"/>
        <v>0</v>
      </c>
      <c r="K55" s="105">
        <v>28768</v>
      </c>
      <c r="L55" s="107">
        <f t="shared" si="22"/>
        <v>0</v>
      </c>
      <c r="M55" s="2">
        <v>134</v>
      </c>
      <c r="N55" s="28">
        <f t="shared" si="23"/>
        <v>0</v>
      </c>
      <c r="O55" s="84">
        <f t="shared" si="24"/>
        <v>0</v>
      </c>
      <c r="P55" s="79">
        <f t="shared" si="25"/>
        <v>134</v>
      </c>
      <c r="Q55" s="34">
        <f t="shared" si="26"/>
        <v>0</v>
      </c>
      <c r="R55" s="108">
        <v>16</v>
      </c>
    </row>
    <row r="56" spans="1:27" ht="24" customHeight="1">
      <c r="A56" s="81">
        <v>8</v>
      </c>
      <c r="B56" s="31" t="s">
        <v>53</v>
      </c>
      <c r="C56" s="35">
        <v>334306.5</v>
      </c>
      <c r="D56" s="35">
        <v>334306.5</v>
      </c>
      <c r="E56" s="104">
        <f t="shared" si="19"/>
        <v>0</v>
      </c>
      <c r="F56" s="110">
        <v>29835</v>
      </c>
      <c r="G56" s="111">
        <v>0</v>
      </c>
      <c r="H56" s="10">
        <f t="shared" si="20"/>
        <v>0</v>
      </c>
      <c r="I56" s="35">
        <v>334306.5</v>
      </c>
      <c r="J56" s="106">
        <f t="shared" si="21"/>
        <v>0</v>
      </c>
      <c r="K56" s="110">
        <v>29835</v>
      </c>
      <c r="L56" s="107">
        <f t="shared" si="22"/>
        <v>0</v>
      </c>
      <c r="M56" s="112">
        <v>0</v>
      </c>
      <c r="N56" s="28">
        <f t="shared" si="23"/>
        <v>0</v>
      </c>
      <c r="O56" s="84">
        <f t="shared" si="24"/>
        <v>0</v>
      </c>
      <c r="P56" s="79">
        <f t="shared" si="25"/>
        <v>0</v>
      </c>
      <c r="Q56" s="34">
        <f t="shared" si="26"/>
        <v>0</v>
      </c>
      <c r="R56" s="1">
        <v>0</v>
      </c>
    </row>
    <row r="57" spans="1:27" ht="24" customHeight="1">
      <c r="A57" s="81">
        <v>9</v>
      </c>
      <c r="B57" s="31" t="s">
        <v>54</v>
      </c>
      <c r="C57" s="104">
        <v>291828.09999999998</v>
      </c>
      <c r="D57" s="104">
        <v>291894.09999999998</v>
      </c>
      <c r="E57" s="104">
        <f t="shared" si="19"/>
        <v>66</v>
      </c>
      <c r="F57" s="110">
        <v>27967</v>
      </c>
      <c r="G57" s="111">
        <v>101</v>
      </c>
      <c r="H57" s="10">
        <f t="shared" si="20"/>
        <v>0.65346534653465349</v>
      </c>
      <c r="I57" s="104">
        <v>291991.8</v>
      </c>
      <c r="J57" s="106">
        <f>I57-D57</f>
        <v>97.700000000011642</v>
      </c>
      <c r="K57" s="110">
        <v>27982.35</v>
      </c>
      <c r="L57" s="107">
        <f t="shared" si="22"/>
        <v>15.349999999998545</v>
      </c>
      <c r="M57" s="111">
        <v>147</v>
      </c>
      <c r="N57" s="28">
        <f t="shared" si="23"/>
        <v>0.66462585034021526</v>
      </c>
      <c r="O57" s="84">
        <f t="shared" si="24"/>
        <v>163.70000000001164</v>
      </c>
      <c r="P57" s="79">
        <f t="shared" si="25"/>
        <v>248</v>
      </c>
      <c r="Q57" s="34">
        <f t="shared" si="26"/>
        <v>0.66008064516133724</v>
      </c>
      <c r="R57" s="1">
        <v>36</v>
      </c>
      <c r="AA57" s="101"/>
    </row>
    <row r="58" spans="1:27" ht="24" customHeight="1">
      <c r="A58" s="81">
        <v>10</v>
      </c>
      <c r="B58" s="31" t="s">
        <v>55</v>
      </c>
      <c r="C58" s="104">
        <v>298907.40000000002</v>
      </c>
      <c r="D58" s="104">
        <v>298907.40000000002</v>
      </c>
      <c r="E58" s="104">
        <f t="shared" si="19"/>
        <v>0</v>
      </c>
      <c r="F58" s="110">
        <v>27086</v>
      </c>
      <c r="G58" s="111">
        <v>0</v>
      </c>
      <c r="H58" s="10">
        <f t="shared" si="20"/>
        <v>0</v>
      </c>
      <c r="I58" s="104">
        <v>298907.40000000002</v>
      </c>
      <c r="J58" s="106">
        <f>I58-D58</f>
        <v>0</v>
      </c>
      <c r="K58" s="110">
        <v>27086</v>
      </c>
      <c r="L58" s="107">
        <f t="shared" si="22"/>
        <v>0</v>
      </c>
      <c r="M58" s="111">
        <v>0</v>
      </c>
      <c r="N58" s="28">
        <f t="shared" si="23"/>
        <v>0</v>
      </c>
      <c r="O58" s="84">
        <f t="shared" si="24"/>
        <v>0</v>
      </c>
      <c r="P58" s="79">
        <f t="shared" si="25"/>
        <v>0</v>
      </c>
      <c r="Q58" s="34">
        <f t="shared" si="26"/>
        <v>0</v>
      </c>
      <c r="R58" s="1">
        <v>0</v>
      </c>
      <c r="AA58" s="101"/>
    </row>
    <row r="59" spans="1:27" ht="24" customHeight="1">
      <c r="A59" s="81">
        <v>11</v>
      </c>
      <c r="B59" s="31" t="s">
        <v>56</v>
      </c>
      <c r="C59" s="104">
        <v>339579.3</v>
      </c>
      <c r="D59" s="104">
        <v>339639</v>
      </c>
      <c r="E59" s="104">
        <f t="shared" si="19"/>
        <v>59.700000000011642</v>
      </c>
      <c r="F59" s="110">
        <v>26817</v>
      </c>
      <c r="G59" s="111">
        <v>80</v>
      </c>
      <c r="H59" s="10">
        <f t="shared" si="20"/>
        <v>0.74625000000014552</v>
      </c>
      <c r="I59" s="104">
        <v>339719.8</v>
      </c>
      <c r="J59" s="106">
        <f>I59-D59</f>
        <v>80.799999999988358</v>
      </c>
      <c r="K59" s="110">
        <v>26832.21</v>
      </c>
      <c r="L59" s="107">
        <f t="shared" si="22"/>
        <v>15.209999999999127</v>
      </c>
      <c r="M59" s="111">
        <v>112</v>
      </c>
      <c r="N59" s="28">
        <f t="shared" si="23"/>
        <v>0.7214285714284675</v>
      </c>
      <c r="O59" s="84">
        <f t="shared" si="24"/>
        <v>140.5</v>
      </c>
      <c r="P59" s="79">
        <f t="shared" si="25"/>
        <v>192</v>
      </c>
      <c r="Q59" s="34">
        <f t="shared" si="26"/>
        <v>0.73177083333333337</v>
      </c>
      <c r="R59" s="1">
        <v>17</v>
      </c>
      <c r="AA59" s="101"/>
    </row>
    <row r="60" spans="1:27" ht="24" customHeight="1">
      <c r="A60" s="81">
        <v>12</v>
      </c>
      <c r="B60" s="31" t="s">
        <v>57</v>
      </c>
      <c r="C60" s="104">
        <v>342295.2</v>
      </c>
      <c r="D60" s="104">
        <v>342407.4</v>
      </c>
      <c r="E60" s="104">
        <f t="shared" si="19"/>
        <v>112.20000000001164</v>
      </c>
      <c r="F60" s="110">
        <v>26634</v>
      </c>
      <c r="G60" s="111">
        <v>165.79</v>
      </c>
      <c r="H60" s="10">
        <f t="shared" si="20"/>
        <v>0.67675975631830421</v>
      </c>
      <c r="I60" s="104">
        <v>342414.3</v>
      </c>
      <c r="J60" s="106">
        <f>I60-D60</f>
        <v>6.8999999999650754</v>
      </c>
      <c r="K60" s="110">
        <v>26651.07</v>
      </c>
      <c r="L60" s="107">
        <f t="shared" si="22"/>
        <v>17.069999999999709</v>
      </c>
      <c r="M60" s="111">
        <v>108</v>
      </c>
      <c r="N60" s="28">
        <f t="shared" si="23"/>
        <v>6.3888888888565518E-2</v>
      </c>
      <c r="O60" s="84">
        <f t="shared" si="24"/>
        <v>119.09999999997672</v>
      </c>
      <c r="P60" s="79">
        <f t="shared" si="25"/>
        <v>273.78999999999996</v>
      </c>
      <c r="Q60" s="34">
        <f t="shared" si="26"/>
        <v>0.43500493078628411</v>
      </c>
      <c r="R60" s="1">
        <v>35</v>
      </c>
      <c r="AA60" s="101"/>
    </row>
    <row r="61" spans="1:27" ht="24" customHeight="1">
      <c r="A61" s="81">
        <v>13</v>
      </c>
      <c r="B61" s="31" t="s">
        <v>58</v>
      </c>
      <c r="C61" s="35">
        <v>299641.09999999998</v>
      </c>
      <c r="D61" s="35">
        <v>299771.2</v>
      </c>
      <c r="E61" s="104">
        <f t="shared" si="19"/>
        <v>130.10000000003492</v>
      </c>
      <c r="F61" s="110">
        <v>26624</v>
      </c>
      <c r="G61" s="111">
        <v>212.83</v>
      </c>
      <c r="H61" s="10">
        <f t="shared" si="20"/>
        <v>0.61128600291328716</v>
      </c>
      <c r="I61" s="35">
        <v>299823.59999999998</v>
      </c>
      <c r="J61" s="106">
        <f t="shared" si="21"/>
        <v>52.399999999965075</v>
      </c>
      <c r="K61" s="110">
        <v>26642.55</v>
      </c>
      <c r="L61" s="107">
        <f t="shared" si="22"/>
        <v>18.549999999999272</v>
      </c>
      <c r="M61" s="112">
        <v>88</v>
      </c>
      <c r="N61" s="28">
        <f>IFERROR(J61/M61,0)</f>
        <v>0.59545454545414855</v>
      </c>
      <c r="O61" s="84">
        <f t="shared" si="24"/>
        <v>182.5</v>
      </c>
      <c r="P61" s="79">
        <f t="shared" si="25"/>
        <v>300.83000000000004</v>
      </c>
      <c r="Q61" s="34">
        <f t="shared" si="26"/>
        <v>0.60665492138417043</v>
      </c>
      <c r="R61" s="1">
        <v>19</v>
      </c>
      <c r="U61" s="113"/>
    </row>
    <row r="62" spans="1:27" ht="24" customHeight="1">
      <c r="A62" s="81">
        <v>14</v>
      </c>
      <c r="B62" s="31" t="s">
        <v>59</v>
      </c>
      <c r="C62" s="35">
        <v>271503</v>
      </c>
      <c r="D62" s="35">
        <v>271582.5</v>
      </c>
      <c r="E62" s="104">
        <f t="shared" si="19"/>
        <v>79.5</v>
      </c>
      <c r="F62" s="110">
        <v>25382</v>
      </c>
      <c r="G62" s="111">
        <v>130.03</v>
      </c>
      <c r="H62" s="10">
        <f t="shared" si="20"/>
        <v>0.61139736983772974</v>
      </c>
      <c r="I62" s="35">
        <v>271644.79999999999</v>
      </c>
      <c r="J62" s="106">
        <f>I62-D62</f>
        <v>62.299999999988358</v>
      </c>
      <c r="K62" s="110">
        <v>25397.29</v>
      </c>
      <c r="L62" s="107">
        <f t="shared" si="22"/>
        <v>15.290000000000873</v>
      </c>
      <c r="M62" s="111">
        <v>88</v>
      </c>
      <c r="N62" s="28">
        <f>IFERROR(J62/M62,0)</f>
        <v>0.70795454545441316</v>
      </c>
      <c r="O62" s="84">
        <f t="shared" si="24"/>
        <v>141.79999999998836</v>
      </c>
      <c r="P62" s="79">
        <f t="shared" si="25"/>
        <v>218.03</v>
      </c>
      <c r="Q62" s="34">
        <f t="shared" si="26"/>
        <v>0.65036921524555502</v>
      </c>
      <c r="R62" s="1">
        <v>36</v>
      </c>
      <c r="X62" t="s">
        <v>60</v>
      </c>
    </row>
    <row r="63" spans="1:27" ht="24" customHeight="1">
      <c r="A63" s="81">
        <v>15</v>
      </c>
      <c r="B63" s="31" t="s">
        <v>61</v>
      </c>
      <c r="C63" s="104">
        <v>284733.09999999998</v>
      </c>
      <c r="D63" s="104">
        <v>284882.40000000002</v>
      </c>
      <c r="E63" s="104">
        <f t="shared" si="19"/>
        <v>149.30000000004657</v>
      </c>
      <c r="F63" s="110">
        <v>26568</v>
      </c>
      <c r="G63" s="111">
        <v>246</v>
      </c>
      <c r="H63" s="10">
        <f t="shared" si="20"/>
        <v>0.60691056910588037</v>
      </c>
      <c r="I63" s="104">
        <v>284882.40000000002</v>
      </c>
      <c r="J63" s="106">
        <f>I63-D63</f>
        <v>0</v>
      </c>
      <c r="K63" s="110">
        <v>26584.51</v>
      </c>
      <c r="L63" s="107">
        <f t="shared" si="22"/>
        <v>16.509999999998399</v>
      </c>
      <c r="M63" s="112">
        <v>0</v>
      </c>
      <c r="N63" s="28">
        <f t="shared" si="23"/>
        <v>0</v>
      </c>
      <c r="O63" s="84">
        <f t="shared" si="24"/>
        <v>149.30000000004657</v>
      </c>
      <c r="P63" s="79">
        <f t="shared" si="25"/>
        <v>246</v>
      </c>
      <c r="Q63" s="34">
        <f t="shared" si="26"/>
        <v>0.60691056910588037</v>
      </c>
      <c r="R63" s="1">
        <v>15</v>
      </c>
    </row>
    <row r="64" spans="1:27" ht="24" customHeight="1">
      <c r="A64" s="81">
        <v>16</v>
      </c>
      <c r="B64" s="31" t="s">
        <v>62</v>
      </c>
      <c r="C64" s="35">
        <v>302940.59999999998</v>
      </c>
      <c r="D64" s="35">
        <v>303002.90000000002</v>
      </c>
      <c r="E64" s="104">
        <f t="shared" si="19"/>
        <v>62.300000000046566</v>
      </c>
      <c r="F64" s="110">
        <v>27250</v>
      </c>
      <c r="G64" s="111">
        <v>117</v>
      </c>
      <c r="H64" s="10">
        <f t="shared" si="20"/>
        <v>0.53247863247903049</v>
      </c>
      <c r="I64" s="35">
        <v>303002.90000000002</v>
      </c>
      <c r="J64" s="106">
        <f t="shared" si="21"/>
        <v>0</v>
      </c>
      <c r="K64" s="110">
        <v>27250</v>
      </c>
      <c r="L64" s="107">
        <f t="shared" si="22"/>
        <v>0</v>
      </c>
      <c r="M64" s="112">
        <v>0</v>
      </c>
      <c r="N64" s="28">
        <f t="shared" si="23"/>
        <v>0</v>
      </c>
      <c r="O64" s="84">
        <f t="shared" si="24"/>
        <v>62.300000000046566</v>
      </c>
      <c r="P64" s="79">
        <f t="shared" si="25"/>
        <v>117</v>
      </c>
      <c r="Q64" s="34">
        <f t="shared" si="26"/>
        <v>0.53247863247903049</v>
      </c>
      <c r="R64" s="1">
        <v>11</v>
      </c>
    </row>
    <row r="65" spans="1:18" ht="24" customHeight="1">
      <c r="A65" s="81">
        <v>17</v>
      </c>
      <c r="B65" s="31" t="s">
        <v>158</v>
      </c>
      <c r="C65" s="17">
        <v>274791</v>
      </c>
      <c r="D65" s="17">
        <v>274791</v>
      </c>
      <c r="E65" s="104">
        <f t="shared" si="19"/>
        <v>0</v>
      </c>
      <c r="F65" s="110">
        <v>25063</v>
      </c>
      <c r="G65" s="111">
        <v>0</v>
      </c>
      <c r="H65" s="10">
        <f t="shared" si="20"/>
        <v>0</v>
      </c>
      <c r="I65" s="17">
        <v>274791</v>
      </c>
      <c r="J65" s="106">
        <f t="shared" si="21"/>
        <v>0</v>
      </c>
      <c r="K65" s="110">
        <v>25063</v>
      </c>
      <c r="L65" s="107">
        <f t="shared" si="22"/>
        <v>0</v>
      </c>
      <c r="M65" s="111">
        <v>0</v>
      </c>
      <c r="N65" s="28">
        <f t="shared" si="23"/>
        <v>0</v>
      </c>
      <c r="O65" s="84">
        <f t="shared" si="24"/>
        <v>0</v>
      </c>
      <c r="P65" s="79">
        <f t="shared" si="25"/>
        <v>0</v>
      </c>
      <c r="Q65" s="34">
        <f t="shared" si="26"/>
        <v>0</v>
      </c>
      <c r="R65" s="1">
        <v>0</v>
      </c>
    </row>
    <row r="66" spans="1:18" ht="24" customHeight="1">
      <c r="A66" s="81">
        <v>18</v>
      </c>
      <c r="B66" s="31" t="s">
        <v>159</v>
      </c>
      <c r="C66" s="17">
        <v>277907</v>
      </c>
      <c r="D66" s="17">
        <v>277907</v>
      </c>
      <c r="E66" s="104">
        <f t="shared" si="19"/>
        <v>0</v>
      </c>
      <c r="F66" s="110">
        <v>25896</v>
      </c>
      <c r="G66" s="111">
        <v>0</v>
      </c>
      <c r="H66" s="10">
        <f t="shared" si="20"/>
        <v>0</v>
      </c>
      <c r="I66" s="17">
        <v>277907</v>
      </c>
      <c r="J66" s="106">
        <f t="shared" si="21"/>
        <v>0</v>
      </c>
      <c r="K66" s="110">
        <v>25896</v>
      </c>
      <c r="L66" s="107">
        <f t="shared" si="22"/>
        <v>0</v>
      </c>
      <c r="M66" s="111">
        <v>0</v>
      </c>
      <c r="N66" s="28">
        <f t="shared" si="23"/>
        <v>0</v>
      </c>
      <c r="O66" s="84">
        <f t="shared" si="24"/>
        <v>0</v>
      </c>
      <c r="P66" s="79">
        <f t="shared" si="25"/>
        <v>0</v>
      </c>
      <c r="Q66" s="34">
        <f t="shared" si="26"/>
        <v>0</v>
      </c>
      <c r="R66" s="1">
        <v>0</v>
      </c>
    </row>
    <row r="67" spans="1:18" ht="24" customHeight="1">
      <c r="A67" s="81">
        <v>19</v>
      </c>
      <c r="B67" s="31" t="s">
        <v>160</v>
      </c>
      <c r="C67" s="17">
        <v>305133</v>
      </c>
      <c r="D67" s="17">
        <v>305292</v>
      </c>
      <c r="E67" s="104">
        <f t="shared" si="19"/>
        <v>159</v>
      </c>
      <c r="F67" s="110">
        <v>25104</v>
      </c>
      <c r="G67" s="111">
        <v>227</v>
      </c>
      <c r="H67" s="10">
        <f t="shared" si="20"/>
        <v>0.70044052863436124</v>
      </c>
      <c r="I67" s="17">
        <v>305292</v>
      </c>
      <c r="J67" s="106">
        <f t="shared" si="21"/>
        <v>0</v>
      </c>
      <c r="K67" s="110">
        <v>25118</v>
      </c>
      <c r="L67" s="107">
        <f t="shared" si="22"/>
        <v>14</v>
      </c>
      <c r="M67" s="111">
        <v>0</v>
      </c>
      <c r="N67" s="28">
        <f t="shared" si="23"/>
        <v>0</v>
      </c>
      <c r="O67" s="84">
        <f t="shared" si="24"/>
        <v>159</v>
      </c>
      <c r="P67" s="79">
        <f t="shared" si="25"/>
        <v>227</v>
      </c>
      <c r="Q67" s="34">
        <f t="shared" si="26"/>
        <v>0.70044052863436124</v>
      </c>
      <c r="R67" s="1">
        <v>9</v>
      </c>
    </row>
    <row r="68" spans="1:18" ht="24" customHeight="1">
      <c r="A68" s="81">
        <v>20</v>
      </c>
      <c r="B68" s="31" t="s">
        <v>161</v>
      </c>
      <c r="C68" s="17">
        <v>303068</v>
      </c>
      <c r="D68" s="17">
        <v>303200</v>
      </c>
      <c r="E68" s="104">
        <f t="shared" si="19"/>
        <v>132</v>
      </c>
      <c r="F68" s="110">
        <v>25321</v>
      </c>
      <c r="G68" s="116">
        <v>216</v>
      </c>
      <c r="H68" s="10">
        <f t="shared" si="20"/>
        <v>0.61111111111111116</v>
      </c>
      <c r="I68" s="17">
        <v>303297</v>
      </c>
      <c r="J68" s="106">
        <f t="shared" si="21"/>
        <v>97</v>
      </c>
      <c r="K68" s="110">
        <v>25343</v>
      </c>
      <c r="L68" s="107">
        <f t="shared" si="22"/>
        <v>22</v>
      </c>
      <c r="M68" s="111">
        <v>157</v>
      </c>
      <c r="N68" s="28">
        <f t="shared" si="23"/>
        <v>0.61783439490445857</v>
      </c>
      <c r="O68" s="84">
        <f t="shared" si="24"/>
        <v>229</v>
      </c>
      <c r="P68" s="79">
        <f t="shared" si="25"/>
        <v>373</v>
      </c>
      <c r="Q68" s="34">
        <f t="shared" si="26"/>
        <v>0.613941018766756</v>
      </c>
      <c r="R68" s="1">
        <v>34</v>
      </c>
    </row>
    <row r="69" spans="1:18" ht="24" customHeight="1">
      <c r="A69" s="81">
        <v>21</v>
      </c>
      <c r="B69" s="31" t="s">
        <v>162</v>
      </c>
      <c r="C69" s="17">
        <v>319927</v>
      </c>
      <c r="D69" s="17">
        <v>320044</v>
      </c>
      <c r="E69" s="104">
        <f t="shared" si="19"/>
        <v>117</v>
      </c>
      <c r="F69" s="110">
        <v>26510</v>
      </c>
      <c r="G69" s="111">
        <v>198</v>
      </c>
      <c r="H69" s="10">
        <f t="shared" si="20"/>
        <v>0.59090909090909094</v>
      </c>
      <c r="I69" s="17">
        <v>320044</v>
      </c>
      <c r="J69" s="106">
        <f t="shared" si="21"/>
        <v>0</v>
      </c>
      <c r="K69" s="110">
        <v>26539</v>
      </c>
      <c r="L69" s="107">
        <f t="shared" si="22"/>
        <v>29</v>
      </c>
      <c r="M69" s="111">
        <v>0</v>
      </c>
      <c r="N69" s="28">
        <f t="shared" si="23"/>
        <v>0</v>
      </c>
      <c r="O69" s="84">
        <f t="shared" si="24"/>
        <v>117</v>
      </c>
      <c r="P69" s="79">
        <f t="shared" si="25"/>
        <v>198</v>
      </c>
      <c r="Q69" s="34">
        <f t="shared" si="26"/>
        <v>0.59090909090909094</v>
      </c>
      <c r="R69" s="1">
        <v>23</v>
      </c>
    </row>
    <row r="70" spans="1:18" ht="24" customHeight="1">
      <c r="A70" s="81">
        <v>22</v>
      </c>
      <c r="B70" s="31" t="s">
        <v>68</v>
      </c>
      <c r="C70" s="17">
        <v>275588.2</v>
      </c>
      <c r="D70" s="17">
        <v>275734</v>
      </c>
      <c r="E70" s="104">
        <f t="shared" si="19"/>
        <v>145.79999999998836</v>
      </c>
      <c r="F70" s="110">
        <v>22364</v>
      </c>
      <c r="G70" s="111">
        <v>240.75</v>
      </c>
      <c r="H70" s="10">
        <f t="shared" si="20"/>
        <v>0.60560747663546566</v>
      </c>
      <c r="I70" s="17">
        <v>275763.5</v>
      </c>
      <c r="J70" s="106">
        <f t="shared" si="21"/>
        <v>29.5</v>
      </c>
      <c r="K70" s="110">
        <v>22381</v>
      </c>
      <c r="L70" s="107">
        <f t="shared" si="22"/>
        <v>17</v>
      </c>
      <c r="M70" s="112">
        <v>44</v>
      </c>
      <c r="N70" s="28">
        <f t="shared" si="23"/>
        <v>0.67045454545454541</v>
      </c>
      <c r="O70" s="84">
        <f t="shared" si="24"/>
        <v>175.29999999998836</v>
      </c>
      <c r="P70" s="79">
        <f t="shared" si="25"/>
        <v>284.75</v>
      </c>
      <c r="Q70" s="34">
        <f t="shared" si="26"/>
        <v>0.6156277436347265</v>
      </c>
      <c r="R70" s="1">
        <v>21</v>
      </c>
    </row>
    <row r="71" spans="1:18" ht="24" customHeight="1">
      <c r="A71" s="81">
        <v>23</v>
      </c>
      <c r="B71" s="31" t="s">
        <v>69</v>
      </c>
      <c r="C71" s="17">
        <v>257719.1</v>
      </c>
      <c r="D71" s="17">
        <v>257810.7</v>
      </c>
      <c r="E71" s="104">
        <f t="shared" si="19"/>
        <v>91.600000000005821</v>
      </c>
      <c r="F71" s="110">
        <v>19746</v>
      </c>
      <c r="G71" s="111">
        <v>134</v>
      </c>
      <c r="H71" s="10">
        <f t="shared" si="20"/>
        <v>0.68358208955228228</v>
      </c>
      <c r="I71" s="17">
        <v>257878.5</v>
      </c>
      <c r="J71" s="106">
        <f t="shared" si="21"/>
        <v>67.799999999988358</v>
      </c>
      <c r="K71" s="110">
        <v>19761</v>
      </c>
      <c r="L71" s="107">
        <f t="shared" si="22"/>
        <v>15</v>
      </c>
      <c r="M71" s="112">
        <v>106</v>
      </c>
      <c r="N71" s="28">
        <f t="shared" si="23"/>
        <v>0.63962264150932413</v>
      </c>
      <c r="O71" s="84">
        <f t="shared" si="24"/>
        <v>159.39999999999418</v>
      </c>
      <c r="P71" s="79">
        <f t="shared" si="25"/>
        <v>240</v>
      </c>
      <c r="Q71" s="34">
        <f t="shared" si="26"/>
        <v>0.66416666666664237</v>
      </c>
      <c r="R71" s="1">
        <v>27</v>
      </c>
    </row>
    <row r="72" spans="1:18" ht="24" customHeight="1">
      <c r="A72" s="81">
        <v>24</v>
      </c>
      <c r="B72" s="31" t="s">
        <v>70</v>
      </c>
      <c r="C72" s="104">
        <v>302223.7</v>
      </c>
      <c r="D72" s="104">
        <v>302223.7</v>
      </c>
      <c r="E72" s="104">
        <f t="shared" si="19"/>
        <v>0</v>
      </c>
      <c r="F72" s="110">
        <v>4923</v>
      </c>
      <c r="G72" s="111">
        <v>0</v>
      </c>
      <c r="H72" s="10">
        <f t="shared" si="20"/>
        <v>0</v>
      </c>
      <c r="I72" s="104">
        <v>302223.7</v>
      </c>
      <c r="J72" s="106">
        <f t="shared" si="21"/>
        <v>0</v>
      </c>
      <c r="K72" s="110">
        <v>4923</v>
      </c>
      <c r="L72" s="107">
        <f t="shared" si="22"/>
        <v>0</v>
      </c>
      <c r="M72" s="111">
        <v>0</v>
      </c>
      <c r="N72" s="28">
        <f t="shared" si="23"/>
        <v>0</v>
      </c>
      <c r="O72" s="84">
        <f t="shared" si="24"/>
        <v>0</v>
      </c>
      <c r="P72" s="79">
        <f t="shared" si="25"/>
        <v>0</v>
      </c>
      <c r="Q72" s="34">
        <f t="shared" si="26"/>
        <v>0</v>
      </c>
      <c r="R72" s="1">
        <v>12</v>
      </c>
    </row>
    <row r="73" spans="1:18" ht="24" customHeight="1">
      <c r="A73" s="81">
        <v>25</v>
      </c>
      <c r="B73" s="31" t="s">
        <v>71</v>
      </c>
      <c r="C73" s="35">
        <v>312223.09999999998</v>
      </c>
      <c r="D73" s="35">
        <v>312343.2</v>
      </c>
      <c r="E73" s="104">
        <f t="shared" si="19"/>
        <v>120.10000000003492</v>
      </c>
      <c r="F73" s="110">
        <v>22816</v>
      </c>
      <c r="G73" s="111">
        <v>188</v>
      </c>
      <c r="H73" s="10">
        <f t="shared" si="20"/>
        <v>0.63882978723422834</v>
      </c>
      <c r="I73" s="35">
        <v>312459</v>
      </c>
      <c r="J73" s="106">
        <f t="shared" si="21"/>
        <v>115.79999999998836</v>
      </c>
      <c r="K73" s="110">
        <v>22837</v>
      </c>
      <c r="L73" s="107">
        <f t="shared" si="22"/>
        <v>21</v>
      </c>
      <c r="M73" s="111">
        <v>167</v>
      </c>
      <c r="N73" s="28">
        <f>IFERROR(J73/M73,0)</f>
        <v>0.69341317365262489</v>
      </c>
      <c r="O73" s="84">
        <f t="shared" si="24"/>
        <v>235.90000000002328</v>
      </c>
      <c r="P73" s="79">
        <f>G73+M73</f>
        <v>355</v>
      </c>
      <c r="Q73" s="34">
        <f t="shared" si="26"/>
        <v>0.6645070422535867</v>
      </c>
      <c r="R73" s="1">
        <v>33</v>
      </c>
    </row>
    <row r="74" spans="1:18" ht="24" customHeight="1">
      <c r="A74" s="81">
        <v>26</v>
      </c>
      <c r="B74" s="31" t="s">
        <v>72</v>
      </c>
      <c r="C74" s="35">
        <v>282894.90000000002</v>
      </c>
      <c r="D74" s="35">
        <v>282958.09999999998</v>
      </c>
      <c r="E74" s="104">
        <f t="shared" si="19"/>
        <v>63.199999999953434</v>
      </c>
      <c r="F74" s="110">
        <v>20428</v>
      </c>
      <c r="G74" s="111">
        <v>98</v>
      </c>
      <c r="H74" s="10">
        <f t="shared" si="20"/>
        <v>0.64489795918319825</v>
      </c>
      <c r="I74" s="35">
        <v>283000</v>
      </c>
      <c r="J74" s="106">
        <f t="shared" si="21"/>
        <v>41.900000000023283</v>
      </c>
      <c r="K74" s="110">
        <v>20442</v>
      </c>
      <c r="L74" s="107">
        <f t="shared" si="22"/>
        <v>14</v>
      </c>
      <c r="M74" s="112">
        <v>111</v>
      </c>
      <c r="N74" s="28">
        <f t="shared" si="23"/>
        <v>0.37747747747768723</v>
      </c>
      <c r="O74" s="84">
        <f t="shared" si="24"/>
        <v>105.09999999997672</v>
      </c>
      <c r="P74" s="79">
        <f t="shared" si="25"/>
        <v>209</v>
      </c>
      <c r="Q74" s="34">
        <f t="shared" si="26"/>
        <v>0.50287081339701778</v>
      </c>
      <c r="R74" s="1">
        <v>26</v>
      </c>
    </row>
    <row r="75" spans="1:18" ht="24" customHeight="1">
      <c r="A75" s="81">
        <v>27</v>
      </c>
      <c r="B75" s="31" t="s">
        <v>73</v>
      </c>
      <c r="C75" s="104">
        <v>310675.8</v>
      </c>
      <c r="D75" s="104">
        <v>310797.5</v>
      </c>
      <c r="E75" s="104">
        <f t="shared" si="19"/>
        <v>121.70000000001164</v>
      </c>
      <c r="F75" s="110">
        <v>22538</v>
      </c>
      <c r="G75" s="111">
        <v>189</v>
      </c>
      <c r="H75" s="10">
        <f t="shared" si="20"/>
        <v>0.6439153439154055</v>
      </c>
      <c r="I75" s="104">
        <v>310889.5</v>
      </c>
      <c r="J75" s="106">
        <f t="shared" si="21"/>
        <v>92</v>
      </c>
      <c r="K75" s="110">
        <v>22558</v>
      </c>
      <c r="L75" s="107">
        <f t="shared" si="22"/>
        <v>20</v>
      </c>
      <c r="M75" s="112">
        <v>127</v>
      </c>
      <c r="N75" s="28">
        <f t="shared" si="23"/>
        <v>0.72440944881889768</v>
      </c>
      <c r="O75" s="84">
        <f t="shared" si="24"/>
        <v>213.70000000001164</v>
      </c>
      <c r="P75" s="79">
        <f t="shared" si="25"/>
        <v>316</v>
      </c>
      <c r="Q75" s="34">
        <f t="shared" si="26"/>
        <v>0.67626582278484693</v>
      </c>
      <c r="R75" s="1">
        <v>24</v>
      </c>
    </row>
    <row r="76" spans="1:18" ht="24" customHeight="1">
      <c r="A76" s="81">
        <v>28</v>
      </c>
      <c r="B76" s="31" t="s">
        <v>74</v>
      </c>
      <c r="C76" s="35">
        <v>281093.7</v>
      </c>
      <c r="D76" s="35">
        <v>281222</v>
      </c>
      <c r="E76" s="104">
        <f t="shared" si="19"/>
        <v>128.29999999998836</v>
      </c>
      <c r="F76" s="110">
        <v>4070</v>
      </c>
      <c r="G76" s="111">
        <v>205</v>
      </c>
      <c r="H76" s="10">
        <f t="shared" si="20"/>
        <v>0.62585365853652852</v>
      </c>
      <c r="I76" s="35">
        <v>281254.90000000002</v>
      </c>
      <c r="J76" s="106">
        <f t="shared" si="21"/>
        <v>32.900000000023283</v>
      </c>
      <c r="K76" s="110">
        <v>4086</v>
      </c>
      <c r="L76" s="107">
        <f>K76-F76</f>
        <v>16</v>
      </c>
      <c r="M76" s="111">
        <v>41</v>
      </c>
      <c r="N76" s="28">
        <f t="shared" si="23"/>
        <v>0.80243902439081183</v>
      </c>
      <c r="O76" s="84">
        <f t="shared" si="24"/>
        <v>161.20000000001164</v>
      </c>
      <c r="P76" s="79">
        <f t="shared" si="25"/>
        <v>246</v>
      </c>
      <c r="Q76" s="34">
        <f t="shared" si="26"/>
        <v>0.65528455284557574</v>
      </c>
      <c r="R76" s="1">
        <v>28</v>
      </c>
    </row>
    <row r="77" spans="1:18" ht="24" customHeight="1">
      <c r="A77" s="81">
        <v>29</v>
      </c>
      <c r="B77" s="31" t="s">
        <v>75</v>
      </c>
      <c r="C77" s="104">
        <v>298809.3</v>
      </c>
      <c r="D77" s="104">
        <v>298944.09999999998</v>
      </c>
      <c r="E77" s="104">
        <f t="shared" si="19"/>
        <v>134.79999999998836</v>
      </c>
      <c r="F77" s="110">
        <v>21487</v>
      </c>
      <c r="G77" s="111">
        <v>196</v>
      </c>
      <c r="H77" s="10">
        <f t="shared" si="20"/>
        <v>0.68775510204075696</v>
      </c>
      <c r="I77" s="104">
        <v>299035.40000000002</v>
      </c>
      <c r="J77" s="106">
        <f t="shared" si="21"/>
        <v>91.300000000046566</v>
      </c>
      <c r="K77" s="110">
        <v>21506</v>
      </c>
      <c r="L77" s="107">
        <f t="shared" si="22"/>
        <v>19</v>
      </c>
      <c r="M77" s="112">
        <v>139</v>
      </c>
      <c r="N77" s="28">
        <f t="shared" si="23"/>
        <v>0.65683453237443568</v>
      </c>
      <c r="O77" s="84">
        <f t="shared" si="24"/>
        <v>226.10000000003492</v>
      </c>
      <c r="P77" s="79">
        <f t="shared" si="25"/>
        <v>335</v>
      </c>
      <c r="Q77" s="34">
        <f t="shared" si="26"/>
        <v>0.67492537313443257</v>
      </c>
      <c r="R77" s="1">
        <v>28</v>
      </c>
    </row>
    <row r="78" spans="1:18" ht="24" customHeight="1">
      <c r="A78" s="81">
        <v>30</v>
      </c>
      <c r="B78" s="31" t="s">
        <v>76</v>
      </c>
      <c r="C78" s="104">
        <v>263667.3</v>
      </c>
      <c r="D78" s="104">
        <v>263765.2</v>
      </c>
      <c r="E78" s="104">
        <f t="shared" si="19"/>
        <v>97.900000000023283</v>
      </c>
      <c r="F78" s="110">
        <v>19434</v>
      </c>
      <c r="G78" s="111">
        <v>139</v>
      </c>
      <c r="H78" s="10">
        <f t="shared" si="20"/>
        <v>0.70431654676275746</v>
      </c>
      <c r="I78" s="104">
        <v>263849.90000000002</v>
      </c>
      <c r="J78" s="106">
        <f t="shared" si="21"/>
        <v>84.700000000011642</v>
      </c>
      <c r="K78" s="110">
        <v>19451</v>
      </c>
      <c r="L78" s="107">
        <f t="shared" si="22"/>
        <v>17</v>
      </c>
      <c r="M78" s="111">
        <v>118</v>
      </c>
      <c r="N78" s="28">
        <f t="shared" si="23"/>
        <v>0.71779661016959018</v>
      </c>
      <c r="O78" s="84">
        <f t="shared" si="24"/>
        <v>182.60000000003492</v>
      </c>
      <c r="P78" s="79">
        <f t="shared" si="25"/>
        <v>257</v>
      </c>
      <c r="Q78" s="34">
        <f t="shared" si="26"/>
        <v>0.71050583657601141</v>
      </c>
      <c r="R78" s="1">
        <v>30</v>
      </c>
    </row>
    <row r="79" spans="1:18" ht="24" customHeight="1">
      <c r="A79" s="81">
        <v>31</v>
      </c>
      <c r="B79" s="31" t="s">
        <v>77</v>
      </c>
      <c r="C79" s="83">
        <v>261761</v>
      </c>
      <c r="D79" s="83">
        <v>261854.1</v>
      </c>
      <c r="E79" s="104">
        <f t="shared" si="19"/>
        <v>93.100000000005821</v>
      </c>
      <c r="F79" s="110">
        <v>19139</v>
      </c>
      <c r="G79" s="111">
        <v>150</v>
      </c>
      <c r="H79" s="10">
        <f t="shared" si="20"/>
        <v>0.62066666666670545</v>
      </c>
      <c r="I79" s="83">
        <v>261946.6</v>
      </c>
      <c r="J79" s="106">
        <f t="shared" si="21"/>
        <v>92.5</v>
      </c>
      <c r="K79" s="110">
        <v>19157</v>
      </c>
      <c r="L79" s="107">
        <f>K79-F79</f>
        <v>18</v>
      </c>
      <c r="M79" s="111">
        <v>138</v>
      </c>
      <c r="N79" s="28">
        <f t="shared" si="23"/>
        <v>0.67028985507246375</v>
      </c>
      <c r="O79" s="84">
        <f t="shared" si="24"/>
        <v>185.60000000000582</v>
      </c>
      <c r="P79" s="79">
        <f t="shared" si="25"/>
        <v>288</v>
      </c>
      <c r="Q79" s="34">
        <f t="shared" si="26"/>
        <v>0.64444444444446469</v>
      </c>
      <c r="R79" s="1">
        <v>31</v>
      </c>
    </row>
    <row r="80" spans="1:18" ht="24" customHeight="1">
      <c r="A80" s="81">
        <v>32</v>
      </c>
      <c r="B80" s="31" t="s">
        <v>78</v>
      </c>
      <c r="C80" s="104">
        <v>287496.2</v>
      </c>
      <c r="D80" s="104">
        <v>287635.90000000002</v>
      </c>
      <c r="E80" s="104">
        <f t="shared" si="19"/>
        <v>139.70000000001164</v>
      </c>
      <c r="F80" s="110">
        <v>20728</v>
      </c>
      <c r="G80" s="111">
        <v>209</v>
      </c>
      <c r="H80" s="10">
        <f t="shared" si="20"/>
        <v>0.66842105263163465</v>
      </c>
      <c r="I80" s="104">
        <v>287730.3</v>
      </c>
      <c r="J80" s="106">
        <f t="shared" si="21"/>
        <v>94.399999999965075</v>
      </c>
      <c r="K80" s="110">
        <v>20750</v>
      </c>
      <c r="L80" s="107">
        <f t="shared" si="22"/>
        <v>22</v>
      </c>
      <c r="M80" s="111">
        <v>145</v>
      </c>
      <c r="N80" s="28">
        <f t="shared" si="23"/>
        <v>0.65103448275837983</v>
      </c>
      <c r="O80" s="84">
        <f t="shared" si="24"/>
        <v>234.09999999997672</v>
      </c>
      <c r="P80" s="79">
        <f t="shared" si="25"/>
        <v>354</v>
      </c>
      <c r="Q80" s="34">
        <f t="shared" si="26"/>
        <v>0.66129943502818278</v>
      </c>
      <c r="R80" s="1">
        <v>23</v>
      </c>
    </row>
    <row r="81" spans="1:19" ht="24" customHeight="1">
      <c r="A81" s="81">
        <v>33</v>
      </c>
      <c r="B81" s="31" t="s">
        <v>79</v>
      </c>
      <c r="C81" s="104">
        <v>302303.5</v>
      </c>
      <c r="D81" s="104">
        <v>302409.5</v>
      </c>
      <c r="E81" s="104">
        <f t="shared" si="19"/>
        <v>106</v>
      </c>
      <c r="F81" s="110">
        <v>21461</v>
      </c>
      <c r="G81" s="111">
        <v>163.12</v>
      </c>
      <c r="H81" s="10">
        <f t="shared" si="20"/>
        <v>0.64982834722903382</v>
      </c>
      <c r="I81" s="104">
        <v>302462.3</v>
      </c>
      <c r="J81" s="106">
        <f t="shared" si="21"/>
        <v>52.799999999988358</v>
      </c>
      <c r="K81" s="110">
        <v>21481</v>
      </c>
      <c r="L81" s="107">
        <f t="shared" si="22"/>
        <v>20</v>
      </c>
      <c r="M81" s="111">
        <v>92</v>
      </c>
      <c r="N81" s="28">
        <f t="shared" si="23"/>
        <v>0.57391304347813432</v>
      </c>
      <c r="O81" s="84">
        <f t="shared" si="24"/>
        <v>158.79999999998836</v>
      </c>
      <c r="P81" s="79">
        <f t="shared" si="25"/>
        <v>255.12</v>
      </c>
      <c r="Q81" s="34">
        <f t="shared" si="26"/>
        <v>0.62245217936652697</v>
      </c>
      <c r="R81" s="1">
        <v>38</v>
      </c>
    </row>
    <row r="82" spans="1:19" ht="24" customHeight="1">
      <c r="A82" s="81">
        <v>34</v>
      </c>
      <c r="B82" s="31" t="s">
        <v>163</v>
      </c>
      <c r="C82" s="104">
        <v>243244.1</v>
      </c>
      <c r="D82" s="104">
        <v>243336.1</v>
      </c>
      <c r="E82" s="104">
        <f t="shared" si="19"/>
        <v>92</v>
      </c>
      <c r="F82" s="110">
        <v>18152</v>
      </c>
      <c r="G82" s="111">
        <v>139.61000000000001</v>
      </c>
      <c r="H82" s="10">
        <f t="shared" si="20"/>
        <v>0.65897858319604607</v>
      </c>
      <c r="I82" s="104">
        <v>243336.1</v>
      </c>
      <c r="J82" s="106">
        <f t="shared" si="21"/>
        <v>0</v>
      </c>
      <c r="K82" s="110">
        <v>18161</v>
      </c>
      <c r="L82" s="107">
        <f t="shared" si="22"/>
        <v>9</v>
      </c>
      <c r="M82" s="111">
        <v>0</v>
      </c>
      <c r="N82" s="28">
        <f t="shared" si="23"/>
        <v>0</v>
      </c>
      <c r="O82" s="84">
        <f t="shared" si="24"/>
        <v>92</v>
      </c>
      <c r="P82" s="79">
        <f t="shared" si="25"/>
        <v>139.61000000000001</v>
      </c>
      <c r="Q82" s="34">
        <f t="shared" si="26"/>
        <v>0.65897858319604607</v>
      </c>
      <c r="R82" s="1">
        <v>20</v>
      </c>
    </row>
    <row r="83" spans="1:19" ht="24" customHeight="1">
      <c r="A83" s="81">
        <v>35</v>
      </c>
      <c r="B83" s="31" t="s">
        <v>164</v>
      </c>
      <c r="C83" s="104">
        <v>242650.3</v>
      </c>
      <c r="D83" s="104">
        <v>242783.1</v>
      </c>
      <c r="E83" s="104">
        <f t="shared" si="19"/>
        <v>132.80000000001746</v>
      </c>
      <c r="F83" s="110">
        <v>18114</v>
      </c>
      <c r="G83" s="111">
        <v>203</v>
      </c>
      <c r="H83" s="10">
        <f t="shared" si="20"/>
        <v>0.65418719211831267</v>
      </c>
      <c r="I83" s="104">
        <v>242864</v>
      </c>
      <c r="J83" s="106">
        <f t="shared" si="21"/>
        <v>80.899999999994179</v>
      </c>
      <c r="K83" s="110">
        <v>18135</v>
      </c>
      <c r="L83" s="107">
        <f t="shared" si="22"/>
        <v>21</v>
      </c>
      <c r="M83" s="111">
        <v>108</v>
      </c>
      <c r="N83" s="28">
        <f t="shared" si="23"/>
        <v>0.74907407407402016</v>
      </c>
      <c r="O83" s="84">
        <f t="shared" si="24"/>
        <v>213.70000000001164</v>
      </c>
      <c r="P83" s="79">
        <f t="shared" si="25"/>
        <v>311</v>
      </c>
      <c r="Q83" s="34">
        <f t="shared" si="26"/>
        <v>0.68713826366563224</v>
      </c>
      <c r="R83" s="1">
        <v>25</v>
      </c>
    </row>
    <row r="84" spans="1:19" ht="24" customHeight="1">
      <c r="A84" s="81">
        <v>36</v>
      </c>
      <c r="B84" s="31" t="s">
        <v>165</v>
      </c>
      <c r="C84" s="104">
        <v>249470</v>
      </c>
      <c r="D84" s="104">
        <v>249615.1</v>
      </c>
      <c r="E84" s="104">
        <f t="shared" si="19"/>
        <v>145.10000000000582</v>
      </c>
      <c r="F84" s="110">
        <v>17744</v>
      </c>
      <c r="G84" s="111">
        <v>224.09</v>
      </c>
      <c r="H84" s="10">
        <f t="shared" si="20"/>
        <v>0.64750769780001705</v>
      </c>
      <c r="I84" s="104">
        <v>249637.6</v>
      </c>
      <c r="J84" s="106">
        <f t="shared" si="21"/>
        <v>22.5</v>
      </c>
      <c r="K84" s="110">
        <v>17764</v>
      </c>
      <c r="L84" s="107">
        <f t="shared" si="22"/>
        <v>20</v>
      </c>
      <c r="M84" s="112">
        <v>35</v>
      </c>
      <c r="N84" s="28">
        <f t="shared" si="23"/>
        <v>0.6428571428571429</v>
      </c>
      <c r="O84" s="84">
        <f t="shared" si="24"/>
        <v>167.60000000000582</v>
      </c>
      <c r="P84" s="79">
        <f t="shared" si="25"/>
        <v>259.09000000000003</v>
      </c>
      <c r="Q84" s="34">
        <f t="shared" si="26"/>
        <v>0.64687946273497932</v>
      </c>
      <c r="R84" s="1">
        <v>34</v>
      </c>
    </row>
    <row r="85" spans="1:19" ht="24" customHeight="1">
      <c r="A85" s="81">
        <v>37</v>
      </c>
      <c r="B85" s="31" t="s">
        <v>83</v>
      </c>
      <c r="C85" s="104">
        <v>258181.9</v>
      </c>
      <c r="D85" s="104">
        <v>258213.2</v>
      </c>
      <c r="E85" s="104">
        <f t="shared" si="19"/>
        <v>31.300000000017462</v>
      </c>
      <c r="F85" s="110">
        <v>18285</v>
      </c>
      <c r="G85" s="111">
        <v>105.58</v>
      </c>
      <c r="H85" s="10">
        <f t="shared" si="20"/>
        <v>0.29645766243623284</v>
      </c>
      <c r="I85" s="104">
        <v>258213.2</v>
      </c>
      <c r="J85" s="106">
        <f t="shared" si="21"/>
        <v>0</v>
      </c>
      <c r="K85" s="110">
        <v>18294</v>
      </c>
      <c r="L85" s="107">
        <f t="shared" si="22"/>
        <v>9</v>
      </c>
      <c r="M85" s="112">
        <v>0</v>
      </c>
      <c r="N85" s="28">
        <f t="shared" si="23"/>
        <v>0</v>
      </c>
      <c r="O85" s="84">
        <f t="shared" si="24"/>
        <v>31.300000000017462</v>
      </c>
      <c r="P85" s="79">
        <f t="shared" si="25"/>
        <v>105.58</v>
      </c>
      <c r="Q85" s="34">
        <f t="shared" si="26"/>
        <v>0.29645766243623284</v>
      </c>
      <c r="R85" s="1">
        <v>32</v>
      </c>
    </row>
    <row r="86" spans="1:19" ht="24" customHeight="1">
      <c r="A86" s="81">
        <v>38</v>
      </c>
      <c r="B86" s="31" t="s">
        <v>84</v>
      </c>
      <c r="C86" s="104">
        <v>269305.5</v>
      </c>
      <c r="D86" s="104">
        <v>269444.5</v>
      </c>
      <c r="E86" s="104">
        <f t="shared" si="19"/>
        <v>139</v>
      </c>
      <c r="F86" s="110">
        <v>17635</v>
      </c>
      <c r="G86" s="111">
        <v>213</v>
      </c>
      <c r="H86" s="10">
        <f t="shared" si="20"/>
        <v>0.65258215962441313</v>
      </c>
      <c r="I86" s="104">
        <v>269566.8</v>
      </c>
      <c r="J86" s="106">
        <f t="shared" si="21"/>
        <v>122.29999999998836</v>
      </c>
      <c r="K86" s="110">
        <v>17658</v>
      </c>
      <c r="L86" s="107">
        <f t="shared" si="22"/>
        <v>23</v>
      </c>
      <c r="M86" s="112">
        <v>166</v>
      </c>
      <c r="N86" s="28">
        <f t="shared" si="23"/>
        <v>0.7367469879517371</v>
      </c>
      <c r="O86" s="84">
        <f t="shared" si="24"/>
        <v>261.29999999998836</v>
      </c>
      <c r="P86" s="79">
        <f t="shared" si="25"/>
        <v>379</v>
      </c>
      <c r="Q86" s="34">
        <f t="shared" si="26"/>
        <v>0.68944591029020674</v>
      </c>
      <c r="R86" s="1">
        <v>34</v>
      </c>
    </row>
    <row r="87" spans="1:19" ht="24" customHeight="1">
      <c r="A87" s="81">
        <v>39</v>
      </c>
      <c r="B87" s="31" t="s">
        <v>85</v>
      </c>
      <c r="C87" s="35">
        <v>277445.09999999998</v>
      </c>
      <c r="D87" s="35">
        <v>277585.59999999998</v>
      </c>
      <c r="E87" s="104">
        <f t="shared" si="19"/>
        <v>140.5</v>
      </c>
      <c r="F87" s="110">
        <v>19554</v>
      </c>
      <c r="G87" s="111">
        <v>215</v>
      </c>
      <c r="H87" s="10">
        <f t="shared" si="20"/>
        <v>0.65348837209302324</v>
      </c>
      <c r="I87" s="35">
        <v>277694.59999999998</v>
      </c>
      <c r="J87" s="106">
        <f t="shared" si="21"/>
        <v>109</v>
      </c>
      <c r="K87" s="110">
        <v>19575</v>
      </c>
      <c r="L87" s="107">
        <f t="shared" si="22"/>
        <v>21</v>
      </c>
      <c r="M87" s="112">
        <v>150</v>
      </c>
      <c r="N87" s="28">
        <f t="shared" si="23"/>
        <v>0.72666666666666668</v>
      </c>
      <c r="O87" s="84">
        <f t="shared" si="24"/>
        <v>249.5</v>
      </c>
      <c r="P87" s="79">
        <f t="shared" si="25"/>
        <v>365</v>
      </c>
      <c r="Q87" s="34">
        <f t="shared" si="26"/>
        <v>0.68356164383561646</v>
      </c>
      <c r="R87" s="1">
        <v>23</v>
      </c>
    </row>
    <row r="88" spans="1:19" ht="24" customHeight="1">
      <c r="A88" s="81">
        <v>40</v>
      </c>
      <c r="B88" s="31" t="s">
        <v>86</v>
      </c>
      <c r="C88" s="104">
        <v>248478.8</v>
      </c>
      <c r="D88" s="104">
        <v>248545.6</v>
      </c>
      <c r="E88" s="104">
        <f t="shared" si="19"/>
        <v>66.800000000017462</v>
      </c>
      <c r="F88" s="110">
        <v>17634</v>
      </c>
      <c r="G88" s="111">
        <v>160.51</v>
      </c>
      <c r="H88" s="10">
        <f t="shared" si="20"/>
        <v>0.41617344713735882</v>
      </c>
      <c r="I88" s="104">
        <v>248634</v>
      </c>
      <c r="J88" s="106">
        <f t="shared" si="21"/>
        <v>88.399999999994179</v>
      </c>
      <c r="K88" s="110">
        <v>17649</v>
      </c>
      <c r="L88" s="107">
        <f t="shared" si="22"/>
        <v>15</v>
      </c>
      <c r="M88" s="112">
        <v>84</v>
      </c>
      <c r="N88" s="28">
        <f t="shared" si="23"/>
        <v>1.0523809523808831</v>
      </c>
      <c r="O88" s="84">
        <f t="shared" si="24"/>
        <v>155.20000000001164</v>
      </c>
      <c r="P88" s="79">
        <f t="shared" si="25"/>
        <v>244.51</v>
      </c>
      <c r="Q88" s="34">
        <f t="shared" si="26"/>
        <v>0.63473886548612179</v>
      </c>
      <c r="R88" s="1">
        <v>28</v>
      </c>
    </row>
    <row r="89" spans="1:19" ht="24" customHeight="1">
      <c r="A89" s="81">
        <v>41</v>
      </c>
      <c r="B89" s="31" t="s">
        <v>87</v>
      </c>
      <c r="C89" s="104">
        <v>277313.8</v>
      </c>
      <c r="D89" s="104">
        <v>277313.8</v>
      </c>
      <c r="E89" s="104">
        <f t="shared" si="19"/>
        <v>0</v>
      </c>
      <c r="F89" s="110">
        <v>19116</v>
      </c>
      <c r="G89" s="111">
        <v>0</v>
      </c>
      <c r="H89" s="10">
        <f t="shared" si="20"/>
        <v>0</v>
      </c>
      <c r="I89" s="104">
        <v>277402.59999999998</v>
      </c>
      <c r="J89" s="106">
        <f t="shared" si="21"/>
        <v>88.799999999988358</v>
      </c>
      <c r="K89" s="110">
        <v>19138</v>
      </c>
      <c r="L89" s="107">
        <f t="shared" si="22"/>
        <v>22</v>
      </c>
      <c r="M89" s="111">
        <v>107</v>
      </c>
      <c r="N89" s="28">
        <f t="shared" si="23"/>
        <v>0.82990654205596592</v>
      </c>
      <c r="O89" s="84">
        <f t="shared" si="24"/>
        <v>88.799999999988358</v>
      </c>
      <c r="P89" s="79">
        <f t="shared" si="25"/>
        <v>107</v>
      </c>
      <c r="Q89" s="34">
        <f t="shared" si="26"/>
        <v>0.82990654205596592</v>
      </c>
      <c r="R89" s="1">
        <v>22</v>
      </c>
    </row>
    <row r="90" spans="1:19" ht="24" customHeight="1">
      <c r="A90" s="81">
        <v>42</v>
      </c>
      <c r="B90" s="31" t="s">
        <v>88</v>
      </c>
      <c r="C90" s="104">
        <v>273075.90000000002</v>
      </c>
      <c r="D90" s="104">
        <v>273175.2</v>
      </c>
      <c r="E90" s="104">
        <f t="shared" si="19"/>
        <v>99.299999999988358</v>
      </c>
      <c r="F90" s="110">
        <v>18501</v>
      </c>
      <c r="G90" s="111">
        <v>153</v>
      </c>
      <c r="H90" s="10">
        <f t="shared" si="20"/>
        <v>0.64901960784306112</v>
      </c>
      <c r="I90" s="104">
        <v>273272.90000000002</v>
      </c>
      <c r="J90" s="106">
        <f t="shared" si="21"/>
        <v>97.700000000011642</v>
      </c>
      <c r="K90" s="110">
        <v>18519</v>
      </c>
      <c r="L90" s="107">
        <f t="shared" si="22"/>
        <v>18</v>
      </c>
      <c r="M90" s="111">
        <v>152</v>
      </c>
      <c r="N90" s="28">
        <f t="shared" si="23"/>
        <v>0.64276315789481342</v>
      </c>
      <c r="O90" s="84">
        <f t="shared" si="24"/>
        <v>197</v>
      </c>
      <c r="P90" s="79">
        <f t="shared" si="25"/>
        <v>305</v>
      </c>
      <c r="Q90" s="34">
        <f t="shared" si="26"/>
        <v>0.64590163934426226</v>
      </c>
      <c r="R90" s="1">
        <v>29</v>
      </c>
    </row>
    <row r="91" spans="1:19" ht="24" customHeight="1">
      <c r="A91" s="81">
        <v>43</v>
      </c>
      <c r="B91" s="31" t="s">
        <v>89</v>
      </c>
      <c r="C91" s="35">
        <v>265516.09999999998</v>
      </c>
      <c r="D91" s="35">
        <v>265603.09999999998</v>
      </c>
      <c r="E91" s="104">
        <f t="shared" si="19"/>
        <v>87</v>
      </c>
      <c r="F91" s="110">
        <v>18168</v>
      </c>
      <c r="G91" s="111">
        <v>147</v>
      </c>
      <c r="H91" s="10">
        <f t="shared" si="20"/>
        <v>0.59183673469387754</v>
      </c>
      <c r="I91" s="35">
        <v>265676.09999999998</v>
      </c>
      <c r="J91" s="106">
        <f t="shared" si="21"/>
        <v>73</v>
      </c>
      <c r="K91" s="110">
        <v>18184</v>
      </c>
      <c r="L91" s="107">
        <f t="shared" si="22"/>
        <v>16</v>
      </c>
      <c r="M91" s="111">
        <v>129</v>
      </c>
      <c r="N91" s="28">
        <f t="shared" si="23"/>
        <v>0.56589147286821706</v>
      </c>
      <c r="O91" s="84">
        <f t="shared" si="24"/>
        <v>160</v>
      </c>
      <c r="P91" s="79">
        <f t="shared" si="25"/>
        <v>276</v>
      </c>
      <c r="Q91" s="34">
        <f t="shared" si="26"/>
        <v>0.57971014492753625</v>
      </c>
      <c r="R91" s="1">
        <v>43</v>
      </c>
    </row>
    <row r="92" spans="1:19" ht="24" customHeight="1">
      <c r="A92" s="81">
        <v>44</v>
      </c>
      <c r="B92" s="31" t="s">
        <v>90</v>
      </c>
      <c r="C92" s="104">
        <v>243003.3</v>
      </c>
      <c r="D92" s="104">
        <v>243063.4</v>
      </c>
      <c r="E92" s="104">
        <f t="shared" si="19"/>
        <v>60.100000000005821</v>
      </c>
      <c r="F92" s="110">
        <v>17493</v>
      </c>
      <c r="G92" s="111">
        <v>114.86</v>
      </c>
      <c r="H92" s="10">
        <f>IFERROR(E92/G92,0)</f>
        <v>0.52324569040576197</v>
      </c>
      <c r="I92" s="104">
        <v>243123.20000000001</v>
      </c>
      <c r="J92" s="106">
        <f t="shared" si="21"/>
        <v>59.800000000017462</v>
      </c>
      <c r="K92" s="110">
        <v>17510</v>
      </c>
      <c r="L92" s="107">
        <f t="shared" si="22"/>
        <v>17</v>
      </c>
      <c r="M92" s="111">
        <v>111</v>
      </c>
      <c r="N92" s="28">
        <f t="shared" si="23"/>
        <v>0.53873873873889611</v>
      </c>
      <c r="O92" s="84">
        <f t="shared" si="24"/>
        <v>119.90000000002328</v>
      </c>
      <c r="P92" s="79">
        <f t="shared" si="25"/>
        <v>225.86</v>
      </c>
      <c r="Q92" s="34">
        <f t="shared" si="26"/>
        <v>0.53085982467025272</v>
      </c>
      <c r="R92" s="1">
        <v>38</v>
      </c>
    </row>
    <row r="93" spans="1:19" ht="24" customHeight="1">
      <c r="A93" s="81">
        <v>45</v>
      </c>
      <c r="B93" s="31" t="s">
        <v>91</v>
      </c>
      <c r="C93" s="104">
        <v>254153.9</v>
      </c>
      <c r="D93" s="104">
        <v>254153.9</v>
      </c>
      <c r="E93" s="104">
        <f t="shared" si="19"/>
        <v>0</v>
      </c>
      <c r="F93" s="110">
        <v>17731</v>
      </c>
      <c r="G93" s="111">
        <v>0</v>
      </c>
      <c r="H93" s="10">
        <f t="shared" si="20"/>
        <v>0</v>
      </c>
      <c r="I93" s="104">
        <v>254153.9</v>
      </c>
      <c r="J93" s="106">
        <f t="shared" si="21"/>
        <v>0</v>
      </c>
      <c r="K93" s="110">
        <v>17731</v>
      </c>
      <c r="L93" s="107">
        <f t="shared" si="22"/>
        <v>0</v>
      </c>
      <c r="M93" s="111">
        <v>0</v>
      </c>
      <c r="N93" s="28">
        <f t="shared" si="23"/>
        <v>0</v>
      </c>
      <c r="O93" s="84">
        <f t="shared" si="24"/>
        <v>0</v>
      </c>
      <c r="P93" s="79">
        <f t="shared" si="25"/>
        <v>0</v>
      </c>
      <c r="Q93" s="34">
        <f t="shared" si="26"/>
        <v>0</v>
      </c>
      <c r="R93" s="1">
        <v>0</v>
      </c>
    </row>
    <row r="94" spans="1:19" ht="24" customHeight="1">
      <c r="A94" s="81">
        <v>46</v>
      </c>
      <c r="B94" s="31" t="s">
        <v>92</v>
      </c>
      <c r="C94" s="35">
        <v>236887.9</v>
      </c>
      <c r="D94" s="35">
        <v>237028.7</v>
      </c>
      <c r="E94" s="104">
        <f>D94-C94</f>
        <v>140.80000000001746</v>
      </c>
      <c r="F94" s="110">
        <v>17128</v>
      </c>
      <c r="G94" s="111">
        <v>196</v>
      </c>
      <c r="H94" s="10">
        <f t="shared" si="20"/>
        <v>0.71836734693886461</v>
      </c>
      <c r="I94" s="35">
        <v>237108</v>
      </c>
      <c r="J94" s="106">
        <f>I94-D94</f>
        <v>79.299999999988358</v>
      </c>
      <c r="K94" s="110">
        <v>17149</v>
      </c>
      <c r="L94" s="107">
        <f t="shared" si="22"/>
        <v>21</v>
      </c>
      <c r="M94" s="111">
        <v>128</v>
      </c>
      <c r="N94" s="28">
        <f t="shared" si="23"/>
        <v>0.61953124999990905</v>
      </c>
      <c r="O94" s="84">
        <f t="shared" si="24"/>
        <v>220.10000000000582</v>
      </c>
      <c r="P94" s="79">
        <f>G94+M94</f>
        <v>324</v>
      </c>
      <c r="Q94" s="34">
        <f t="shared" si="26"/>
        <v>0.6793209876543389</v>
      </c>
      <c r="R94" s="1">
        <v>21</v>
      </c>
    </row>
    <row r="95" spans="1:19" ht="24" customHeight="1">
      <c r="A95" s="81">
        <v>47</v>
      </c>
      <c r="B95" s="31" t="s">
        <v>93</v>
      </c>
      <c r="C95" s="104">
        <v>245223.5</v>
      </c>
      <c r="D95" s="104">
        <v>245367.2</v>
      </c>
      <c r="E95" s="104">
        <f>D95-C95</f>
        <v>143.70000000001164</v>
      </c>
      <c r="F95" s="110">
        <v>16615</v>
      </c>
      <c r="G95" s="111">
        <v>205</v>
      </c>
      <c r="H95" s="10">
        <f t="shared" si="20"/>
        <v>0.70097560975615436</v>
      </c>
      <c r="I95" s="104">
        <v>245432.7</v>
      </c>
      <c r="J95" s="106">
        <f>I95-D95</f>
        <v>65.5</v>
      </c>
      <c r="K95" s="110">
        <v>16634</v>
      </c>
      <c r="L95" s="107">
        <f t="shared" si="22"/>
        <v>19</v>
      </c>
      <c r="M95" s="111">
        <v>118</v>
      </c>
      <c r="N95" s="28">
        <f t="shared" si="23"/>
        <v>0.55508474576271183</v>
      </c>
      <c r="O95" s="84">
        <f t="shared" si="24"/>
        <v>209.20000000001164</v>
      </c>
      <c r="P95" s="79">
        <f t="shared" si="25"/>
        <v>323</v>
      </c>
      <c r="Q95" s="34">
        <f t="shared" si="26"/>
        <v>0.64767801857588747</v>
      </c>
      <c r="R95" s="1">
        <v>18</v>
      </c>
      <c r="S95" t="s">
        <v>94</v>
      </c>
    </row>
    <row r="96" spans="1:19" ht="24" customHeight="1">
      <c r="A96" s="81">
        <v>48</v>
      </c>
      <c r="B96" s="31" t="s">
        <v>95</v>
      </c>
      <c r="C96" s="104">
        <v>242247.6</v>
      </c>
      <c r="D96" s="104">
        <v>242334.1</v>
      </c>
      <c r="E96" s="104">
        <f t="shared" si="19"/>
        <v>86.5</v>
      </c>
      <c r="F96" s="110">
        <v>18040</v>
      </c>
      <c r="G96" s="111">
        <v>189.57</v>
      </c>
      <c r="H96" s="10">
        <f t="shared" si="20"/>
        <v>0.45629582739885005</v>
      </c>
      <c r="I96" s="104">
        <v>242403.1</v>
      </c>
      <c r="J96" s="106">
        <f t="shared" si="21"/>
        <v>69</v>
      </c>
      <c r="K96" s="110">
        <v>18068</v>
      </c>
      <c r="L96" s="107">
        <f t="shared" si="22"/>
        <v>28</v>
      </c>
      <c r="M96" s="111">
        <v>112</v>
      </c>
      <c r="N96" s="28">
        <f t="shared" si="23"/>
        <v>0.6160714285714286</v>
      </c>
      <c r="O96" s="84">
        <f t="shared" si="24"/>
        <v>155.5</v>
      </c>
      <c r="P96" s="79">
        <f t="shared" si="25"/>
        <v>301.57</v>
      </c>
      <c r="Q96" s="34">
        <f t="shared" si="26"/>
        <v>0.51563484431475282</v>
      </c>
      <c r="R96" s="1">
        <v>42</v>
      </c>
    </row>
    <row r="97" spans="1:18" ht="24" customHeight="1">
      <c r="A97" s="81">
        <v>49</v>
      </c>
      <c r="B97" s="31" t="s">
        <v>96</v>
      </c>
      <c r="C97" s="35">
        <v>246890</v>
      </c>
      <c r="D97" s="35">
        <v>246890</v>
      </c>
      <c r="E97" s="104">
        <f t="shared" si="19"/>
        <v>0</v>
      </c>
      <c r="F97" s="110">
        <v>17724</v>
      </c>
      <c r="G97" s="111">
        <v>0</v>
      </c>
      <c r="H97" s="10">
        <f>IFERROR(E97/G97,0)</f>
        <v>0</v>
      </c>
      <c r="I97" s="35">
        <v>247037.3</v>
      </c>
      <c r="J97" s="106">
        <f t="shared" si="21"/>
        <v>147.29999999998836</v>
      </c>
      <c r="K97" s="110">
        <v>17748</v>
      </c>
      <c r="L97" s="107">
        <f t="shared" si="22"/>
        <v>24</v>
      </c>
      <c r="M97" s="111">
        <v>178</v>
      </c>
      <c r="N97" s="28">
        <f t="shared" si="23"/>
        <v>0.82752808988757509</v>
      </c>
      <c r="O97" s="84">
        <f t="shared" si="24"/>
        <v>147.29999999998836</v>
      </c>
      <c r="P97" s="79">
        <f t="shared" si="25"/>
        <v>178</v>
      </c>
      <c r="Q97" s="34">
        <f t="shared" si="26"/>
        <v>0.82752808988757509</v>
      </c>
      <c r="R97" s="1">
        <v>20</v>
      </c>
    </row>
    <row r="98" spans="1:18" ht="24" customHeight="1">
      <c r="A98" s="81">
        <v>50</v>
      </c>
      <c r="B98" s="31" t="s">
        <v>97</v>
      </c>
      <c r="C98" s="104">
        <v>235331.8</v>
      </c>
      <c r="D98" s="104">
        <v>235477.1</v>
      </c>
      <c r="E98" s="104">
        <f t="shared" si="19"/>
        <v>145.30000000001746</v>
      </c>
      <c r="F98" s="110">
        <v>16251</v>
      </c>
      <c r="G98" s="111">
        <v>247</v>
      </c>
      <c r="H98" s="10">
        <f t="shared" si="20"/>
        <v>0.58825910931181158</v>
      </c>
      <c r="I98" s="104">
        <v>235561.5</v>
      </c>
      <c r="J98" s="106">
        <f t="shared" si="21"/>
        <v>84.399999999994179</v>
      </c>
      <c r="K98" s="110">
        <v>16271</v>
      </c>
      <c r="L98" s="107">
        <f t="shared" si="22"/>
        <v>20</v>
      </c>
      <c r="M98" s="111">
        <v>113</v>
      </c>
      <c r="N98" s="28">
        <f t="shared" si="23"/>
        <v>0.74690265486720508</v>
      </c>
      <c r="O98" s="84">
        <f t="shared" si="24"/>
        <v>229.70000000001164</v>
      </c>
      <c r="P98" s="79">
        <f t="shared" si="25"/>
        <v>360</v>
      </c>
      <c r="Q98" s="34">
        <f t="shared" si="26"/>
        <v>0.63805555555558791</v>
      </c>
      <c r="R98" s="1">
        <v>20</v>
      </c>
    </row>
    <row r="99" spans="1:18" ht="24" customHeight="1">
      <c r="A99" s="81">
        <v>51</v>
      </c>
      <c r="B99" s="121" t="s">
        <v>166</v>
      </c>
      <c r="C99" s="104">
        <v>204555</v>
      </c>
      <c r="D99" s="104">
        <v>204670</v>
      </c>
      <c r="E99" s="118">
        <f t="shared" si="19"/>
        <v>115</v>
      </c>
      <c r="F99" s="110">
        <v>17423</v>
      </c>
      <c r="G99" s="111">
        <v>154</v>
      </c>
      <c r="H99" s="55">
        <f t="shared" si="20"/>
        <v>0.74675324675324672</v>
      </c>
      <c r="I99" s="104">
        <v>204670</v>
      </c>
      <c r="J99" s="119">
        <f t="shared" si="21"/>
        <v>0</v>
      </c>
      <c r="K99" s="110">
        <v>17434</v>
      </c>
      <c r="L99" s="120">
        <f t="shared" si="22"/>
        <v>11</v>
      </c>
      <c r="M99" s="111">
        <v>0</v>
      </c>
      <c r="N99" s="28">
        <f t="shared" si="23"/>
        <v>0</v>
      </c>
      <c r="O99" s="58">
        <f t="shared" si="24"/>
        <v>115</v>
      </c>
      <c r="P99" s="79">
        <f t="shared" si="25"/>
        <v>154</v>
      </c>
      <c r="Q99" s="34">
        <f t="shared" si="26"/>
        <v>0.74675324675324672</v>
      </c>
      <c r="R99" s="1">
        <v>6</v>
      </c>
    </row>
    <row r="100" spans="1:18" ht="24" customHeight="1">
      <c r="A100" s="81">
        <v>52</v>
      </c>
      <c r="B100" s="121" t="s">
        <v>167</v>
      </c>
      <c r="C100" s="104">
        <v>186406</v>
      </c>
      <c r="D100" s="104">
        <v>186406</v>
      </c>
      <c r="E100" s="118">
        <f t="shared" si="19"/>
        <v>0</v>
      </c>
      <c r="F100" s="110">
        <v>16317</v>
      </c>
      <c r="G100" s="111">
        <v>0</v>
      </c>
      <c r="H100" s="55">
        <f t="shared" si="20"/>
        <v>0</v>
      </c>
      <c r="I100" s="104">
        <v>186406</v>
      </c>
      <c r="J100" s="119">
        <f t="shared" si="21"/>
        <v>0</v>
      </c>
      <c r="K100" s="110">
        <v>16317</v>
      </c>
      <c r="L100" s="120">
        <f t="shared" si="22"/>
        <v>0</v>
      </c>
      <c r="M100" s="111">
        <v>0</v>
      </c>
      <c r="N100" s="28">
        <f t="shared" si="23"/>
        <v>0</v>
      </c>
      <c r="O100" s="58">
        <f t="shared" si="24"/>
        <v>0</v>
      </c>
      <c r="P100" s="79">
        <f t="shared" si="25"/>
        <v>0</v>
      </c>
      <c r="Q100" s="34">
        <f t="shared" si="26"/>
        <v>0</v>
      </c>
      <c r="R100" s="1">
        <v>0</v>
      </c>
    </row>
    <row r="101" spans="1:18" ht="24" customHeight="1">
      <c r="A101" s="81">
        <v>53</v>
      </c>
      <c r="B101" s="121" t="s">
        <v>168</v>
      </c>
      <c r="C101" s="104">
        <v>190272</v>
      </c>
      <c r="D101" s="104">
        <v>190402</v>
      </c>
      <c r="E101" s="118">
        <f t="shared" si="19"/>
        <v>130</v>
      </c>
      <c r="F101" s="110">
        <v>16998</v>
      </c>
      <c r="G101" s="111">
        <v>192.17</v>
      </c>
      <c r="H101" s="55">
        <f t="shared" si="20"/>
        <v>0.67648436280376756</v>
      </c>
      <c r="I101" s="104">
        <v>190472</v>
      </c>
      <c r="J101" s="119">
        <f t="shared" si="21"/>
        <v>70</v>
      </c>
      <c r="K101" s="110">
        <v>17019</v>
      </c>
      <c r="L101" s="120">
        <f t="shared" si="22"/>
        <v>21</v>
      </c>
      <c r="M101" s="111">
        <v>124</v>
      </c>
      <c r="N101" s="28">
        <f t="shared" si="23"/>
        <v>0.56451612903225812</v>
      </c>
      <c r="O101" s="58">
        <f t="shared" si="24"/>
        <v>200</v>
      </c>
      <c r="P101" s="79">
        <f t="shared" si="25"/>
        <v>316.16999999999996</v>
      </c>
      <c r="Q101" s="34">
        <f t="shared" si="26"/>
        <v>0.63257108517569671</v>
      </c>
      <c r="R101" s="1">
        <v>26</v>
      </c>
    </row>
    <row r="102" spans="1:18" ht="24" customHeight="1">
      <c r="A102" s="81">
        <v>54</v>
      </c>
      <c r="B102" s="121" t="s">
        <v>169</v>
      </c>
      <c r="C102" s="104">
        <v>194509</v>
      </c>
      <c r="D102" s="104">
        <v>194593</v>
      </c>
      <c r="E102" s="118">
        <f t="shared" si="19"/>
        <v>84</v>
      </c>
      <c r="F102" s="110">
        <v>16487</v>
      </c>
      <c r="G102" s="111">
        <v>135</v>
      </c>
      <c r="H102" s="55">
        <f t="shared" si="20"/>
        <v>0.62222222222222223</v>
      </c>
      <c r="I102" s="104">
        <v>194681</v>
      </c>
      <c r="J102" s="119">
        <f t="shared" si="21"/>
        <v>88</v>
      </c>
      <c r="K102" s="110">
        <v>16504</v>
      </c>
      <c r="L102" s="120">
        <f t="shared" si="22"/>
        <v>17</v>
      </c>
      <c r="M102" s="111">
        <v>119</v>
      </c>
      <c r="N102" s="28">
        <f t="shared" si="23"/>
        <v>0.73949579831932777</v>
      </c>
      <c r="O102" s="58">
        <f t="shared" si="24"/>
        <v>172</v>
      </c>
      <c r="P102" s="79">
        <f t="shared" si="25"/>
        <v>254</v>
      </c>
      <c r="Q102" s="34">
        <f t="shared" si="26"/>
        <v>0.67716535433070868</v>
      </c>
      <c r="R102" s="1">
        <v>26</v>
      </c>
    </row>
    <row r="103" spans="1:18" ht="24" customHeight="1">
      <c r="A103" s="81">
        <v>55</v>
      </c>
      <c r="B103" s="121" t="s">
        <v>104</v>
      </c>
      <c r="C103" s="104">
        <v>69369.3</v>
      </c>
      <c r="D103" s="104">
        <v>69440.600000000006</v>
      </c>
      <c r="E103" s="122">
        <f t="shared" si="19"/>
        <v>71.30000000000291</v>
      </c>
      <c r="F103" s="110">
        <v>4686</v>
      </c>
      <c r="G103" s="111">
        <v>102</v>
      </c>
      <c r="H103" s="78">
        <f t="shared" si="20"/>
        <v>0.69901960784316575</v>
      </c>
      <c r="I103" s="104">
        <v>69549.8</v>
      </c>
      <c r="J103" s="112">
        <f t="shared" si="21"/>
        <v>109.19999999999709</v>
      </c>
      <c r="K103" s="110">
        <v>4701</v>
      </c>
      <c r="L103" s="107">
        <f t="shared" si="22"/>
        <v>15</v>
      </c>
      <c r="M103" s="111">
        <v>162</v>
      </c>
      <c r="N103" s="28">
        <f t="shared" si="23"/>
        <v>0.67407407407405606</v>
      </c>
      <c r="O103" s="58">
        <f t="shared" si="24"/>
        <v>180.5</v>
      </c>
      <c r="P103" s="79">
        <f t="shared" si="25"/>
        <v>264</v>
      </c>
      <c r="Q103" s="34">
        <f t="shared" si="26"/>
        <v>0.68371212121212122</v>
      </c>
      <c r="R103" s="1">
        <v>30</v>
      </c>
    </row>
    <row r="104" spans="1:18" ht="24" customHeight="1">
      <c r="A104" s="81">
        <v>56</v>
      </c>
      <c r="B104" s="121" t="s">
        <v>105</v>
      </c>
      <c r="C104" s="35">
        <v>67968.100000000006</v>
      </c>
      <c r="D104" s="35">
        <v>68110.8</v>
      </c>
      <c r="E104" s="122">
        <f t="shared" si="19"/>
        <v>142.69999999999709</v>
      </c>
      <c r="F104" s="110">
        <v>4687</v>
      </c>
      <c r="G104" s="111">
        <v>202</v>
      </c>
      <c r="H104" s="78">
        <f t="shared" si="20"/>
        <v>0.70643564356434208</v>
      </c>
      <c r="I104" s="35">
        <v>68214.100000000006</v>
      </c>
      <c r="J104" s="112">
        <f t="shared" si="21"/>
        <v>103.30000000000291</v>
      </c>
      <c r="K104" s="110">
        <v>4707</v>
      </c>
      <c r="L104" s="107">
        <f t="shared" si="22"/>
        <v>20</v>
      </c>
      <c r="M104" s="111">
        <v>151</v>
      </c>
      <c r="N104" s="28">
        <f t="shared" si="23"/>
        <v>0.68410596026491999</v>
      </c>
      <c r="O104" s="58">
        <f t="shared" si="24"/>
        <v>246</v>
      </c>
      <c r="P104" s="79">
        <f t="shared" si="25"/>
        <v>353</v>
      </c>
      <c r="Q104" s="34">
        <f t="shared" si="26"/>
        <v>0.69688385269121811</v>
      </c>
      <c r="R104" s="1">
        <v>36</v>
      </c>
    </row>
    <row r="105" spans="1:18" ht="24" customHeight="1">
      <c r="A105" s="81">
        <v>57</v>
      </c>
      <c r="B105" s="121" t="s">
        <v>106</v>
      </c>
      <c r="C105" s="104">
        <v>65986.100000000006</v>
      </c>
      <c r="D105" s="104">
        <v>66121.899999999994</v>
      </c>
      <c r="E105" s="122">
        <f t="shared" si="19"/>
        <v>135.79999999998836</v>
      </c>
      <c r="F105" s="110">
        <v>4712</v>
      </c>
      <c r="G105" s="111">
        <v>158</v>
      </c>
      <c r="H105" s="78">
        <f t="shared" si="20"/>
        <v>0.85949367088600226</v>
      </c>
      <c r="I105" s="104">
        <v>66198.600000000006</v>
      </c>
      <c r="J105" s="112">
        <f t="shared" si="21"/>
        <v>76.700000000011642</v>
      </c>
      <c r="K105" s="110">
        <v>4731</v>
      </c>
      <c r="L105" s="107">
        <f t="shared" si="22"/>
        <v>19</v>
      </c>
      <c r="M105" s="111">
        <v>154</v>
      </c>
      <c r="N105" s="28">
        <f t="shared" si="23"/>
        <v>0.49805194805202363</v>
      </c>
      <c r="O105" s="58">
        <f t="shared" si="24"/>
        <v>212.5</v>
      </c>
      <c r="P105" s="79">
        <f t="shared" si="25"/>
        <v>312</v>
      </c>
      <c r="Q105" s="34">
        <f t="shared" si="26"/>
        <v>0.68108974358974361</v>
      </c>
      <c r="R105" s="1">
        <v>30</v>
      </c>
    </row>
    <row r="106" spans="1:18" ht="24" customHeight="1">
      <c r="A106" s="81">
        <v>58</v>
      </c>
      <c r="B106" s="121" t="s">
        <v>107</v>
      </c>
      <c r="C106" s="104">
        <v>68199.199999999997</v>
      </c>
      <c r="D106" s="104">
        <v>68336.600000000006</v>
      </c>
      <c r="E106" s="122">
        <f t="shared" si="19"/>
        <v>137.40000000000873</v>
      </c>
      <c r="F106" s="110">
        <v>4709</v>
      </c>
      <c r="G106" s="111">
        <v>193</v>
      </c>
      <c r="H106" s="78">
        <f t="shared" si="20"/>
        <v>0.71191709844564111</v>
      </c>
      <c r="I106" s="104">
        <v>68442.5</v>
      </c>
      <c r="J106" s="112">
        <f t="shared" si="21"/>
        <v>105.89999999999418</v>
      </c>
      <c r="K106" s="110">
        <v>4730</v>
      </c>
      <c r="L106" s="107">
        <f t="shared" si="22"/>
        <v>21</v>
      </c>
      <c r="M106" s="111">
        <v>163</v>
      </c>
      <c r="N106" s="28">
        <f t="shared" si="23"/>
        <v>0.64969325153370661</v>
      </c>
      <c r="O106" s="58">
        <f t="shared" si="24"/>
        <v>243.30000000000291</v>
      </c>
      <c r="P106" s="79">
        <f t="shared" si="25"/>
        <v>356</v>
      </c>
      <c r="Q106" s="34">
        <f t="shared" si="26"/>
        <v>0.68342696629214306</v>
      </c>
      <c r="R106" s="1">
        <v>32</v>
      </c>
    </row>
    <row r="107" spans="1:18" ht="24" customHeight="1">
      <c r="A107" s="81">
        <v>59</v>
      </c>
      <c r="B107" s="121" t="s">
        <v>108</v>
      </c>
      <c r="C107" s="104">
        <v>67210.3</v>
      </c>
      <c r="D107" s="104">
        <v>67338.3</v>
      </c>
      <c r="E107" s="122">
        <f t="shared" si="19"/>
        <v>128</v>
      </c>
      <c r="F107" s="110">
        <v>4678</v>
      </c>
      <c r="G107" s="111">
        <v>190</v>
      </c>
      <c r="H107" s="78">
        <f t="shared" si="20"/>
        <v>0.67368421052631577</v>
      </c>
      <c r="I107" s="104">
        <v>67447.8</v>
      </c>
      <c r="J107" s="112">
        <f t="shared" si="21"/>
        <v>109.5</v>
      </c>
      <c r="K107" s="110">
        <v>4698</v>
      </c>
      <c r="L107" s="107">
        <f t="shared" si="22"/>
        <v>20</v>
      </c>
      <c r="M107" s="111">
        <v>132</v>
      </c>
      <c r="N107" s="28">
        <f t="shared" si="23"/>
        <v>0.82954545454545459</v>
      </c>
      <c r="O107" s="58">
        <f t="shared" si="24"/>
        <v>237.5</v>
      </c>
      <c r="P107" s="79">
        <f t="shared" si="25"/>
        <v>322</v>
      </c>
      <c r="Q107" s="34">
        <f t="shared" si="26"/>
        <v>0.73757763975155277</v>
      </c>
      <c r="R107" s="1">
        <v>34</v>
      </c>
    </row>
    <row r="108" spans="1:18" ht="24" customHeight="1">
      <c r="A108" s="81">
        <v>60</v>
      </c>
      <c r="B108" s="121" t="s">
        <v>109</v>
      </c>
      <c r="C108" s="104">
        <v>69141.7</v>
      </c>
      <c r="D108" s="104">
        <v>69268.7</v>
      </c>
      <c r="E108" s="118">
        <f t="shared" si="19"/>
        <v>127</v>
      </c>
      <c r="F108" s="110">
        <v>4775</v>
      </c>
      <c r="G108" s="111">
        <v>180</v>
      </c>
      <c r="H108" s="55">
        <f t="shared" si="20"/>
        <v>0.7055555555555556</v>
      </c>
      <c r="I108" s="104">
        <v>69355.7</v>
      </c>
      <c r="J108" s="119">
        <f t="shared" si="21"/>
        <v>87</v>
      </c>
      <c r="K108" s="110">
        <v>4794</v>
      </c>
      <c r="L108" s="120">
        <f t="shared" si="22"/>
        <v>19</v>
      </c>
      <c r="M108" s="111">
        <v>128</v>
      </c>
      <c r="N108" s="28">
        <f t="shared" si="23"/>
        <v>0.6796875</v>
      </c>
      <c r="O108" s="58">
        <f t="shared" si="24"/>
        <v>214</v>
      </c>
      <c r="P108" s="79">
        <f t="shared" si="25"/>
        <v>308</v>
      </c>
      <c r="Q108" s="34">
        <f t="shared" si="26"/>
        <v>0.69480519480519476</v>
      </c>
      <c r="R108" s="1">
        <v>29</v>
      </c>
    </row>
    <row r="109" spans="1:18" ht="24" customHeight="1">
      <c r="A109" s="81">
        <v>61</v>
      </c>
      <c r="B109" s="121" t="s">
        <v>110</v>
      </c>
      <c r="C109" s="104">
        <v>33161.199999999997</v>
      </c>
      <c r="D109" s="104">
        <v>33222.1</v>
      </c>
      <c r="E109" s="118">
        <f t="shared" si="19"/>
        <v>60.900000000001455</v>
      </c>
      <c r="F109" s="110">
        <v>2691</v>
      </c>
      <c r="G109" s="111">
        <v>133</v>
      </c>
      <c r="H109" s="55">
        <f t="shared" si="20"/>
        <v>0.45789473684211618</v>
      </c>
      <c r="I109" s="104">
        <v>33336.6</v>
      </c>
      <c r="J109" s="119">
        <f t="shared" si="21"/>
        <v>114.5</v>
      </c>
      <c r="K109" s="110">
        <v>2706</v>
      </c>
      <c r="L109" s="120">
        <f t="shared" si="22"/>
        <v>15</v>
      </c>
      <c r="M109" s="111">
        <v>160</v>
      </c>
      <c r="N109" s="28">
        <f t="shared" si="23"/>
        <v>0.71562499999999996</v>
      </c>
      <c r="O109" s="58">
        <f t="shared" si="24"/>
        <v>175.40000000000146</v>
      </c>
      <c r="P109" s="79">
        <f t="shared" si="25"/>
        <v>293</v>
      </c>
      <c r="Q109" s="34">
        <f t="shared" si="26"/>
        <v>0.59863481228669435</v>
      </c>
      <c r="R109" s="1">
        <v>36</v>
      </c>
    </row>
    <row r="110" spans="1:18" ht="22.2" customHeight="1">
      <c r="A110" s="123" t="s">
        <v>28</v>
      </c>
      <c r="B110" s="123"/>
      <c r="C110" s="40"/>
      <c r="D110" s="123"/>
      <c r="E110" s="124">
        <f>SUM(E49:E109)</f>
        <v>5194.6000000002605</v>
      </c>
      <c r="F110" s="125"/>
      <c r="G110" s="126">
        <f>SUM(G49:G109)</f>
        <v>8360.8499999999985</v>
      </c>
      <c r="H110" s="39"/>
      <c r="I110" s="40"/>
      <c r="J110" s="40">
        <f>SUM(J49:J109)</f>
        <v>3508.6999999999243</v>
      </c>
      <c r="K110" s="127"/>
      <c r="L110" s="128">
        <f>SUM(L49:L109)</f>
        <v>891.97999999999593</v>
      </c>
      <c r="M110" s="128">
        <f>SUM(M49:M109)</f>
        <v>5490</v>
      </c>
      <c r="N110" s="28">
        <f>IFERROR(J110/M110,0)</f>
        <v>0.63910746812384778</v>
      </c>
      <c r="O110" s="129">
        <f>SUM(O49:O109)</f>
        <v>8703.3000000001848</v>
      </c>
      <c r="P110" s="79">
        <f>G110+M110</f>
        <v>13850.849999999999</v>
      </c>
      <c r="Q110" s="34">
        <f>IFERROR(O110/P110,0)</f>
        <v>0.62835854839235039</v>
      </c>
      <c r="R110" s="130">
        <f>SUM(R49:R109)</f>
        <v>1377</v>
      </c>
    </row>
    <row r="111" spans="1:18" ht="22.2" customHeight="1" thickBot="1">
      <c r="A111" s="206" t="s">
        <v>111</v>
      </c>
      <c r="B111" s="207"/>
      <c r="C111" s="207"/>
      <c r="D111" s="207"/>
      <c r="E111" s="207"/>
      <c r="F111" s="207"/>
      <c r="G111" s="207"/>
      <c r="H111" s="207"/>
      <c r="I111" s="207"/>
      <c r="J111" s="207"/>
      <c r="K111" s="207"/>
      <c r="L111" s="208"/>
      <c r="M111" s="131"/>
      <c r="N111" s="132"/>
      <c r="O111" s="133"/>
    </row>
    <row r="112" spans="1:18" ht="22.2" customHeight="1">
      <c r="A112" s="209" t="s">
        <v>3</v>
      </c>
      <c r="B112" s="211" t="s">
        <v>4</v>
      </c>
      <c r="C112" s="213" t="s">
        <v>5</v>
      </c>
      <c r="D112" s="214"/>
      <c r="E112" s="214"/>
      <c r="F112" s="214"/>
      <c r="G112" s="215"/>
      <c r="H112" s="216" t="s">
        <v>6</v>
      </c>
      <c r="I112" s="217"/>
      <c r="J112" s="217"/>
      <c r="K112" s="218"/>
      <c r="L112" s="48"/>
      <c r="M112" s="219" t="s">
        <v>7</v>
      </c>
      <c r="N112" s="194" t="s">
        <v>8</v>
      </c>
      <c r="O112" s="37"/>
    </row>
    <row r="113" spans="1:17" ht="27.6" customHeight="1" thickBot="1">
      <c r="A113" s="210"/>
      <c r="B113" s="212"/>
      <c r="C113" s="49" t="s">
        <v>11</v>
      </c>
      <c r="D113" s="49" t="s">
        <v>12</v>
      </c>
      <c r="E113" s="49" t="s">
        <v>13</v>
      </c>
      <c r="F113" s="6" t="s">
        <v>14</v>
      </c>
      <c r="G113" s="6" t="s">
        <v>8</v>
      </c>
      <c r="H113" s="49" t="s">
        <v>12</v>
      </c>
      <c r="I113" s="49" t="s">
        <v>13</v>
      </c>
      <c r="J113" s="49" t="s">
        <v>14</v>
      </c>
      <c r="K113" s="7" t="s">
        <v>8</v>
      </c>
      <c r="L113" s="50" t="s">
        <v>15</v>
      </c>
      <c r="M113" s="220"/>
      <c r="N113" s="195"/>
      <c r="O113" s="37"/>
    </row>
    <row r="114" spans="1:17" ht="22.2" customHeight="1">
      <c r="A114" s="76">
        <v>1</v>
      </c>
      <c r="B114" s="31" t="s">
        <v>112</v>
      </c>
      <c r="C114" s="35">
        <v>121512</v>
      </c>
      <c r="D114" s="35">
        <v>121832</v>
      </c>
      <c r="E114" s="17">
        <f>D114-C114</f>
        <v>320</v>
      </c>
      <c r="F114" s="33">
        <v>46</v>
      </c>
      <c r="G114" s="10">
        <f>IFERROR(F114/E114,0)</f>
        <v>0.14374999999999999</v>
      </c>
      <c r="H114" s="35">
        <v>121832</v>
      </c>
      <c r="I114" s="19">
        <f>H114-D114</f>
        <v>0</v>
      </c>
      <c r="J114" s="33">
        <v>0</v>
      </c>
      <c r="K114" s="28">
        <f t="shared" ref="K114:K128" si="27">IFERROR(J114/I114,0)</f>
        <v>0</v>
      </c>
      <c r="L114" s="18">
        <f t="shared" ref="L114:M128" si="28">E114+I114</f>
        <v>320</v>
      </c>
      <c r="M114" s="22">
        <f>F114+J114</f>
        <v>46</v>
      </c>
      <c r="N114" s="71">
        <f>IFERROR(L114/M114,0)</f>
        <v>6.9565217391304346</v>
      </c>
      <c r="O114" s="37"/>
    </row>
    <row r="115" spans="1:17" ht="22.2" customHeight="1">
      <c r="A115" s="76">
        <v>2</v>
      </c>
      <c r="B115" s="31" t="s">
        <v>113</v>
      </c>
      <c r="C115" s="35">
        <v>4289.53</v>
      </c>
      <c r="D115" s="35">
        <v>4289.53</v>
      </c>
      <c r="E115" s="17">
        <f t="shared" ref="E115:E128" si="29">D115-C115</f>
        <v>0</v>
      </c>
      <c r="F115" s="33">
        <v>0</v>
      </c>
      <c r="G115" s="10">
        <f t="shared" ref="G115:G128" si="30">IFERROR(F115/E115,0)</f>
        <v>0</v>
      </c>
      <c r="H115" s="35">
        <v>4289.53</v>
      </c>
      <c r="I115" s="19">
        <f>H115-D115</f>
        <v>0</v>
      </c>
      <c r="J115" s="33">
        <v>0</v>
      </c>
      <c r="K115" s="28">
        <f t="shared" si="27"/>
        <v>0</v>
      </c>
      <c r="L115" s="18">
        <f t="shared" si="28"/>
        <v>0</v>
      </c>
      <c r="M115" s="22">
        <f t="shared" si="28"/>
        <v>0</v>
      </c>
      <c r="N115" s="71">
        <f t="shared" ref="N115:N128" si="31">IFERROR(L115/M115,0)</f>
        <v>0</v>
      </c>
      <c r="O115" s="134"/>
    </row>
    <row r="116" spans="1:17" ht="22.2" customHeight="1">
      <c r="A116" s="76">
        <v>3</v>
      </c>
      <c r="B116" s="31" t="s">
        <v>114</v>
      </c>
      <c r="C116" s="35">
        <v>147.27000000000001</v>
      </c>
      <c r="D116" s="35">
        <v>147.27000000000001</v>
      </c>
      <c r="E116" s="17">
        <f t="shared" si="29"/>
        <v>0</v>
      </c>
      <c r="F116" s="33">
        <v>0</v>
      </c>
      <c r="G116" s="10">
        <f t="shared" si="30"/>
        <v>0</v>
      </c>
      <c r="H116" s="35">
        <v>147.27000000000001</v>
      </c>
      <c r="I116" s="19">
        <f t="shared" ref="I116:I128" si="32">H116-D116</f>
        <v>0</v>
      </c>
      <c r="J116" s="33">
        <v>0</v>
      </c>
      <c r="K116" s="28">
        <f t="shared" si="27"/>
        <v>0</v>
      </c>
      <c r="L116" s="18">
        <f t="shared" si="28"/>
        <v>0</v>
      </c>
      <c r="M116" s="22">
        <f t="shared" si="28"/>
        <v>0</v>
      </c>
      <c r="N116" s="71">
        <f t="shared" si="31"/>
        <v>0</v>
      </c>
      <c r="O116" s="37"/>
    </row>
    <row r="117" spans="1:17" ht="22.2" customHeight="1">
      <c r="A117" s="76">
        <v>4</v>
      </c>
      <c r="B117" s="31" t="s">
        <v>115</v>
      </c>
      <c r="C117" s="136">
        <v>139611</v>
      </c>
      <c r="D117" s="136">
        <v>139611</v>
      </c>
      <c r="E117" s="17">
        <f t="shared" si="29"/>
        <v>0</v>
      </c>
      <c r="F117" s="33">
        <v>0</v>
      </c>
      <c r="G117" s="10">
        <f t="shared" si="30"/>
        <v>0</v>
      </c>
      <c r="H117" s="136">
        <v>139611</v>
      </c>
      <c r="I117" s="19">
        <f t="shared" si="32"/>
        <v>0</v>
      </c>
      <c r="J117" s="33">
        <v>0</v>
      </c>
      <c r="K117" s="28">
        <f t="shared" si="27"/>
        <v>0</v>
      </c>
      <c r="L117" s="18">
        <f t="shared" si="28"/>
        <v>0</v>
      </c>
      <c r="M117" s="22">
        <f t="shared" si="28"/>
        <v>0</v>
      </c>
      <c r="N117" s="71">
        <f t="shared" si="31"/>
        <v>0</v>
      </c>
      <c r="O117" s="137"/>
    </row>
    <row r="118" spans="1:17" ht="22.2" customHeight="1">
      <c r="A118" s="76">
        <v>5</v>
      </c>
      <c r="B118" s="31" t="s">
        <v>116</v>
      </c>
      <c r="C118" s="35">
        <v>44558.9</v>
      </c>
      <c r="D118" s="35">
        <v>44558.9</v>
      </c>
      <c r="E118" s="17">
        <f t="shared" si="29"/>
        <v>0</v>
      </c>
      <c r="F118" s="33">
        <v>0</v>
      </c>
      <c r="G118" s="10">
        <f t="shared" si="30"/>
        <v>0</v>
      </c>
      <c r="H118" s="35">
        <v>44558.9</v>
      </c>
      <c r="I118" s="19">
        <f t="shared" si="32"/>
        <v>0</v>
      </c>
      <c r="J118" s="33">
        <v>0</v>
      </c>
      <c r="K118" s="28">
        <f t="shared" si="27"/>
        <v>0</v>
      </c>
      <c r="L118" s="18">
        <f t="shared" si="28"/>
        <v>0</v>
      </c>
      <c r="M118" s="22">
        <f t="shared" si="28"/>
        <v>0</v>
      </c>
      <c r="N118" s="71">
        <f t="shared" si="31"/>
        <v>0</v>
      </c>
      <c r="O118" s="77"/>
    </row>
    <row r="119" spans="1:17" ht="22.2" customHeight="1">
      <c r="A119" s="76">
        <v>6</v>
      </c>
      <c r="B119" s="31" t="s">
        <v>117</v>
      </c>
      <c r="C119" s="35">
        <v>100316.9</v>
      </c>
      <c r="D119" s="35">
        <v>100316.9</v>
      </c>
      <c r="E119" s="17">
        <f t="shared" si="29"/>
        <v>0</v>
      </c>
      <c r="F119" s="33">
        <v>0</v>
      </c>
      <c r="G119" s="10">
        <f t="shared" si="30"/>
        <v>0</v>
      </c>
      <c r="H119" s="35">
        <v>100316.9</v>
      </c>
      <c r="I119" s="19">
        <f t="shared" si="32"/>
        <v>0</v>
      </c>
      <c r="J119" s="33">
        <v>0</v>
      </c>
      <c r="K119" s="28">
        <f t="shared" si="27"/>
        <v>0</v>
      </c>
      <c r="L119" s="18">
        <f t="shared" si="28"/>
        <v>0</v>
      </c>
      <c r="M119" s="22">
        <f t="shared" si="28"/>
        <v>0</v>
      </c>
      <c r="N119" s="71">
        <f t="shared" si="31"/>
        <v>0</v>
      </c>
      <c r="O119" s="37"/>
    </row>
    <row r="120" spans="1:17" ht="22.2" customHeight="1">
      <c r="A120" s="76">
        <v>7</v>
      </c>
      <c r="B120" s="31" t="s">
        <v>118</v>
      </c>
      <c r="C120" s="35">
        <v>152067.5</v>
      </c>
      <c r="D120" s="35">
        <v>152067.5</v>
      </c>
      <c r="E120" s="17">
        <f t="shared" si="29"/>
        <v>0</v>
      </c>
      <c r="F120" s="33">
        <v>0</v>
      </c>
      <c r="G120" s="10">
        <f t="shared" si="30"/>
        <v>0</v>
      </c>
      <c r="H120" s="35">
        <v>152067.5</v>
      </c>
      <c r="I120" s="19">
        <f t="shared" si="32"/>
        <v>0</v>
      </c>
      <c r="J120" s="33">
        <v>0</v>
      </c>
      <c r="K120" s="28">
        <f t="shared" si="27"/>
        <v>0</v>
      </c>
      <c r="L120" s="18">
        <f t="shared" si="28"/>
        <v>0</v>
      </c>
      <c r="M120" s="22">
        <f>F120+J120</f>
        <v>0</v>
      </c>
      <c r="N120" s="71">
        <f t="shared" si="31"/>
        <v>0</v>
      </c>
      <c r="O120" s="37"/>
    </row>
    <row r="121" spans="1:17" ht="22.2" customHeight="1">
      <c r="A121" s="76">
        <v>8</v>
      </c>
      <c r="B121" s="138" t="s">
        <v>119</v>
      </c>
      <c r="C121" s="136">
        <v>40493.800000000003</v>
      </c>
      <c r="D121" s="136">
        <v>40493.800000000003</v>
      </c>
      <c r="E121" s="17">
        <f t="shared" si="29"/>
        <v>0</v>
      </c>
      <c r="F121" s="33">
        <v>0</v>
      </c>
      <c r="G121" s="10">
        <f t="shared" si="30"/>
        <v>0</v>
      </c>
      <c r="H121" s="136">
        <v>40493.800000000003</v>
      </c>
      <c r="I121" s="19">
        <f t="shared" si="32"/>
        <v>0</v>
      </c>
      <c r="J121" s="33">
        <v>0</v>
      </c>
      <c r="K121" s="28">
        <f t="shared" si="27"/>
        <v>0</v>
      </c>
      <c r="L121" s="18">
        <f t="shared" si="28"/>
        <v>0</v>
      </c>
      <c r="M121" s="22">
        <f>F121+J121</f>
        <v>0</v>
      </c>
      <c r="N121" s="71">
        <f t="shared" si="31"/>
        <v>0</v>
      </c>
      <c r="O121" s="37"/>
    </row>
    <row r="122" spans="1:17" ht="22.2" customHeight="1">
      <c r="A122" s="76">
        <v>9</v>
      </c>
      <c r="B122" s="138" t="s">
        <v>120</v>
      </c>
      <c r="C122" s="35">
        <v>33757</v>
      </c>
      <c r="D122" s="35">
        <v>33757</v>
      </c>
      <c r="E122" s="17">
        <f t="shared" si="29"/>
        <v>0</v>
      </c>
      <c r="F122" s="33">
        <v>0</v>
      </c>
      <c r="G122" s="10">
        <f t="shared" si="30"/>
        <v>0</v>
      </c>
      <c r="H122" s="35">
        <v>33757</v>
      </c>
      <c r="I122" s="19">
        <f t="shared" si="32"/>
        <v>0</v>
      </c>
      <c r="J122" s="33">
        <v>0</v>
      </c>
      <c r="K122" s="28">
        <f t="shared" si="27"/>
        <v>0</v>
      </c>
      <c r="L122" s="18">
        <f t="shared" si="28"/>
        <v>0</v>
      </c>
      <c r="M122" s="22">
        <f t="shared" si="28"/>
        <v>0</v>
      </c>
      <c r="N122" s="71">
        <f t="shared" si="31"/>
        <v>0</v>
      </c>
      <c r="O122" s="37"/>
    </row>
    <row r="123" spans="1:17" ht="22.2" customHeight="1">
      <c r="A123" s="76">
        <v>10</v>
      </c>
      <c r="B123" s="31" t="s">
        <v>121</v>
      </c>
      <c r="C123" s="35">
        <v>154569</v>
      </c>
      <c r="D123" s="35">
        <v>154569</v>
      </c>
      <c r="E123" s="17">
        <f t="shared" si="29"/>
        <v>0</v>
      </c>
      <c r="F123" s="33">
        <v>0</v>
      </c>
      <c r="G123" s="10">
        <f t="shared" si="30"/>
        <v>0</v>
      </c>
      <c r="H123" s="35">
        <v>154569</v>
      </c>
      <c r="I123" s="19">
        <f t="shared" si="32"/>
        <v>0</v>
      </c>
      <c r="J123" s="33">
        <v>0</v>
      </c>
      <c r="K123" s="28">
        <f t="shared" si="27"/>
        <v>0</v>
      </c>
      <c r="L123" s="18">
        <f t="shared" si="28"/>
        <v>0</v>
      </c>
      <c r="M123" s="22">
        <f t="shared" si="28"/>
        <v>0</v>
      </c>
      <c r="N123" s="71">
        <f t="shared" si="31"/>
        <v>0</v>
      </c>
      <c r="O123" s="137"/>
    </row>
    <row r="124" spans="1:17" ht="23.4" customHeight="1">
      <c r="A124" s="76">
        <v>11</v>
      </c>
      <c r="B124" s="138" t="s">
        <v>122</v>
      </c>
      <c r="C124" s="35">
        <v>36223</v>
      </c>
      <c r="D124" s="35">
        <v>36223</v>
      </c>
      <c r="E124" s="17">
        <f t="shared" si="29"/>
        <v>0</v>
      </c>
      <c r="F124" s="33">
        <v>0</v>
      </c>
      <c r="G124" s="10">
        <f t="shared" si="30"/>
        <v>0</v>
      </c>
      <c r="H124" s="35">
        <v>36223</v>
      </c>
      <c r="I124" s="19">
        <f t="shared" si="32"/>
        <v>0</v>
      </c>
      <c r="J124" s="33">
        <v>0</v>
      </c>
      <c r="K124" s="28">
        <f t="shared" si="27"/>
        <v>0</v>
      </c>
      <c r="L124" s="18">
        <f t="shared" si="28"/>
        <v>0</v>
      </c>
      <c r="M124" s="22">
        <f t="shared" si="28"/>
        <v>0</v>
      </c>
      <c r="N124" s="71">
        <f t="shared" si="31"/>
        <v>0</v>
      </c>
      <c r="O124" s="37"/>
      <c r="Q124" s="38"/>
    </row>
    <row r="125" spans="1:17" ht="22.2" customHeight="1">
      <c r="A125" s="76">
        <v>12</v>
      </c>
      <c r="B125" s="138" t="s">
        <v>123</v>
      </c>
      <c r="C125" s="35">
        <v>15392</v>
      </c>
      <c r="D125" s="35">
        <v>15392</v>
      </c>
      <c r="E125" s="17">
        <f t="shared" si="29"/>
        <v>0</v>
      </c>
      <c r="F125" s="33">
        <v>0</v>
      </c>
      <c r="G125" s="78">
        <f t="shared" si="30"/>
        <v>0</v>
      </c>
      <c r="H125" s="35">
        <v>15392</v>
      </c>
      <c r="I125" s="19">
        <f t="shared" si="32"/>
        <v>0</v>
      </c>
      <c r="J125" s="33">
        <v>0</v>
      </c>
      <c r="K125" s="28">
        <f t="shared" si="27"/>
        <v>0</v>
      </c>
      <c r="L125" s="18">
        <f t="shared" si="28"/>
        <v>0</v>
      </c>
      <c r="M125" s="79">
        <f t="shared" si="28"/>
        <v>0</v>
      </c>
      <c r="N125" s="71">
        <f t="shared" si="31"/>
        <v>0</v>
      </c>
      <c r="O125" s="37"/>
      <c r="Q125" s="45"/>
    </row>
    <row r="126" spans="1:17" ht="21.6" customHeight="1">
      <c r="A126" s="76">
        <v>13</v>
      </c>
      <c r="B126" s="171" t="s">
        <v>124</v>
      </c>
      <c r="C126" s="35">
        <v>890.2</v>
      </c>
      <c r="D126" s="35">
        <v>890.2</v>
      </c>
      <c r="E126" s="17">
        <f t="shared" si="29"/>
        <v>0</v>
      </c>
      <c r="F126" s="35">
        <v>0</v>
      </c>
      <c r="G126" s="78">
        <f t="shared" si="30"/>
        <v>0</v>
      </c>
      <c r="H126" s="35">
        <v>890.2</v>
      </c>
      <c r="I126" s="19">
        <f t="shared" si="32"/>
        <v>0</v>
      </c>
      <c r="J126" s="35">
        <v>0</v>
      </c>
      <c r="K126" s="28">
        <f t="shared" si="27"/>
        <v>0</v>
      </c>
      <c r="L126" s="18">
        <f t="shared" si="28"/>
        <v>0</v>
      </c>
      <c r="M126" s="79">
        <f t="shared" si="28"/>
        <v>0</v>
      </c>
      <c r="N126" s="71">
        <f t="shared" si="31"/>
        <v>0</v>
      </c>
      <c r="O126" s="37"/>
      <c r="Q126" s="45"/>
    </row>
    <row r="127" spans="1:17" ht="21.6" customHeight="1">
      <c r="A127" s="76">
        <v>14</v>
      </c>
      <c r="B127" s="171" t="s">
        <v>174</v>
      </c>
      <c r="C127" s="35">
        <v>1676</v>
      </c>
      <c r="D127" s="35">
        <v>1676</v>
      </c>
      <c r="E127" s="17">
        <f t="shared" si="29"/>
        <v>0</v>
      </c>
      <c r="F127" s="35">
        <v>0</v>
      </c>
      <c r="G127" s="78">
        <f t="shared" si="30"/>
        <v>0</v>
      </c>
      <c r="H127" s="35">
        <v>2000</v>
      </c>
      <c r="I127" s="19">
        <f t="shared" si="32"/>
        <v>324</v>
      </c>
      <c r="J127" s="141">
        <v>49</v>
      </c>
      <c r="K127" s="28">
        <f t="shared" si="27"/>
        <v>0.15123456790123457</v>
      </c>
      <c r="L127" s="18">
        <f t="shared" si="28"/>
        <v>324</v>
      </c>
      <c r="M127" s="79">
        <f t="shared" si="28"/>
        <v>49</v>
      </c>
      <c r="N127" s="71">
        <f t="shared" si="31"/>
        <v>6.6122448979591839</v>
      </c>
      <c r="O127" s="37"/>
      <c r="Q127" s="45"/>
    </row>
    <row r="128" spans="1:17" ht="25.2" customHeight="1">
      <c r="A128" s="76">
        <v>15</v>
      </c>
      <c r="B128" s="138" t="s">
        <v>127</v>
      </c>
      <c r="C128" s="35">
        <v>0</v>
      </c>
      <c r="D128" s="35">
        <v>0</v>
      </c>
      <c r="E128" s="17">
        <f t="shared" si="29"/>
        <v>0</v>
      </c>
      <c r="F128" s="33">
        <v>0</v>
      </c>
      <c r="G128" s="78">
        <f t="shared" si="30"/>
        <v>0</v>
      </c>
      <c r="H128" s="35">
        <v>0</v>
      </c>
      <c r="I128" s="19">
        <f t="shared" si="32"/>
        <v>0</v>
      </c>
      <c r="J128" s="33">
        <v>0</v>
      </c>
      <c r="K128" s="28">
        <f t="shared" si="27"/>
        <v>0</v>
      </c>
      <c r="L128" s="18">
        <f t="shared" si="28"/>
        <v>0</v>
      </c>
      <c r="M128" s="79">
        <f t="shared" si="28"/>
        <v>0</v>
      </c>
      <c r="N128" s="71">
        <f t="shared" si="31"/>
        <v>0</v>
      </c>
      <c r="O128" s="77"/>
      <c r="Q128" s="45"/>
    </row>
    <row r="129" spans="1:16" ht="18">
      <c r="A129" s="196" t="s">
        <v>28</v>
      </c>
      <c r="B129" s="197"/>
      <c r="C129" s="123"/>
      <c r="D129" s="123"/>
      <c r="E129" s="40">
        <f>SUM(E114:E128)</f>
        <v>320</v>
      </c>
      <c r="F129" s="40">
        <f>SUM(F114:F128)</f>
        <v>46</v>
      </c>
      <c r="G129" s="39"/>
      <c r="H129" s="39"/>
      <c r="I129" s="40">
        <f>SUM(I114:I128)</f>
        <v>324</v>
      </c>
      <c r="J129" s="40">
        <f>SUM(J114:J128)</f>
        <v>49</v>
      </c>
      <c r="K129" s="145"/>
      <c r="L129" s="146">
        <f>SUM(L114:L128)</f>
        <v>644</v>
      </c>
      <c r="M129" s="147">
        <f>SUM(M114:M128)</f>
        <v>95</v>
      </c>
      <c r="N129" s="34"/>
      <c r="O129" s="37"/>
      <c r="P129" s="72"/>
    </row>
    <row r="130" spans="1:16" ht="21.6" thickBot="1">
      <c r="A130" s="148"/>
      <c r="B130" s="149"/>
      <c r="C130" s="149"/>
      <c r="D130" s="149"/>
      <c r="E130" s="149" t="s">
        <v>139</v>
      </c>
      <c r="F130" s="150">
        <f>F18+F24+F33+F39+F45+G110+F129</f>
        <v>13359.249999999998</v>
      </c>
      <c r="G130" s="149"/>
      <c r="H130" s="149"/>
      <c r="I130" s="151" t="s">
        <v>140</v>
      </c>
      <c r="J130" s="150">
        <f>J18+J24+J33+J39+J45+M110+J129</f>
        <v>9161.1500000000015</v>
      </c>
      <c r="K130" s="198" t="s">
        <v>141</v>
      </c>
      <c r="L130" s="198"/>
      <c r="M130" s="198"/>
      <c r="N130" s="198"/>
      <c r="O130" s="152"/>
    </row>
    <row r="131" spans="1:16" ht="15">
      <c r="B131" s="153"/>
      <c r="C131" s="152"/>
      <c r="D131" s="152"/>
      <c r="E131" s="152"/>
      <c r="F131" s="152"/>
      <c r="G131" s="152"/>
      <c r="H131" s="152"/>
      <c r="I131" s="152"/>
      <c r="J131" s="154"/>
      <c r="K131" s="155" t="s">
        <v>142</v>
      </c>
      <c r="L131" s="199">
        <f>N2</f>
        <v>46209</v>
      </c>
      <c r="M131" s="200"/>
      <c r="N131" s="156"/>
      <c r="O131" s="157">
        <f>M129-N137</f>
        <v>95</v>
      </c>
    </row>
    <row r="132" spans="1:16" ht="18">
      <c r="B132" s="158" t="s">
        <v>143</v>
      </c>
      <c r="C132" s="159">
        <f>F130</f>
        <v>13359.249999999998</v>
      </c>
      <c r="D132" s="160"/>
      <c r="E132" s="160"/>
      <c r="F132" s="159"/>
      <c r="G132" s="160"/>
      <c r="H132" s="160"/>
      <c r="I132" s="160"/>
      <c r="J132" s="45"/>
      <c r="K132" s="188" t="s">
        <v>144</v>
      </c>
      <c r="L132" s="189"/>
      <c r="M132" s="190"/>
      <c r="N132" s="161">
        <f>P110</f>
        <v>13850.849999999999</v>
      </c>
      <c r="O132" s="152"/>
    </row>
    <row r="133" spans="1:16" ht="18">
      <c r="B133" s="158" t="s">
        <v>145</v>
      </c>
      <c r="C133" s="159">
        <f>J130</f>
        <v>9161.1500000000015</v>
      </c>
      <c r="D133" s="160"/>
      <c r="E133" s="160"/>
      <c r="F133" s="159"/>
      <c r="G133" s="159"/>
      <c r="H133" s="160"/>
      <c r="I133" s="160"/>
      <c r="J133" s="45"/>
      <c r="K133" s="188" t="s">
        <v>146</v>
      </c>
      <c r="L133" s="189"/>
      <c r="M133" s="190"/>
      <c r="N133" s="161">
        <f>M18</f>
        <v>4789.3900000000003</v>
      </c>
      <c r="O133" s="152"/>
    </row>
    <row r="134" spans="1:16" ht="18">
      <c r="B134" s="158" t="s">
        <v>28</v>
      </c>
      <c r="C134" s="159">
        <f>C132+C133</f>
        <v>22520.400000000001</v>
      </c>
      <c r="D134" s="160"/>
      <c r="E134" s="160"/>
      <c r="F134" s="160"/>
      <c r="G134" s="159"/>
      <c r="H134" s="160"/>
      <c r="I134" s="160"/>
      <c r="K134" s="188" t="s">
        <v>147</v>
      </c>
      <c r="L134" s="189"/>
      <c r="M134" s="190"/>
      <c r="N134" s="161">
        <f>M33</f>
        <v>1809.54</v>
      </c>
    </row>
    <row r="135" spans="1:16" ht="18">
      <c r="C135" s="45"/>
      <c r="D135" s="45"/>
      <c r="E135" s="45"/>
      <c r="F135" s="45"/>
      <c r="G135" s="45"/>
      <c r="H135" s="160" t="s">
        <v>94</v>
      </c>
      <c r="I135" s="45"/>
      <c r="K135" s="188" t="s">
        <v>148</v>
      </c>
      <c r="L135" s="189"/>
      <c r="M135" s="190"/>
      <c r="N135" s="161">
        <f>M39</f>
        <v>594.28</v>
      </c>
    </row>
    <row r="136" spans="1:16" ht="25.2" customHeight="1">
      <c r="B136" s="162" t="s">
        <v>149</v>
      </c>
      <c r="C136" s="193"/>
      <c r="D136" s="193"/>
      <c r="E136" s="193"/>
      <c r="F136" s="193"/>
      <c r="G136" s="193"/>
      <c r="H136" s="193"/>
      <c r="I136" s="193"/>
      <c r="J136" s="193"/>
      <c r="K136" s="188" t="s">
        <v>150</v>
      </c>
      <c r="L136" s="189"/>
      <c r="M136" s="190"/>
      <c r="N136" s="161">
        <f>M45</f>
        <v>834.84</v>
      </c>
    </row>
    <row r="137" spans="1:16" ht="18">
      <c r="C137" s="45"/>
      <c r="D137" s="45"/>
      <c r="E137" s="26"/>
      <c r="F137" s="26"/>
      <c r="G137" s="45"/>
      <c r="H137" s="160"/>
      <c r="I137" s="45"/>
      <c r="K137" s="188" t="s">
        <v>151</v>
      </c>
      <c r="L137" s="189"/>
      <c r="M137" s="190"/>
      <c r="N137" s="161">
        <f>M118+M119+M120+M121</f>
        <v>0</v>
      </c>
    </row>
    <row r="138" spans="1:16" ht="18">
      <c r="E138" s="38"/>
      <c r="F138" s="45"/>
      <c r="G138" s="45"/>
      <c r="H138" s="160"/>
      <c r="I138" s="45"/>
      <c r="K138" s="188" t="s">
        <v>152</v>
      </c>
      <c r="L138" s="189"/>
      <c r="M138" s="190"/>
      <c r="N138" s="161">
        <f>O131</f>
        <v>95</v>
      </c>
    </row>
    <row r="139" spans="1:16" ht="18.600000000000001" thickBot="1">
      <c r="C139" s="38"/>
      <c r="D139" s="38"/>
      <c r="G139" s="163"/>
      <c r="H139" s="160"/>
      <c r="K139" s="188" t="s">
        <v>153</v>
      </c>
      <c r="L139" s="189"/>
      <c r="M139" s="190"/>
      <c r="N139" s="164">
        <f>M24</f>
        <v>546.5</v>
      </c>
      <c r="P139" s="38"/>
    </row>
    <row r="140" spans="1:16" ht="16.8" thickBot="1">
      <c r="C140" s="38"/>
      <c r="D140" s="38"/>
      <c r="E140" s="38"/>
      <c r="F140" s="38"/>
      <c r="H140" s="38"/>
      <c r="K140" s="191" t="s">
        <v>154</v>
      </c>
      <c r="L140" s="192"/>
      <c r="M140" s="192"/>
      <c r="N140" s="165">
        <f>SUM(N132:N139)</f>
        <v>22520.399999999998</v>
      </c>
    </row>
    <row r="141" spans="1:16">
      <c r="C141" s="38"/>
      <c r="D141" s="38"/>
      <c r="E141" s="159"/>
      <c r="F141" s="159"/>
      <c r="H141" s="38"/>
      <c r="I141" s="38"/>
    </row>
    <row r="142" spans="1:16">
      <c r="C142" s="38"/>
      <c r="D142" s="38"/>
      <c r="E142" s="38"/>
      <c r="F142" s="38"/>
      <c r="H142" s="160"/>
    </row>
    <row r="143" spans="1:16">
      <c r="A143" s="159"/>
      <c r="B143" s="159"/>
      <c r="C143" s="159"/>
      <c r="D143" s="159"/>
      <c r="E143" s="159"/>
      <c r="F143" s="159"/>
      <c r="G143" s="38"/>
      <c r="H143" s="38"/>
      <c r="N143" s="45"/>
    </row>
    <row r="144" spans="1:16">
      <c r="A144" s="159"/>
    </row>
  </sheetData>
  <mergeCells count="72">
    <mergeCell ref="A1:N1"/>
    <mergeCell ref="A2:L2"/>
    <mergeCell ref="A3:A4"/>
    <mergeCell ref="B3:B4"/>
    <mergeCell ref="C3:G3"/>
    <mergeCell ref="H3:L3"/>
    <mergeCell ref="M3:M4"/>
    <mergeCell ref="N3:N4"/>
    <mergeCell ref="O3:O4"/>
    <mergeCell ref="P3:P4"/>
    <mergeCell ref="A18:B18"/>
    <mergeCell ref="A19:L19"/>
    <mergeCell ref="A20:A21"/>
    <mergeCell ref="B20:B21"/>
    <mergeCell ref="C20:G20"/>
    <mergeCell ref="H20:K20"/>
    <mergeCell ref="M20:M21"/>
    <mergeCell ref="N20:N21"/>
    <mergeCell ref="A24:B24"/>
    <mergeCell ref="A25:L25"/>
    <mergeCell ref="A26:A27"/>
    <mergeCell ref="B26:B27"/>
    <mergeCell ref="C26:G26"/>
    <mergeCell ref="H26:K26"/>
    <mergeCell ref="M26:M27"/>
    <mergeCell ref="N26:N27"/>
    <mergeCell ref="A33:B33"/>
    <mergeCell ref="A34:L34"/>
    <mergeCell ref="A35:A36"/>
    <mergeCell ref="B35:B36"/>
    <mergeCell ref="C35:G35"/>
    <mergeCell ref="H35:K35"/>
    <mergeCell ref="M35:M36"/>
    <mergeCell ref="N35:N36"/>
    <mergeCell ref="A39:B39"/>
    <mergeCell ref="A40:L40"/>
    <mergeCell ref="A41:A42"/>
    <mergeCell ref="B41:B42"/>
    <mergeCell ref="C41:G41"/>
    <mergeCell ref="H41:K41"/>
    <mergeCell ref="M41:M42"/>
    <mergeCell ref="N41:N42"/>
    <mergeCell ref="A45:B45"/>
    <mergeCell ref="A46:L46"/>
    <mergeCell ref="A47:A48"/>
    <mergeCell ref="B47:B48"/>
    <mergeCell ref="C47:H47"/>
    <mergeCell ref="I47:N47"/>
    <mergeCell ref="K133:M133"/>
    <mergeCell ref="O47:O48"/>
    <mergeCell ref="P47:P48"/>
    <mergeCell ref="Q47:Q48"/>
    <mergeCell ref="R47:R48"/>
    <mergeCell ref="A111:L111"/>
    <mergeCell ref="A112:A113"/>
    <mergeCell ref="B112:B113"/>
    <mergeCell ref="C112:G112"/>
    <mergeCell ref="H112:K112"/>
    <mergeCell ref="M112:M113"/>
    <mergeCell ref="N112:N113"/>
    <mergeCell ref="A129:B129"/>
    <mergeCell ref="K130:N130"/>
    <mergeCell ref="L131:M131"/>
    <mergeCell ref="K132:M132"/>
    <mergeCell ref="K139:M139"/>
    <mergeCell ref="K140:M140"/>
    <mergeCell ref="K134:M134"/>
    <mergeCell ref="K135:M135"/>
    <mergeCell ref="C136:J136"/>
    <mergeCell ref="K136:M136"/>
    <mergeCell ref="K137:M137"/>
    <mergeCell ref="K138:M138"/>
  </mergeCells>
  <conditionalFormatting sqref="N7:N19 N22:N23 N28:N32 N37:N38 N43:N44">
    <cfRule type="cellIs" dxfId="41" priority="2" operator="greaterThan">
      <formula>40</formula>
    </cfRule>
  </conditionalFormatting>
  <conditionalFormatting sqref="Q49:Q110">
    <cfRule type="cellIs" dxfId="40" priority="1" operator="lessThan">
      <formula>0.5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663C1-376A-4BA6-9FA5-1A1414165BDE}">
  <dimension ref="A1:AA144"/>
  <sheetViews>
    <sheetView zoomScale="74" zoomScaleNormal="74" workbookViewId="0">
      <pane ySplit="1" topLeftCell="A50" activePane="bottomLeft" state="frozen"/>
      <selection pane="bottomLeft" activeCell="S12" sqref="S12"/>
    </sheetView>
  </sheetViews>
  <sheetFormatPr defaultColWidth="9" defaultRowHeight="14.4"/>
  <cols>
    <col min="1" max="1" width="8.5546875" customWidth="1"/>
    <col min="2" max="2" width="29.44140625" bestFit="1" customWidth="1"/>
    <col min="3" max="3" width="11.6640625" customWidth="1"/>
    <col min="4" max="4" width="11.21875" customWidth="1"/>
    <col min="5" max="5" width="9.77734375" customWidth="1"/>
    <col min="6" max="6" width="13.6640625" customWidth="1"/>
    <col min="7" max="7" width="10" customWidth="1"/>
    <col min="8" max="8" width="9.77734375" customWidth="1"/>
    <col min="9" max="9" width="12.77734375" bestFit="1" customWidth="1"/>
    <col min="10" max="10" width="10.6640625" bestFit="1" customWidth="1"/>
    <col min="11" max="11" width="15.77734375" customWidth="1"/>
    <col min="12" max="12" width="10.77734375" customWidth="1"/>
    <col min="13" max="13" width="12.5546875" customWidth="1"/>
    <col min="14" max="14" width="17.88671875" customWidth="1"/>
    <col min="15" max="15" width="12" customWidth="1"/>
    <col min="16" max="16" width="10.44140625" customWidth="1"/>
    <col min="17" max="17" width="11.109375" bestFit="1" customWidth="1"/>
    <col min="19" max="19" width="9.21875" bestFit="1" customWidth="1"/>
    <col min="20" max="20" width="8.21875" bestFit="1" customWidth="1"/>
    <col min="21" max="22" width="11.21875" customWidth="1"/>
  </cols>
  <sheetData>
    <row r="1" spans="1:22" ht="18.600000000000001" thickBot="1">
      <c r="A1" s="249" t="s">
        <v>0</v>
      </c>
      <c r="B1" s="249"/>
      <c r="C1" s="249"/>
      <c r="D1" s="249"/>
      <c r="E1" s="249"/>
      <c r="F1" s="249"/>
      <c r="G1" s="249"/>
      <c r="H1" s="249"/>
      <c r="I1" s="249"/>
      <c r="J1" s="249"/>
      <c r="K1" s="249"/>
      <c r="L1" s="249"/>
      <c r="M1" s="249"/>
      <c r="N1" s="249"/>
      <c r="O1" s="1"/>
      <c r="V1" s="2"/>
    </row>
    <row r="2" spans="1:22" ht="19.8" customHeight="1" thickBot="1">
      <c r="A2" s="250" t="s">
        <v>1</v>
      </c>
      <c r="B2" s="251"/>
      <c r="C2" s="252"/>
      <c r="D2" s="252"/>
      <c r="E2" s="252"/>
      <c r="F2" s="252"/>
      <c r="G2" s="252"/>
      <c r="H2" s="252"/>
      <c r="I2" s="252"/>
      <c r="J2" s="252"/>
      <c r="K2" s="252"/>
      <c r="L2" s="251"/>
      <c r="M2" s="3" t="s">
        <v>2</v>
      </c>
      <c r="N2" s="4">
        <v>46210</v>
      </c>
      <c r="O2" s="1"/>
    </row>
    <row r="3" spans="1:22" ht="18" customHeight="1">
      <c r="A3" s="209" t="s">
        <v>3</v>
      </c>
      <c r="B3" s="211" t="s">
        <v>4</v>
      </c>
      <c r="C3" s="213" t="s">
        <v>5</v>
      </c>
      <c r="D3" s="214"/>
      <c r="E3" s="214"/>
      <c r="F3" s="214"/>
      <c r="G3" s="215"/>
      <c r="H3" s="253" t="s">
        <v>6</v>
      </c>
      <c r="I3" s="254"/>
      <c r="J3" s="254"/>
      <c r="K3" s="254"/>
      <c r="L3" s="255"/>
      <c r="M3" s="219" t="s">
        <v>7</v>
      </c>
      <c r="N3" s="194" t="s">
        <v>8</v>
      </c>
      <c r="O3" s="243" t="s">
        <v>9</v>
      </c>
      <c r="P3" s="222" t="s">
        <v>10</v>
      </c>
    </row>
    <row r="4" spans="1:22" ht="22.8" customHeight="1">
      <c r="A4" s="247"/>
      <c r="B4" s="248"/>
      <c r="C4" s="6" t="s">
        <v>11</v>
      </c>
      <c r="D4" s="6" t="s">
        <v>12</v>
      </c>
      <c r="E4" s="6" t="s">
        <v>13</v>
      </c>
      <c r="F4" s="6" t="s">
        <v>14</v>
      </c>
      <c r="G4" s="6" t="s">
        <v>8</v>
      </c>
      <c r="H4" s="6" t="s">
        <v>12</v>
      </c>
      <c r="I4" s="6" t="s">
        <v>13</v>
      </c>
      <c r="J4" s="6" t="s">
        <v>14</v>
      </c>
      <c r="K4" s="7" t="s">
        <v>8</v>
      </c>
      <c r="L4" s="8" t="s">
        <v>15</v>
      </c>
      <c r="M4" s="236"/>
      <c r="N4" s="237"/>
      <c r="O4" s="248"/>
      <c r="P4" s="243"/>
    </row>
    <row r="5" spans="1:22" ht="22.8" customHeight="1">
      <c r="A5" s="5">
        <v>1</v>
      </c>
      <c r="B5" s="9" t="s">
        <v>175</v>
      </c>
      <c r="C5" s="2">
        <v>31960.799999999999</v>
      </c>
      <c r="D5" s="2">
        <v>31960.799999999999</v>
      </c>
      <c r="E5" s="2">
        <f>D5-C5</f>
        <v>0</v>
      </c>
      <c r="F5" s="2">
        <v>0</v>
      </c>
      <c r="G5" s="10">
        <f>IFERROR(F5/E5,0)</f>
        <v>0</v>
      </c>
      <c r="H5" s="2">
        <v>31966.6</v>
      </c>
      <c r="I5" s="167">
        <f>H5-D5</f>
        <v>5.7999999999992724</v>
      </c>
      <c r="J5" s="2">
        <v>156.18</v>
      </c>
      <c r="K5" s="11">
        <f>IFERROR(J5/I5,0)</f>
        <v>26.927586206899932</v>
      </c>
      <c r="L5" s="12">
        <f>E5+I5</f>
        <v>5.7999999999992724</v>
      </c>
      <c r="M5" s="13">
        <f>F5+J5</f>
        <v>156.18</v>
      </c>
      <c r="N5" s="14">
        <f>IFERROR(M5/L5,0)</f>
        <v>26.927586206899932</v>
      </c>
      <c r="O5" s="2">
        <v>0</v>
      </c>
      <c r="P5" s="5"/>
    </row>
    <row r="6" spans="1:22" ht="22.8" customHeight="1">
      <c r="A6" s="81">
        <v>2</v>
      </c>
      <c r="B6" s="16" t="s">
        <v>170</v>
      </c>
      <c r="C6" s="49">
        <v>33726.699999999997</v>
      </c>
      <c r="D6" s="49">
        <v>33739</v>
      </c>
      <c r="E6" s="2">
        <f>D6-C6</f>
        <v>12.30000000000291</v>
      </c>
      <c r="F6" s="49">
        <v>333.27</v>
      </c>
      <c r="G6" s="10">
        <f>IFERROR(F6/E6,0)</f>
        <v>27.095121951213098</v>
      </c>
      <c r="H6" s="49">
        <v>33747.199999999997</v>
      </c>
      <c r="I6" s="167">
        <f>H6-D6</f>
        <v>8.1999999999970896</v>
      </c>
      <c r="J6" s="49">
        <v>212.33</v>
      </c>
      <c r="K6" s="11">
        <f>IFERROR(J6/I6,0)</f>
        <v>25.893902439033582</v>
      </c>
      <c r="L6" s="169">
        <v>0</v>
      </c>
      <c r="M6" s="13">
        <f>F6+J6</f>
        <v>545.6</v>
      </c>
      <c r="N6" s="14">
        <f>IFERROR(M6/L6,0)</f>
        <v>0</v>
      </c>
      <c r="O6" s="49">
        <v>213</v>
      </c>
      <c r="P6" s="81"/>
    </row>
    <row r="7" spans="1:22" ht="24" customHeight="1">
      <c r="A7" s="5">
        <v>3</v>
      </c>
      <c r="B7" s="16" t="s">
        <v>17</v>
      </c>
      <c r="C7" s="17">
        <v>32493.3</v>
      </c>
      <c r="D7" s="17">
        <v>32493.3</v>
      </c>
      <c r="E7" s="17">
        <f t="shared" ref="E7:E17" si="0">D7-C7</f>
        <v>0</v>
      </c>
      <c r="F7" s="18">
        <v>0</v>
      </c>
      <c r="G7" s="10">
        <f>IFERROR(F7/E7,0)</f>
        <v>0</v>
      </c>
      <c r="H7" s="17">
        <v>32493.3</v>
      </c>
      <c r="I7" s="19">
        <f t="shared" ref="I7:I14" si="1">H7-D7</f>
        <v>0</v>
      </c>
      <c r="J7" s="20">
        <v>0</v>
      </c>
      <c r="K7" s="21">
        <f>IFERROR(J7/I7,0)</f>
        <v>0</v>
      </c>
      <c r="L7" s="18">
        <f>E7+I7</f>
        <v>0</v>
      </c>
      <c r="M7" s="22">
        <f>F7+J7</f>
        <v>0</v>
      </c>
      <c r="N7" s="23">
        <f>IFERROR(M7/L7,0)</f>
        <v>0</v>
      </c>
      <c r="O7" s="24">
        <v>0</v>
      </c>
      <c r="P7" s="25"/>
      <c r="Q7" s="26"/>
    </row>
    <row r="8" spans="1:22" ht="25.8" customHeight="1">
      <c r="A8" s="81">
        <v>4</v>
      </c>
      <c r="B8" s="16" t="s">
        <v>18</v>
      </c>
      <c r="C8" s="17">
        <v>24545.4</v>
      </c>
      <c r="D8" s="17">
        <v>24558.400000000001</v>
      </c>
      <c r="E8" s="17">
        <f t="shared" si="0"/>
        <v>13</v>
      </c>
      <c r="F8" s="18">
        <v>378</v>
      </c>
      <c r="G8" s="10">
        <f t="shared" ref="G8:G13" si="2">IFERROR(F8/E8,0)</f>
        <v>29.076923076923077</v>
      </c>
      <c r="H8" s="17">
        <v>24564.799999999999</v>
      </c>
      <c r="I8" s="19">
        <f t="shared" si="1"/>
        <v>6.3999999999978172</v>
      </c>
      <c r="J8" s="20">
        <v>188.74</v>
      </c>
      <c r="K8" s="28">
        <f t="shared" ref="K8:K14" si="3">IFERROR(J8/I8,0)</f>
        <v>29.490625000010059</v>
      </c>
      <c r="L8" s="18">
        <f t="shared" ref="L8:M16" si="4">E8+I8</f>
        <v>19.399999999997817</v>
      </c>
      <c r="M8" s="22">
        <f t="shared" si="4"/>
        <v>566.74</v>
      </c>
      <c r="N8" s="23">
        <f t="shared" ref="N8:N17" si="5">IFERROR(M8/L8,0)</f>
        <v>29.213402061858957</v>
      </c>
      <c r="O8" s="29">
        <v>157</v>
      </c>
      <c r="P8" s="30"/>
      <c r="Q8" s="26"/>
      <c r="S8" s="26"/>
    </row>
    <row r="9" spans="1:22" ht="25.8" customHeight="1">
      <c r="A9" s="5">
        <v>5</v>
      </c>
      <c r="B9" s="31" t="s">
        <v>19</v>
      </c>
      <c r="C9" s="17">
        <v>32479.7</v>
      </c>
      <c r="D9" s="17">
        <v>32488.400000000001</v>
      </c>
      <c r="E9" s="17">
        <f t="shared" si="0"/>
        <v>8.7000000000007276</v>
      </c>
      <c r="F9" s="32">
        <v>230</v>
      </c>
      <c r="G9" s="10">
        <f t="shared" si="2"/>
        <v>26.43678160919319</v>
      </c>
      <c r="H9" s="17">
        <v>32498</v>
      </c>
      <c r="I9" s="19">
        <f t="shared" si="1"/>
        <v>9.5999999999985448</v>
      </c>
      <c r="J9" s="33">
        <v>209.86</v>
      </c>
      <c r="K9" s="28">
        <f t="shared" si="3"/>
        <v>21.86041666666998</v>
      </c>
      <c r="L9" s="18">
        <f t="shared" si="4"/>
        <v>18.299999999999272</v>
      </c>
      <c r="M9" s="22">
        <f t="shared" si="4"/>
        <v>439.86</v>
      </c>
      <c r="N9" s="23">
        <f t="shared" si="5"/>
        <v>24.036065573771449</v>
      </c>
      <c r="O9" s="29">
        <v>240</v>
      </c>
      <c r="P9" s="30"/>
      <c r="Q9" s="26"/>
      <c r="S9" s="26"/>
    </row>
    <row r="10" spans="1:22" ht="25.8" customHeight="1">
      <c r="A10" s="81">
        <v>6</v>
      </c>
      <c r="B10" s="16" t="s">
        <v>20</v>
      </c>
      <c r="C10" s="17">
        <v>33425</v>
      </c>
      <c r="D10" s="17">
        <v>33438.1</v>
      </c>
      <c r="E10" s="17">
        <f>D10-C10</f>
        <v>13.099999999998545</v>
      </c>
      <c r="F10" s="34">
        <v>456.64</v>
      </c>
      <c r="G10" s="10">
        <f>IFERROR(F10/E10,0)</f>
        <v>34.858015267179447</v>
      </c>
      <c r="H10" s="17">
        <v>33445.1</v>
      </c>
      <c r="I10" s="19">
        <f>H10-D10</f>
        <v>7</v>
      </c>
      <c r="J10" s="33">
        <v>226.07</v>
      </c>
      <c r="K10" s="28">
        <f>IFERROR(J10/I10,0)</f>
        <v>32.295714285714283</v>
      </c>
      <c r="L10" s="18">
        <f>E10+I10</f>
        <v>20.099999999998545</v>
      </c>
      <c r="M10" s="22">
        <f>F10+J10</f>
        <v>682.71</v>
      </c>
      <c r="N10" s="23">
        <f>IFERROR(M10/L10,0)</f>
        <v>33.965671641793506</v>
      </c>
      <c r="O10" s="29">
        <v>129</v>
      </c>
      <c r="P10" s="30"/>
      <c r="Q10" s="26"/>
      <c r="S10" s="26"/>
    </row>
    <row r="11" spans="1:22" ht="22.8" customHeight="1">
      <c r="A11" s="5">
        <v>7</v>
      </c>
      <c r="B11" s="16" t="s">
        <v>21</v>
      </c>
      <c r="C11" s="17">
        <v>27935.1</v>
      </c>
      <c r="D11" s="17">
        <v>27947.5</v>
      </c>
      <c r="E11" s="17">
        <f t="shared" si="0"/>
        <v>12.400000000001455</v>
      </c>
      <c r="F11" s="32">
        <v>280</v>
      </c>
      <c r="G11" s="10">
        <f t="shared" si="2"/>
        <v>22.580645161287674</v>
      </c>
      <c r="H11" s="17">
        <v>27955.8</v>
      </c>
      <c r="I11" s="19">
        <f t="shared" si="1"/>
        <v>8.2999999999992724</v>
      </c>
      <c r="J11" s="20">
        <v>224.14</v>
      </c>
      <c r="K11" s="28">
        <f t="shared" si="3"/>
        <v>27.004819277110798</v>
      </c>
      <c r="L11" s="18">
        <f t="shared" si="4"/>
        <v>20.700000000000728</v>
      </c>
      <c r="M11" s="22">
        <f t="shared" si="4"/>
        <v>504.14</v>
      </c>
      <c r="N11" s="23">
        <f t="shared" si="5"/>
        <v>24.35458937197982</v>
      </c>
      <c r="O11" s="29">
        <v>174</v>
      </c>
      <c r="P11" s="30"/>
      <c r="Q11" s="26"/>
      <c r="S11" s="26"/>
    </row>
    <row r="12" spans="1:22" ht="22.8" customHeight="1">
      <c r="A12" s="81">
        <v>8</v>
      </c>
      <c r="B12" s="31" t="s">
        <v>22</v>
      </c>
      <c r="C12" s="35">
        <v>27304.2</v>
      </c>
      <c r="D12" s="35">
        <v>27315.5</v>
      </c>
      <c r="E12" s="17">
        <f t="shared" si="0"/>
        <v>11.299999999999272</v>
      </c>
      <c r="F12" s="32">
        <v>189.42</v>
      </c>
      <c r="G12" s="10">
        <f t="shared" si="2"/>
        <v>16.762831858408159</v>
      </c>
      <c r="H12" s="35">
        <v>27322.5</v>
      </c>
      <c r="I12" s="19">
        <f t="shared" si="1"/>
        <v>7</v>
      </c>
      <c r="J12" s="33">
        <v>189.24</v>
      </c>
      <c r="K12" s="28">
        <f t="shared" si="3"/>
        <v>27.034285714285716</v>
      </c>
      <c r="L12" s="18">
        <f t="shared" si="4"/>
        <v>18.299999999999272</v>
      </c>
      <c r="M12" s="22">
        <f t="shared" si="4"/>
        <v>378.65999999999997</v>
      </c>
      <c r="N12" s="23">
        <f t="shared" si="5"/>
        <v>20.691803278689346</v>
      </c>
      <c r="O12" s="29">
        <v>213</v>
      </c>
      <c r="P12" s="30"/>
      <c r="Q12" s="26"/>
      <c r="S12" s="26"/>
    </row>
    <row r="13" spans="1:22" ht="24" customHeight="1">
      <c r="A13" s="5">
        <v>9</v>
      </c>
      <c r="B13" s="31" t="s">
        <v>23</v>
      </c>
      <c r="C13" s="17">
        <v>22456.67</v>
      </c>
      <c r="D13" s="17">
        <v>22468.18</v>
      </c>
      <c r="E13" s="17">
        <f t="shared" si="0"/>
        <v>11.510000000002037</v>
      </c>
      <c r="F13" s="34">
        <v>308.01</v>
      </c>
      <c r="G13" s="10">
        <f t="shared" si="2"/>
        <v>26.760208514330625</v>
      </c>
      <c r="H13" s="17">
        <v>22476.41</v>
      </c>
      <c r="I13" s="19">
        <f t="shared" si="1"/>
        <v>8.2299999999995634</v>
      </c>
      <c r="J13" s="20">
        <v>238.59</v>
      </c>
      <c r="K13" s="28">
        <f t="shared" si="3"/>
        <v>28.990279465372133</v>
      </c>
      <c r="L13" s="18">
        <f t="shared" si="4"/>
        <v>19.740000000001601</v>
      </c>
      <c r="M13" s="22">
        <f t="shared" si="4"/>
        <v>546.6</v>
      </c>
      <c r="N13" s="23">
        <f t="shared" si="5"/>
        <v>27.689969604860977</v>
      </c>
      <c r="O13" s="29">
        <v>0</v>
      </c>
      <c r="P13" s="36"/>
      <c r="Q13" s="26"/>
      <c r="S13" s="26"/>
    </row>
    <row r="14" spans="1:22" ht="24" customHeight="1">
      <c r="A14" s="81">
        <v>10</v>
      </c>
      <c r="B14" s="31" t="s">
        <v>24</v>
      </c>
      <c r="C14" s="17">
        <v>22466.85</v>
      </c>
      <c r="D14" s="17">
        <v>22466.85</v>
      </c>
      <c r="E14" s="17">
        <f t="shared" si="0"/>
        <v>0</v>
      </c>
      <c r="F14" s="32">
        <v>0</v>
      </c>
      <c r="G14" s="10">
        <f>IFERROR(F14/E14,0)</f>
        <v>0</v>
      </c>
      <c r="H14" s="17">
        <v>22466.85</v>
      </c>
      <c r="I14" s="19">
        <f t="shared" si="1"/>
        <v>0</v>
      </c>
      <c r="J14" s="20">
        <v>0</v>
      </c>
      <c r="K14" s="28">
        <f t="shared" si="3"/>
        <v>0</v>
      </c>
      <c r="L14" s="18">
        <f t="shared" si="4"/>
        <v>0</v>
      </c>
      <c r="M14" s="22">
        <f t="shared" si="4"/>
        <v>0</v>
      </c>
      <c r="N14" s="23">
        <f t="shared" si="5"/>
        <v>0</v>
      </c>
      <c r="O14" s="29">
        <v>166</v>
      </c>
      <c r="P14" s="37"/>
      <c r="Q14" s="26"/>
      <c r="S14" s="26"/>
    </row>
    <row r="15" spans="1:22" ht="24" customHeight="1">
      <c r="A15" s="5">
        <v>11</v>
      </c>
      <c r="B15" s="31" t="s">
        <v>25</v>
      </c>
      <c r="C15" s="17">
        <v>19915.259999999998</v>
      </c>
      <c r="D15" s="17">
        <v>19928</v>
      </c>
      <c r="E15" s="17">
        <f t="shared" si="0"/>
        <v>12.740000000001601</v>
      </c>
      <c r="F15" s="32">
        <v>520</v>
      </c>
      <c r="G15" s="10">
        <f>IFERROR(F15/E15,0)</f>
        <v>40.816326530607114</v>
      </c>
      <c r="H15" s="17">
        <v>19934.53</v>
      </c>
      <c r="I15" s="19">
        <f>H15-D15</f>
        <v>6.5299999999988358</v>
      </c>
      <c r="J15" s="20">
        <v>280.2</v>
      </c>
      <c r="K15" s="28">
        <f>IFERROR(J15/I15,0)</f>
        <v>42.909647779486974</v>
      </c>
      <c r="L15" s="18">
        <f>E15+I15</f>
        <v>19.270000000000437</v>
      </c>
      <c r="M15" s="22">
        <f t="shared" si="4"/>
        <v>800.2</v>
      </c>
      <c r="N15" s="23">
        <f t="shared" si="5"/>
        <v>41.525687597300568</v>
      </c>
      <c r="O15" s="29">
        <v>226</v>
      </c>
      <c r="P15" s="37"/>
      <c r="Q15" s="26"/>
      <c r="S15" s="26"/>
      <c r="T15" s="38"/>
    </row>
    <row r="16" spans="1:22" ht="24" customHeight="1">
      <c r="A16" s="81">
        <v>12</v>
      </c>
      <c r="B16" s="31" t="s">
        <v>27</v>
      </c>
      <c r="C16" s="17">
        <v>18212.099999999999</v>
      </c>
      <c r="D16" s="17">
        <v>18212.099999999999</v>
      </c>
      <c r="E16" s="17">
        <f t="shared" si="0"/>
        <v>0</v>
      </c>
      <c r="F16" s="18">
        <v>0</v>
      </c>
      <c r="G16" s="10">
        <f>IFERROR(F16/E16,0)</f>
        <v>0</v>
      </c>
      <c r="H16" s="17">
        <v>18230.599999999999</v>
      </c>
      <c r="I16" s="19">
        <f t="shared" ref="I16" si="6">H16-D16</f>
        <v>18.5</v>
      </c>
      <c r="J16" s="20">
        <v>204.61</v>
      </c>
      <c r="K16" s="28">
        <f t="shared" ref="K16" si="7">IFERROR(J16/I16,0)</f>
        <v>11.06</v>
      </c>
      <c r="L16" s="18">
        <f t="shared" ref="L16" si="8">E16+I16</f>
        <v>18.5</v>
      </c>
      <c r="M16" s="22">
        <f t="shared" si="4"/>
        <v>204.61</v>
      </c>
      <c r="N16" s="23">
        <f t="shared" si="5"/>
        <v>11.06</v>
      </c>
      <c r="O16" s="29">
        <v>0</v>
      </c>
      <c r="P16" s="37"/>
      <c r="Q16" s="26"/>
      <c r="S16" s="26"/>
      <c r="T16" s="38"/>
    </row>
    <row r="17" spans="1:20" ht="24" customHeight="1">
      <c r="A17" s="5">
        <v>13</v>
      </c>
      <c r="B17" s="31" t="s">
        <v>26</v>
      </c>
      <c r="C17" s="17">
        <v>15231.7</v>
      </c>
      <c r="D17" s="17">
        <v>15231.7</v>
      </c>
      <c r="E17" s="17">
        <f t="shared" si="0"/>
        <v>0</v>
      </c>
      <c r="F17" s="32">
        <v>0</v>
      </c>
      <c r="G17" s="10">
        <f>IFERROR(F17/E17,0)</f>
        <v>0</v>
      </c>
      <c r="H17" s="17">
        <v>15231.7</v>
      </c>
      <c r="I17" s="19">
        <f>H17-D17</f>
        <v>0</v>
      </c>
      <c r="J17" s="20">
        <v>0</v>
      </c>
      <c r="K17" s="28">
        <f>IFERROR(J17/I17,0)</f>
        <v>0</v>
      </c>
      <c r="L17" s="18">
        <f>E17+I17</f>
        <v>0</v>
      </c>
      <c r="M17" s="22">
        <f>F17+J17</f>
        <v>0</v>
      </c>
      <c r="N17" s="23">
        <f t="shared" si="5"/>
        <v>0</v>
      </c>
      <c r="O17" s="29">
        <v>0</v>
      </c>
      <c r="P17" s="37"/>
      <c r="Q17" s="26"/>
      <c r="S17" s="26"/>
      <c r="T17" s="38"/>
    </row>
    <row r="18" spans="1:20" ht="24" customHeight="1">
      <c r="A18" s="196" t="s">
        <v>28</v>
      </c>
      <c r="B18" s="197"/>
      <c r="C18" s="39"/>
      <c r="D18" s="39"/>
      <c r="E18" s="40">
        <f>SUM(E7:E17)</f>
        <v>82.750000000003638</v>
      </c>
      <c r="F18" s="41">
        <f>SUM(F5:F17)</f>
        <v>2695.34</v>
      </c>
      <c r="G18" s="39"/>
      <c r="H18" s="39"/>
      <c r="I18" s="40">
        <f>SUM(I7:I17)</f>
        <v>71.559999999994034</v>
      </c>
      <c r="J18" s="41">
        <f>SUM(J5:J17)</f>
        <v>2129.96</v>
      </c>
      <c r="K18" s="28">
        <f>IFERROR(J18/I18,0)</f>
        <v>29.764673001679398</v>
      </c>
      <c r="L18" s="42">
        <f>SUM(L7:L17)</f>
        <v>154.30999999999767</v>
      </c>
      <c r="M18" s="43">
        <f>SUM(M5:M17)</f>
        <v>4825.2999999999993</v>
      </c>
      <c r="N18" s="23">
        <f>IFERROR(M18/L18,0)</f>
        <v>31.270170436135519</v>
      </c>
      <c r="O18" s="44">
        <f>SUM(O5:O17)</f>
        <v>1518</v>
      </c>
      <c r="P18" s="45"/>
      <c r="S18" s="26"/>
    </row>
    <row r="19" spans="1:20" ht="18" customHeight="1" thickBot="1">
      <c r="A19" s="206" t="s">
        <v>29</v>
      </c>
      <c r="B19" s="207"/>
      <c r="C19" s="207"/>
      <c r="D19" s="207"/>
      <c r="E19" s="207"/>
      <c r="F19" s="207"/>
      <c r="G19" s="207"/>
      <c r="H19" s="207"/>
      <c r="I19" s="207"/>
      <c r="J19" s="207"/>
      <c r="K19" s="207"/>
      <c r="L19" s="208"/>
      <c r="M19" s="46"/>
      <c r="N19" s="47"/>
      <c r="O19" s="37"/>
    </row>
    <row r="20" spans="1:20" ht="22.8" customHeight="1">
      <c r="A20" s="209" t="s">
        <v>3</v>
      </c>
      <c r="B20" s="211" t="s">
        <v>4</v>
      </c>
      <c r="C20" s="234" t="s">
        <v>5</v>
      </c>
      <c r="D20" s="234"/>
      <c r="E20" s="234"/>
      <c r="F20" s="234"/>
      <c r="G20" s="234"/>
      <c r="H20" s="235" t="s">
        <v>6</v>
      </c>
      <c r="I20" s="235"/>
      <c r="J20" s="235"/>
      <c r="K20" s="235"/>
      <c r="L20" s="48"/>
      <c r="M20" s="219" t="s">
        <v>7</v>
      </c>
      <c r="N20" s="194" t="s">
        <v>8</v>
      </c>
      <c r="O20" s="37"/>
    </row>
    <row r="21" spans="1:20" s="51" customFormat="1" ht="24" customHeight="1" thickBot="1">
      <c r="A21" s="210"/>
      <c r="B21" s="212"/>
      <c r="C21" s="49" t="s">
        <v>11</v>
      </c>
      <c r="D21" s="49" t="s">
        <v>12</v>
      </c>
      <c r="E21" s="49" t="s">
        <v>13</v>
      </c>
      <c r="F21" s="2" t="s">
        <v>14</v>
      </c>
      <c r="G21" s="2" t="s">
        <v>8</v>
      </c>
      <c r="H21" s="49" t="s">
        <v>12</v>
      </c>
      <c r="I21" s="49" t="s">
        <v>13</v>
      </c>
      <c r="J21" s="49" t="s">
        <v>14</v>
      </c>
      <c r="K21" s="7" t="s">
        <v>8</v>
      </c>
      <c r="L21" s="50" t="s">
        <v>15</v>
      </c>
      <c r="M21" s="220"/>
      <c r="N21" s="195"/>
      <c r="O21" s="37"/>
      <c r="Q21"/>
      <c r="R21"/>
      <c r="S21"/>
      <c r="T21"/>
    </row>
    <row r="22" spans="1:20" s="51" customFormat="1" ht="24" customHeight="1">
      <c r="A22" s="27">
        <v>1</v>
      </c>
      <c r="B22" s="52" t="s">
        <v>30</v>
      </c>
      <c r="C22" s="6">
        <v>18747.599999999999</v>
      </c>
      <c r="D22" s="6">
        <v>18756.2</v>
      </c>
      <c r="E22" s="53">
        <f>D22-C22</f>
        <v>8.6000000000021828</v>
      </c>
      <c r="F22" s="54">
        <v>130</v>
      </c>
      <c r="G22" s="55">
        <f>IFERROR(F22/E22,0)</f>
        <v>15.116279069763605</v>
      </c>
      <c r="H22" s="6">
        <v>18762.099999999999</v>
      </c>
      <c r="I22" s="56">
        <f>H22-D22</f>
        <v>5.8999999999978172</v>
      </c>
      <c r="J22" s="54">
        <v>111.04</v>
      </c>
      <c r="K22" s="57">
        <f>IFERROR(J22/I22,0)</f>
        <v>18.820338983057812</v>
      </c>
      <c r="L22" s="58">
        <f>E22+I22</f>
        <v>14.5</v>
      </c>
      <c r="M22" s="59">
        <f t="shared" ref="M22:M23" si="9">F22+J22</f>
        <v>241.04000000000002</v>
      </c>
      <c r="N22" s="60">
        <f>IFERROR(M22/L22,0)</f>
        <v>16.623448275862071</v>
      </c>
      <c r="O22" s="61"/>
      <c r="Q22"/>
      <c r="R22"/>
      <c r="S22"/>
      <c r="T22"/>
    </row>
    <row r="23" spans="1:20" ht="24" customHeight="1">
      <c r="A23" s="62">
        <v>2</v>
      </c>
      <c r="B23" s="52" t="s">
        <v>31</v>
      </c>
      <c r="C23" s="63">
        <v>11144.7</v>
      </c>
      <c r="D23" s="63">
        <v>11151.2</v>
      </c>
      <c r="E23" s="53">
        <f>D23-C23</f>
        <v>6.5</v>
      </c>
      <c r="F23" s="54">
        <v>112</v>
      </c>
      <c r="G23" s="55">
        <f>IFERROR(F23/E23,0)</f>
        <v>17.23076923076923</v>
      </c>
      <c r="H23" s="63">
        <v>11151.2</v>
      </c>
      <c r="I23" s="64">
        <f>H23-D23</f>
        <v>0</v>
      </c>
      <c r="J23" s="54">
        <v>0</v>
      </c>
      <c r="K23" s="57">
        <f>IFERROR(J23/I23,0)</f>
        <v>0</v>
      </c>
      <c r="L23" s="58">
        <f>E23+I23</f>
        <v>6.5</v>
      </c>
      <c r="M23" s="59">
        <f t="shared" si="9"/>
        <v>112</v>
      </c>
      <c r="N23" s="60">
        <f>IFERROR(M23/L23,0)</f>
        <v>17.23076923076923</v>
      </c>
      <c r="O23" s="65"/>
    </row>
    <row r="24" spans="1:20" ht="24" customHeight="1" thickBot="1">
      <c r="A24" s="238" t="s">
        <v>28</v>
      </c>
      <c r="B24" s="239"/>
      <c r="C24" s="66"/>
      <c r="D24" s="66"/>
      <c r="E24" s="67">
        <f>SUM(E22:E23)</f>
        <v>15.100000000002183</v>
      </c>
      <c r="F24" s="67">
        <f>SUM(F22:F23)</f>
        <v>242</v>
      </c>
      <c r="G24" s="68"/>
      <c r="H24" s="68"/>
      <c r="I24" s="67">
        <f>SUM(I22:I23)</f>
        <v>5.8999999999978172</v>
      </c>
      <c r="J24" s="67">
        <f>SUM(J22:J23)</f>
        <v>111.04</v>
      </c>
      <c r="K24" s="69">
        <f>SUM(K22:K23)</f>
        <v>18.820338983057812</v>
      </c>
      <c r="L24" s="70">
        <f>SUM(L22:L23)</f>
        <v>21</v>
      </c>
      <c r="M24" s="43">
        <f>SUM(M22:M23)</f>
        <v>353.04</v>
      </c>
      <c r="N24" s="71"/>
      <c r="O24" s="37"/>
      <c r="P24" s="72"/>
    </row>
    <row r="25" spans="1:20" ht="18" customHeight="1" thickBot="1">
      <c r="A25" s="245" t="s">
        <v>32</v>
      </c>
      <c r="B25" s="246"/>
      <c r="C25" s="226"/>
      <c r="D25" s="226"/>
      <c r="E25" s="226"/>
      <c r="F25" s="226"/>
      <c r="G25" s="226"/>
      <c r="H25" s="226"/>
      <c r="I25" s="226"/>
      <c r="J25" s="226"/>
      <c r="K25" s="226"/>
      <c r="L25" s="246"/>
      <c r="M25" s="46"/>
      <c r="N25" s="47"/>
      <c r="O25" s="37"/>
    </row>
    <row r="26" spans="1:20" ht="22.8" customHeight="1">
      <c r="A26" s="209" t="s">
        <v>3</v>
      </c>
      <c r="B26" s="211" t="s">
        <v>4</v>
      </c>
      <c r="C26" s="234" t="s">
        <v>5</v>
      </c>
      <c r="D26" s="234"/>
      <c r="E26" s="234"/>
      <c r="F26" s="234"/>
      <c r="G26" s="234"/>
      <c r="H26" s="235" t="s">
        <v>6</v>
      </c>
      <c r="I26" s="235"/>
      <c r="J26" s="235"/>
      <c r="K26" s="235"/>
      <c r="L26" s="48"/>
      <c r="M26" s="219" t="s">
        <v>7</v>
      </c>
      <c r="N26" s="194" t="s">
        <v>8</v>
      </c>
      <c r="O26" s="37"/>
      <c r="S26" s="51"/>
    </row>
    <row r="27" spans="1:20" ht="24" customHeight="1">
      <c r="A27" s="247"/>
      <c r="B27" s="248"/>
      <c r="C27" s="6" t="s">
        <v>11</v>
      </c>
      <c r="D27" s="6" t="s">
        <v>12</v>
      </c>
      <c r="E27" s="6" t="s">
        <v>13</v>
      </c>
      <c r="F27" s="6" t="s">
        <v>14</v>
      </c>
      <c r="G27" s="6" t="s">
        <v>8</v>
      </c>
      <c r="H27" s="6" t="s">
        <v>12</v>
      </c>
      <c r="I27" s="6" t="s">
        <v>13</v>
      </c>
      <c r="J27" s="6" t="s">
        <v>14</v>
      </c>
      <c r="K27" s="7" t="s">
        <v>8</v>
      </c>
      <c r="L27" s="73" t="s">
        <v>15</v>
      </c>
      <c r="M27" s="236"/>
      <c r="N27" s="237"/>
      <c r="O27" s="37"/>
      <c r="P27" s="74"/>
      <c r="S27" s="51"/>
      <c r="T27" s="75"/>
    </row>
    <row r="28" spans="1:20" ht="24" customHeight="1">
      <c r="A28" s="76">
        <v>1</v>
      </c>
      <c r="B28" s="31" t="s">
        <v>33</v>
      </c>
      <c r="C28" s="35">
        <v>21539.8</v>
      </c>
      <c r="D28" s="35">
        <v>21539.8</v>
      </c>
      <c r="E28" s="35">
        <f>D28-C28</f>
        <v>0</v>
      </c>
      <c r="F28" s="33">
        <v>0</v>
      </c>
      <c r="G28" s="10">
        <f t="shared" ref="G28:G32" si="10">IFERROR(F28/E28,0)</f>
        <v>0</v>
      </c>
      <c r="H28" s="35">
        <v>21539.8</v>
      </c>
      <c r="I28" s="56">
        <f>H28-D28</f>
        <v>0</v>
      </c>
      <c r="J28" s="33">
        <v>0</v>
      </c>
      <c r="K28" s="28">
        <f t="shared" ref="K28:K32" si="11">IFERROR(J28/I28,0)</f>
        <v>0</v>
      </c>
      <c r="L28" s="18">
        <f t="shared" ref="L28:M32" si="12">E28+I28</f>
        <v>0</v>
      </c>
      <c r="M28" s="22">
        <f t="shared" si="12"/>
        <v>0</v>
      </c>
      <c r="N28" s="23">
        <f>IFERROR(M28/L28,0)</f>
        <v>0</v>
      </c>
      <c r="O28" s="37"/>
    </row>
    <row r="29" spans="1:20" ht="24" customHeight="1">
      <c r="A29" s="76">
        <v>2</v>
      </c>
      <c r="B29" s="31" t="s">
        <v>34</v>
      </c>
      <c r="C29" s="35">
        <v>20977.7</v>
      </c>
      <c r="D29" s="35">
        <v>20989.1</v>
      </c>
      <c r="E29" s="35">
        <f>D29-C29</f>
        <v>11.399999999997817</v>
      </c>
      <c r="F29" s="33">
        <v>244.68</v>
      </c>
      <c r="G29" s="10">
        <f t="shared" si="10"/>
        <v>21.463157894740952</v>
      </c>
      <c r="H29" s="35">
        <v>20997.7</v>
      </c>
      <c r="I29" s="56">
        <f>H29-D29</f>
        <v>8.6000000000021828</v>
      </c>
      <c r="J29" s="33">
        <v>212.61</v>
      </c>
      <c r="K29" s="28">
        <f>IFERROR(J29/I29,0)</f>
        <v>24.722093023249542</v>
      </c>
      <c r="L29" s="18">
        <f t="shared" si="12"/>
        <v>20</v>
      </c>
      <c r="M29" s="22">
        <f t="shared" si="12"/>
        <v>457.29</v>
      </c>
      <c r="N29" s="23">
        <f>IFERROR(M29/L29,0)</f>
        <v>22.8645</v>
      </c>
      <c r="O29" s="37"/>
    </row>
    <row r="30" spans="1:20" ht="24" customHeight="1">
      <c r="A30" s="76">
        <v>3</v>
      </c>
      <c r="B30" s="31" t="s">
        <v>35</v>
      </c>
      <c r="C30" s="35">
        <v>8905.2999999999993</v>
      </c>
      <c r="D30" s="35">
        <v>8910.9</v>
      </c>
      <c r="E30" s="17">
        <f t="shared" ref="E30:E32" si="13">D30-C30</f>
        <v>5.6000000000003638</v>
      </c>
      <c r="F30" s="33">
        <v>104</v>
      </c>
      <c r="G30" s="10">
        <f t="shared" si="10"/>
        <v>18.571428571427365</v>
      </c>
      <c r="H30" s="35">
        <v>8910.9</v>
      </c>
      <c r="I30" s="19">
        <f>H30-D30</f>
        <v>0</v>
      </c>
      <c r="J30" s="33">
        <v>0</v>
      </c>
      <c r="K30" s="28">
        <f t="shared" si="11"/>
        <v>0</v>
      </c>
      <c r="L30" s="18">
        <f t="shared" si="12"/>
        <v>5.6000000000003638</v>
      </c>
      <c r="M30" s="22">
        <f t="shared" si="12"/>
        <v>104</v>
      </c>
      <c r="N30" s="23">
        <f>IFERROR(M30/L30,0)</f>
        <v>18.571428571427365</v>
      </c>
      <c r="O30" s="77"/>
    </row>
    <row r="31" spans="1:20" ht="24.6" customHeight="1">
      <c r="A31" s="76">
        <v>4</v>
      </c>
      <c r="B31" s="31" t="s">
        <v>36</v>
      </c>
      <c r="C31" s="35">
        <v>3299.6</v>
      </c>
      <c r="D31" s="35">
        <v>3308.8</v>
      </c>
      <c r="E31" s="17">
        <f t="shared" si="13"/>
        <v>9.2000000000002728</v>
      </c>
      <c r="F31" s="33">
        <v>170.86</v>
      </c>
      <c r="G31" s="78">
        <f t="shared" si="10"/>
        <v>18.571739130434235</v>
      </c>
      <c r="H31" s="35">
        <v>3315.7</v>
      </c>
      <c r="I31" s="19">
        <f t="shared" ref="I31:I32" si="14">H31-D31</f>
        <v>6.8999999999996362</v>
      </c>
      <c r="J31" s="33">
        <v>144.51</v>
      </c>
      <c r="K31" s="28">
        <f t="shared" si="11"/>
        <v>20.94347826087067</v>
      </c>
      <c r="L31" s="18">
        <f t="shared" si="12"/>
        <v>16.099999999999909</v>
      </c>
      <c r="M31" s="79">
        <f t="shared" si="12"/>
        <v>315.37</v>
      </c>
      <c r="N31" s="23">
        <f>IFERROR(M31/L31,0)</f>
        <v>19.588198757764086</v>
      </c>
      <c r="O31" s="80"/>
    </row>
    <row r="32" spans="1:20" ht="24.6" customHeight="1">
      <c r="A32" s="76">
        <v>5</v>
      </c>
      <c r="B32" s="31" t="s">
        <v>37</v>
      </c>
      <c r="C32" s="35">
        <v>609.5</v>
      </c>
      <c r="D32" s="35">
        <v>619.79999999999995</v>
      </c>
      <c r="E32" s="17">
        <f t="shared" si="13"/>
        <v>10.299999999999955</v>
      </c>
      <c r="F32" s="33">
        <v>242.44</v>
      </c>
      <c r="G32" s="78">
        <f t="shared" si="10"/>
        <v>23.537864077670008</v>
      </c>
      <c r="H32" s="35">
        <v>628</v>
      </c>
      <c r="I32" s="19">
        <f t="shared" si="14"/>
        <v>8.2000000000000455</v>
      </c>
      <c r="J32" s="33">
        <v>211.58</v>
      </c>
      <c r="K32" s="28">
        <f t="shared" si="11"/>
        <v>25.802439024390104</v>
      </c>
      <c r="L32" s="18">
        <f t="shared" si="12"/>
        <v>18.5</v>
      </c>
      <c r="M32" s="79">
        <f t="shared" si="12"/>
        <v>454.02</v>
      </c>
      <c r="N32" s="23">
        <f>IFERROR(M32/L32,0)</f>
        <v>24.541621621621619</v>
      </c>
      <c r="O32" s="80"/>
    </row>
    <row r="33" spans="1:26" ht="22.8" customHeight="1" thickBot="1">
      <c r="A33" s="238" t="s">
        <v>28</v>
      </c>
      <c r="B33" s="239"/>
      <c r="C33" s="66"/>
      <c r="D33" s="66"/>
      <c r="E33" s="67">
        <f>SUM(E28:E32)</f>
        <v>36.499999999998408</v>
      </c>
      <c r="F33" s="67">
        <f>SUM(F28:F32)</f>
        <v>761.98</v>
      </c>
      <c r="G33" s="68"/>
      <c r="H33" s="68"/>
      <c r="I33" s="67">
        <f>SUM(I28:I32)</f>
        <v>23.700000000001864</v>
      </c>
      <c r="J33" s="67">
        <f>SUM(J28:J32)</f>
        <v>568.70000000000005</v>
      </c>
      <c r="K33" s="69">
        <f>SUM(K28:K32)</f>
        <v>71.468010308510316</v>
      </c>
      <c r="L33" s="70">
        <f>SUM(L28:L32)</f>
        <v>60.200000000000273</v>
      </c>
      <c r="M33" s="43">
        <f>SUM(M28:M32)</f>
        <v>1330.6799999999998</v>
      </c>
      <c r="N33" s="71">
        <f>IFERROR(M33/K33,0)</f>
        <v>18.619239492687321</v>
      </c>
      <c r="O33" s="37"/>
      <c r="P33" s="72"/>
      <c r="S33" s="51"/>
    </row>
    <row r="34" spans="1:26" ht="24" customHeight="1">
      <c r="A34" s="240" t="s">
        <v>38</v>
      </c>
      <c r="B34" s="241"/>
      <c r="C34" s="241"/>
      <c r="D34" s="241"/>
      <c r="E34" s="241"/>
      <c r="F34" s="241"/>
      <c r="G34" s="241"/>
      <c r="H34" s="241"/>
      <c r="I34" s="241"/>
      <c r="J34" s="241"/>
      <c r="K34" s="241"/>
      <c r="L34" s="242"/>
      <c r="M34" s="46"/>
      <c r="N34" s="47"/>
      <c r="O34" s="61"/>
      <c r="S34" s="51"/>
    </row>
    <row r="35" spans="1:26" ht="24" customHeight="1">
      <c r="A35" s="243" t="s">
        <v>3</v>
      </c>
      <c r="B35" s="243" t="s">
        <v>4</v>
      </c>
      <c r="C35" s="213" t="s">
        <v>5</v>
      </c>
      <c r="D35" s="214"/>
      <c r="E35" s="214"/>
      <c r="F35" s="214"/>
      <c r="G35" s="215"/>
      <c r="H35" s="216" t="s">
        <v>6</v>
      </c>
      <c r="I35" s="217"/>
      <c r="J35" s="217"/>
      <c r="K35" s="218"/>
      <c r="L35" s="5"/>
      <c r="M35" s="221" t="s">
        <v>7</v>
      </c>
      <c r="N35" s="222" t="s">
        <v>8</v>
      </c>
      <c r="O35" s="37"/>
    </row>
    <row r="36" spans="1:26" ht="24" customHeight="1">
      <c r="A36" s="244"/>
      <c r="B36" s="244"/>
      <c r="C36" s="2" t="s">
        <v>11</v>
      </c>
      <c r="D36" s="2" t="s">
        <v>12</v>
      </c>
      <c r="E36" s="2" t="s">
        <v>13</v>
      </c>
      <c r="F36" s="2" t="s">
        <v>14</v>
      </c>
      <c r="G36" s="2" t="s">
        <v>8</v>
      </c>
      <c r="H36" s="2" t="s">
        <v>12</v>
      </c>
      <c r="I36" s="2" t="s">
        <v>13</v>
      </c>
      <c r="J36" s="2" t="s">
        <v>14</v>
      </c>
      <c r="K36" s="82" t="s">
        <v>8</v>
      </c>
      <c r="L36" s="12" t="s">
        <v>15</v>
      </c>
      <c r="M36" s="221"/>
      <c r="N36" s="222"/>
      <c r="O36" s="37"/>
    </row>
    <row r="37" spans="1:26" ht="24" customHeight="1">
      <c r="A37" s="76">
        <v>1</v>
      </c>
      <c r="B37" s="31" t="s">
        <v>39</v>
      </c>
      <c r="C37" s="83">
        <v>16513</v>
      </c>
      <c r="D37" s="83">
        <v>16523.3</v>
      </c>
      <c r="E37" s="35">
        <f>D37-C37</f>
        <v>10.299999999999272</v>
      </c>
      <c r="F37" s="33">
        <v>150</v>
      </c>
      <c r="G37" s="78">
        <f t="shared" ref="G37:G38" si="15">IFERROR(F37/E37,0)</f>
        <v>14.563106796117534</v>
      </c>
      <c r="H37" s="83">
        <v>16531.2</v>
      </c>
      <c r="I37" s="56">
        <f>H37-D37</f>
        <v>7.9000000000014552</v>
      </c>
      <c r="J37" s="33">
        <v>161.61000000000001</v>
      </c>
      <c r="K37" s="28">
        <f>IFERROR(J37/I37,0)</f>
        <v>20.456962025312688</v>
      </c>
      <c r="L37" s="84">
        <f t="shared" ref="L37:L38" si="16">E37+I37</f>
        <v>18.200000000000728</v>
      </c>
      <c r="M37" s="79">
        <f>F37+J37</f>
        <v>311.61</v>
      </c>
      <c r="N37" s="34">
        <f>IFERROR(M37/L37,0)</f>
        <v>17.121428571427888</v>
      </c>
      <c r="O37" s="37"/>
    </row>
    <row r="38" spans="1:26" ht="27" customHeight="1">
      <c r="A38" s="76">
        <v>2</v>
      </c>
      <c r="B38" s="31" t="s">
        <v>40</v>
      </c>
      <c r="C38" s="35">
        <v>4313.3</v>
      </c>
      <c r="D38" s="35">
        <v>4313.3</v>
      </c>
      <c r="E38" s="17">
        <f>D38-C38</f>
        <v>0</v>
      </c>
      <c r="F38" s="33">
        <v>0</v>
      </c>
      <c r="G38" s="10">
        <f t="shared" si="15"/>
        <v>0</v>
      </c>
      <c r="H38" s="35">
        <v>4318.3999999999996</v>
      </c>
      <c r="I38" s="19">
        <f>H38-D38</f>
        <v>5.0999999999994543</v>
      </c>
      <c r="J38" s="33">
        <v>68.260000000000005</v>
      </c>
      <c r="K38" s="28">
        <f>IFERROR(J38/I38,0)</f>
        <v>13.38431372549163</v>
      </c>
      <c r="L38" s="18">
        <f t="shared" si="16"/>
        <v>5.0999999999994543</v>
      </c>
      <c r="M38" s="22">
        <f>F38+J38</f>
        <v>68.260000000000005</v>
      </c>
      <c r="N38" s="23">
        <f>IFERROR(M38/L38,0)</f>
        <v>13.38431372549163</v>
      </c>
      <c r="O38" s="37"/>
      <c r="S38" s="51"/>
    </row>
    <row r="39" spans="1:26" ht="22.8" customHeight="1" thickBot="1">
      <c r="A39" s="196" t="s">
        <v>28</v>
      </c>
      <c r="B39" s="233"/>
      <c r="C39" s="68"/>
      <c r="D39" s="66"/>
      <c r="E39" s="67">
        <f>SUM(E37:E38)</f>
        <v>10.299999999999272</v>
      </c>
      <c r="F39" s="67">
        <f>SUM(F37:F38:F38)</f>
        <v>150</v>
      </c>
      <c r="G39" s="68"/>
      <c r="H39" s="68"/>
      <c r="I39" s="67">
        <f>SUM(I37:I38)</f>
        <v>13.000000000000909</v>
      </c>
      <c r="J39" s="67">
        <f>SUM(J37:J38)</f>
        <v>229.87</v>
      </c>
      <c r="K39" s="69">
        <f>SUM(K37:K38)</f>
        <v>33.841275750804314</v>
      </c>
      <c r="L39" s="70">
        <f>SUM(L37:L38)</f>
        <v>23.300000000000182</v>
      </c>
      <c r="M39" s="43">
        <f>SUM(M37:M38)</f>
        <v>379.87</v>
      </c>
      <c r="N39" s="71">
        <f>IFERROR(M39/K39,0)</f>
        <v>11.225049634571519</v>
      </c>
      <c r="O39" s="37"/>
      <c r="P39" s="72"/>
      <c r="S39" s="51"/>
    </row>
    <row r="40" spans="1:26" ht="24" customHeight="1">
      <c r="A40" s="225" t="s">
        <v>41</v>
      </c>
      <c r="B40" s="226"/>
      <c r="C40" s="226"/>
      <c r="D40" s="226"/>
      <c r="E40" s="226"/>
      <c r="F40" s="226"/>
      <c r="G40" s="226"/>
      <c r="H40" s="226"/>
      <c r="I40" s="226"/>
      <c r="J40" s="226"/>
      <c r="K40" s="226"/>
      <c r="L40" s="226"/>
      <c r="M40" s="46"/>
      <c r="N40" s="47"/>
      <c r="O40" s="61"/>
    </row>
    <row r="41" spans="1:26" ht="24" customHeight="1">
      <c r="A41" s="222" t="s">
        <v>3</v>
      </c>
      <c r="B41" s="222" t="s">
        <v>4</v>
      </c>
      <c r="C41" s="234" t="s">
        <v>5</v>
      </c>
      <c r="D41" s="234"/>
      <c r="E41" s="234"/>
      <c r="F41" s="234"/>
      <c r="G41" s="234"/>
      <c r="H41" s="235" t="s">
        <v>6</v>
      </c>
      <c r="I41" s="235"/>
      <c r="J41" s="235"/>
      <c r="K41" s="235"/>
      <c r="L41" s="5"/>
      <c r="M41" s="221" t="s">
        <v>7</v>
      </c>
      <c r="N41" s="222" t="s">
        <v>8</v>
      </c>
      <c r="O41" s="37"/>
    </row>
    <row r="42" spans="1:26" ht="25.8" customHeight="1">
      <c r="A42" s="222"/>
      <c r="B42" s="222"/>
      <c r="C42" s="2" t="s">
        <v>11</v>
      </c>
      <c r="D42" s="2" t="s">
        <v>12</v>
      </c>
      <c r="E42" s="2" t="s">
        <v>13</v>
      </c>
      <c r="F42" s="2" t="s">
        <v>14</v>
      </c>
      <c r="G42" s="2" t="s">
        <v>8</v>
      </c>
      <c r="H42" s="2" t="s">
        <v>12</v>
      </c>
      <c r="I42" s="2" t="s">
        <v>13</v>
      </c>
      <c r="J42" s="2" t="s">
        <v>14</v>
      </c>
      <c r="K42" s="82" t="s">
        <v>8</v>
      </c>
      <c r="L42" s="12" t="s">
        <v>15</v>
      </c>
      <c r="M42" s="221"/>
      <c r="N42" s="222"/>
      <c r="O42" s="37"/>
    </row>
    <row r="43" spans="1:26" ht="24.6" customHeight="1">
      <c r="A43" s="76">
        <v>1</v>
      </c>
      <c r="B43" s="85" t="s">
        <v>42</v>
      </c>
      <c r="C43" s="33">
        <v>8589.5</v>
      </c>
      <c r="D43" s="33">
        <v>8589.5</v>
      </c>
      <c r="E43" s="20">
        <f>D43-C43</f>
        <v>0</v>
      </c>
      <c r="F43" s="33">
        <v>0</v>
      </c>
      <c r="G43" s="10">
        <f t="shared" ref="G43:G44" si="17">IFERROR(F43/E43,0)</f>
        <v>0</v>
      </c>
      <c r="H43" s="33">
        <v>8589.5</v>
      </c>
      <c r="I43" s="86">
        <f>H43-D43</f>
        <v>0</v>
      </c>
      <c r="J43" s="33">
        <v>0</v>
      </c>
      <c r="K43" s="28">
        <f>IFERROR(J43/I43,0)</f>
        <v>0</v>
      </c>
      <c r="L43" s="18">
        <f>E43+I43</f>
        <v>0</v>
      </c>
      <c r="M43" s="22">
        <f>F43+J43</f>
        <v>0</v>
      </c>
      <c r="N43" s="23">
        <f>IFERROR(M43/L43,0)</f>
        <v>0</v>
      </c>
      <c r="O43" s="87"/>
      <c r="S43" s="51"/>
    </row>
    <row r="44" spans="1:26" ht="22.8" customHeight="1">
      <c r="A44" s="76">
        <v>2</v>
      </c>
      <c r="B44" s="85" t="s">
        <v>43</v>
      </c>
      <c r="C44" s="33">
        <v>1586.9</v>
      </c>
      <c r="D44" s="33">
        <v>1586.9</v>
      </c>
      <c r="E44" s="20">
        <f>D44-C44</f>
        <v>0</v>
      </c>
      <c r="F44" s="33">
        <v>0</v>
      </c>
      <c r="G44" s="10">
        <f t="shared" si="17"/>
        <v>0</v>
      </c>
      <c r="H44" s="33">
        <v>1586.9</v>
      </c>
      <c r="I44" s="86">
        <f>H44-D44</f>
        <v>0</v>
      </c>
      <c r="J44" s="33">
        <v>0</v>
      </c>
      <c r="K44" s="28">
        <f>IFERROR(J44/I44,0)</f>
        <v>0</v>
      </c>
      <c r="L44" s="18">
        <f>E44+I44</f>
        <v>0</v>
      </c>
      <c r="M44" s="22">
        <f t="shared" ref="M44" si="18">F44+J44</f>
        <v>0</v>
      </c>
      <c r="N44" s="23">
        <f>IFERROR(M44/L44,0)</f>
        <v>0</v>
      </c>
      <c r="O44" s="87"/>
      <c r="P44" s="88"/>
      <c r="Q44" s="89"/>
    </row>
    <row r="45" spans="1:26" ht="24" customHeight="1" thickBot="1">
      <c r="A45" s="223" t="s">
        <v>28</v>
      </c>
      <c r="B45" s="224"/>
      <c r="C45" s="90"/>
      <c r="D45" s="90"/>
      <c r="E45" s="91">
        <f>SUM(E43:E44)</f>
        <v>0</v>
      </c>
      <c r="F45" s="91">
        <f>SUM(F43:F44)</f>
        <v>0</v>
      </c>
      <c r="G45" s="92"/>
      <c r="H45" s="92"/>
      <c r="I45" s="91">
        <f>SUM(I43:I44)</f>
        <v>0</v>
      </c>
      <c r="J45" s="91">
        <f>SUM(J43:J44)</f>
        <v>0</v>
      </c>
      <c r="K45" s="93">
        <f>SUM(K43:K44)</f>
        <v>0</v>
      </c>
      <c r="L45" s="94">
        <f>SUM(L43:L44)</f>
        <v>0</v>
      </c>
      <c r="M45" s="95">
        <f>SUM(M43:M44)</f>
        <v>0</v>
      </c>
      <c r="N45" s="96" t="e">
        <f>M45/L45</f>
        <v>#DIV/0!</v>
      </c>
      <c r="O45" s="37"/>
      <c r="P45" s="97"/>
      <c r="Q45" s="89"/>
    </row>
    <row r="46" spans="1:26" ht="24" customHeight="1">
      <c r="A46" s="225" t="s">
        <v>44</v>
      </c>
      <c r="B46" s="226"/>
      <c r="C46" s="226"/>
      <c r="D46" s="226"/>
      <c r="E46" s="226"/>
      <c r="F46" s="226"/>
      <c r="G46" s="226"/>
      <c r="H46" s="226"/>
      <c r="I46" s="226"/>
      <c r="J46" s="226"/>
      <c r="K46" s="226"/>
      <c r="L46" s="226"/>
      <c r="M46" s="98"/>
      <c r="N46" s="99"/>
      <c r="O46" s="37"/>
      <c r="P46" s="100"/>
      <c r="Q46" s="100"/>
    </row>
    <row r="47" spans="1:26" ht="24" customHeight="1">
      <c r="A47" s="222" t="s">
        <v>3</v>
      </c>
      <c r="B47" s="222" t="s">
        <v>4</v>
      </c>
      <c r="C47" s="227" t="s">
        <v>5</v>
      </c>
      <c r="D47" s="228"/>
      <c r="E47" s="228"/>
      <c r="F47" s="228"/>
      <c r="G47" s="228"/>
      <c r="H47" s="229"/>
      <c r="I47" s="230" t="s">
        <v>6</v>
      </c>
      <c r="J47" s="231"/>
      <c r="K47" s="231"/>
      <c r="L47" s="231"/>
      <c r="M47" s="231"/>
      <c r="N47" s="232"/>
      <c r="O47" s="201" t="s">
        <v>45</v>
      </c>
      <c r="P47" s="203" t="s">
        <v>46</v>
      </c>
      <c r="Q47" s="203" t="s">
        <v>47</v>
      </c>
      <c r="R47" s="205" t="s">
        <v>48</v>
      </c>
      <c r="Z47" s="101"/>
    </row>
    <row r="48" spans="1:26" ht="33" customHeight="1">
      <c r="A48" s="222"/>
      <c r="B48" s="222"/>
      <c r="C48" s="2" t="s">
        <v>49</v>
      </c>
      <c r="D48" s="2" t="s">
        <v>50</v>
      </c>
      <c r="E48" s="2" t="s">
        <v>51</v>
      </c>
      <c r="F48" s="102" t="s">
        <v>11</v>
      </c>
      <c r="G48" s="2" t="s">
        <v>14</v>
      </c>
      <c r="H48" s="2" t="s">
        <v>8</v>
      </c>
      <c r="I48" s="2" t="s">
        <v>50</v>
      </c>
      <c r="J48" s="2" t="s">
        <v>45</v>
      </c>
      <c r="K48" s="102" t="s">
        <v>12</v>
      </c>
      <c r="L48" s="102" t="s">
        <v>15</v>
      </c>
      <c r="M48" s="2" t="s">
        <v>14</v>
      </c>
      <c r="N48" s="82" t="s">
        <v>8</v>
      </c>
      <c r="O48" s="202"/>
      <c r="P48" s="204"/>
      <c r="Q48" s="204"/>
      <c r="R48" s="205"/>
    </row>
    <row r="49" spans="1:27" ht="21" customHeight="1">
      <c r="A49" s="81">
        <v>1</v>
      </c>
      <c r="B49" s="103" t="s">
        <v>52</v>
      </c>
      <c r="C49" s="2">
        <v>278677.40000000002</v>
      </c>
      <c r="D49" s="2">
        <v>278677.40000000002</v>
      </c>
      <c r="E49" s="104">
        <f t="shared" ref="E49:E109" si="19">D49-C49</f>
        <v>0</v>
      </c>
      <c r="F49" s="105">
        <v>22056</v>
      </c>
      <c r="G49" s="49">
        <v>0</v>
      </c>
      <c r="H49" s="10">
        <f t="shared" ref="H49:H109" si="20">IFERROR(E49/G49,0)</f>
        <v>0</v>
      </c>
      <c r="I49" s="2">
        <v>278776.8</v>
      </c>
      <c r="J49" s="106">
        <f t="shared" ref="J49:J109" si="21">I49-D49</f>
        <v>99.399999999965075</v>
      </c>
      <c r="K49" s="105">
        <v>22065</v>
      </c>
      <c r="L49" s="107">
        <f t="shared" ref="L49:L109" si="22">K49-F49</f>
        <v>9</v>
      </c>
      <c r="M49" s="2">
        <v>172.4</v>
      </c>
      <c r="N49" s="28">
        <f t="shared" ref="N49:N109" si="23">IFERROR(J49/M49,0)</f>
        <v>0.57656612528982065</v>
      </c>
      <c r="O49" s="84">
        <f t="shared" ref="O49:O109" si="24">J49+E49</f>
        <v>99.399999999965075</v>
      </c>
      <c r="P49" s="79">
        <f t="shared" ref="P49:P109" si="25">G49+M49</f>
        <v>172.4</v>
      </c>
      <c r="Q49" s="34">
        <f t="shared" ref="Q49:Q109" si="26">IFERROR(O49/P49,0)</f>
        <v>0.57656612528982065</v>
      </c>
      <c r="R49" s="108">
        <v>14</v>
      </c>
    </row>
    <row r="50" spans="1:27" ht="21" customHeight="1">
      <c r="A50" s="81">
        <v>2</v>
      </c>
      <c r="B50" s="103" t="s">
        <v>155</v>
      </c>
      <c r="C50" s="2">
        <v>300676</v>
      </c>
      <c r="D50" s="2">
        <v>300676</v>
      </c>
      <c r="E50" s="104">
        <f t="shared" si="19"/>
        <v>0</v>
      </c>
      <c r="F50" s="105">
        <v>30416</v>
      </c>
      <c r="G50" s="49">
        <v>0</v>
      </c>
      <c r="H50" s="10">
        <f t="shared" si="20"/>
        <v>0</v>
      </c>
      <c r="I50" s="2">
        <v>300676</v>
      </c>
      <c r="J50" s="106">
        <f t="shared" si="21"/>
        <v>0</v>
      </c>
      <c r="K50" s="105">
        <v>30416</v>
      </c>
      <c r="L50" s="107">
        <f t="shared" si="22"/>
        <v>0</v>
      </c>
      <c r="M50" s="2">
        <v>0</v>
      </c>
      <c r="N50" s="28">
        <f t="shared" si="23"/>
        <v>0</v>
      </c>
      <c r="O50" s="84">
        <f t="shared" si="24"/>
        <v>0</v>
      </c>
      <c r="P50" s="79">
        <f t="shared" si="25"/>
        <v>0</v>
      </c>
      <c r="Q50" s="34">
        <f t="shared" si="26"/>
        <v>0</v>
      </c>
      <c r="R50" s="108">
        <v>6</v>
      </c>
    </row>
    <row r="51" spans="1:27" ht="21" customHeight="1">
      <c r="A51" s="81">
        <v>3</v>
      </c>
      <c r="B51" s="103" t="s">
        <v>171</v>
      </c>
      <c r="C51" s="2">
        <v>309702</v>
      </c>
      <c r="D51" s="2">
        <v>309841</v>
      </c>
      <c r="E51" s="104">
        <f t="shared" si="19"/>
        <v>139</v>
      </c>
      <c r="F51" s="105">
        <v>30967</v>
      </c>
      <c r="G51" s="49">
        <v>235</v>
      </c>
      <c r="H51" s="10">
        <f t="shared" si="20"/>
        <v>0.59148936170212763</v>
      </c>
      <c r="I51" s="2">
        <v>309953</v>
      </c>
      <c r="J51" s="106">
        <f t="shared" si="21"/>
        <v>112</v>
      </c>
      <c r="K51" s="105">
        <v>30988</v>
      </c>
      <c r="L51" s="107">
        <f t="shared" si="22"/>
        <v>21</v>
      </c>
      <c r="M51" s="2">
        <v>153</v>
      </c>
      <c r="N51" s="28">
        <f t="shared" si="23"/>
        <v>0.73202614379084963</v>
      </c>
      <c r="O51" s="84">
        <f t="shared" si="24"/>
        <v>251</v>
      </c>
      <c r="P51" s="79">
        <f t="shared" si="25"/>
        <v>388</v>
      </c>
      <c r="Q51" s="34">
        <f t="shared" si="26"/>
        <v>0.64690721649484539</v>
      </c>
      <c r="R51" s="108">
        <v>35</v>
      </c>
    </row>
    <row r="52" spans="1:27" ht="21" customHeight="1">
      <c r="A52" s="81">
        <v>4</v>
      </c>
      <c r="B52" s="103" t="s">
        <v>156</v>
      </c>
      <c r="C52" s="2">
        <v>260550</v>
      </c>
      <c r="D52" s="2">
        <v>260550</v>
      </c>
      <c r="E52" s="104">
        <f t="shared" si="19"/>
        <v>0</v>
      </c>
      <c r="F52" s="105">
        <v>27653</v>
      </c>
      <c r="G52" s="49">
        <v>0</v>
      </c>
      <c r="H52" s="10">
        <f t="shared" si="20"/>
        <v>0</v>
      </c>
      <c r="I52" s="2">
        <v>260550</v>
      </c>
      <c r="J52" s="106">
        <f t="shared" si="21"/>
        <v>0</v>
      </c>
      <c r="K52" s="105">
        <v>27653</v>
      </c>
      <c r="L52" s="107">
        <f t="shared" si="22"/>
        <v>0</v>
      </c>
      <c r="M52" s="2">
        <v>0</v>
      </c>
      <c r="N52" s="28">
        <f t="shared" si="23"/>
        <v>0</v>
      </c>
      <c r="O52" s="84">
        <f t="shared" si="24"/>
        <v>0</v>
      </c>
      <c r="P52" s="79">
        <f t="shared" si="25"/>
        <v>0</v>
      </c>
      <c r="Q52" s="34">
        <f t="shared" si="26"/>
        <v>0</v>
      </c>
      <c r="R52" s="108">
        <v>14</v>
      </c>
    </row>
    <row r="53" spans="1:27" ht="21" customHeight="1">
      <c r="A53" s="81">
        <v>5</v>
      </c>
      <c r="B53" s="103" t="s">
        <v>157</v>
      </c>
      <c r="C53" s="2">
        <v>275546</v>
      </c>
      <c r="D53" s="2">
        <v>275546</v>
      </c>
      <c r="E53" s="104">
        <f t="shared" si="19"/>
        <v>0</v>
      </c>
      <c r="F53" s="105">
        <v>27993</v>
      </c>
      <c r="G53" s="49">
        <v>0</v>
      </c>
      <c r="H53" s="10">
        <f t="shared" si="20"/>
        <v>0</v>
      </c>
      <c r="I53" s="2">
        <v>275640</v>
      </c>
      <c r="J53" s="106">
        <f t="shared" si="21"/>
        <v>94</v>
      </c>
      <c r="K53" s="105">
        <v>28002</v>
      </c>
      <c r="L53" s="107">
        <f t="shared" si="22"/>
        <v>9</v>
      </c>
      <c r="M53" s="2">
        <v>146.68</v>
      </c>
      <c r="N53" s="28">
        <f t="shared" si="23"/>
        <v>0.64085083174256885</v>
      </c>
      <c r="O53" s="84">
        <f t="shared" si="24"/>
        <v>94</v>
      </c>
      <c r="P53" s="79">
        <f t="shared" si="25"/>
        <v>146.68</v>
      </c>
      <c r="Q53" s="34">
        <f t="shared" si="26"/>
        <v>0.64085083174256885</v>
      </c>
      <c r="R53" s="108">
        <v>16</v>
      </c>
    </row>
    <row r="54" spans="1:27" ht="21" customHeight="1">
      <c r="A54" s="81">
        <v>6</v>
      </c>
      <c r="B54" s="103" t="s">
        <v>172</v>
      </c>
      <c r="C54" s="2">
        <v>266482</v>
      </c>
      <c r="D54" s="2">
        <v>266601</v>
      </c>
      <c r="E54" s="104">
        <f t="shared" si="19"/>
        <v>119</v>
      </c>
      <c r="F54" s="105">
        <v>26380</v>
      </c>
      <c r="G54" s="49">
        <v>53.98</v>
      </c>
      <c r="H54" s="10">
        <f t="shared" si="20"/>
        <v>2.2045201926639497</v>
      </c>
      <c r="I54" s="2">
        <v>266601</v>
      </c>
      <c r="J54" s="106">
        <f t="shared" si="21"/>
        <v>0</v>
      </c>
      <c r="K54" s="105">
        <v>26391</v>
      </c>
      <c r="L54" s="107">
        <f t="shared" si="22"/>
        <v>11</v>
      </c>
      <c r="M54" s="2">
        <v>0</v>
      </c>
      <c r="N54" s="28">
        <f t="shared" si="23"/>
        <v>0</v>
      </c>
      <c r="O54" s="84">
        <f t="shared" si="24"/>
        <v>119</v>
      </c>
      <c r="P54" s="79">
        <f t="shared" si="25"/>
        <v>53.98</v>
      </c>
      <c r="Q54" s="34">
        <f t="shared" si="26"/>
        <v>2.2045201926639497</v>
      </c>
      <c r="R54" s="108">
        <v>0</v>
      </c>
    </row>
    <row r="55" spans="1:27" ht="21" customHeight="1">
      <c r="A55" s="81">
        <v>7</v>
      </c>
      <c r="B55" s="103" t="s">
        <v>173</v>
      </c>
      <c r="C55" s="2">
        <v>295692</v>
      </c>
      <c r="D55" s="2">
        <v>295692</v>
      </c>
      <c r="E55" s="104">
        <f t="shared" si="19"/>
        <v>0</v>
      </c>
      <c r="F55" s="105">
        <v>28768</v>
      </c>
      <c r="G55" s="49">
        <v>0</v>
      </c>
      <c r="H55" s="10">
        <f t="shared" si="20"/>
        <v>0</v>
      </c>
      <c r="I55" s="2">
        <v>295692</v>
      </c>
      <c r="J55" s="106">
        <f t="shared" si="21"/>
        <v>0</v>
      </c>
      <c r="K55" s="105">
        <v>28768</v>
      </c>
      <c r="L55" s="107">
        <f t="shared" si="22"/>
        <v>0</v>
      </c>
      <c r="M55" s="2">
        <v>0</v>
      </c>
      <c r="N55" s="28">
        <f t="shared" si="23"/>
        <v>0</v>
      </c>
      <c r="O55" s="84">
        <f t="shared" si="24"/>
        <v>0</v>
      </c>
      <c r="P55" s="79">
        <f t="shared" si="25"/>
        <v>0</v>
      </c>
      <c r="Q55" s="34">
        <f t="shared" si="26"/>
        <v>0</v>
      </c>
      <c r="R55" s="108">
        <v>11</v>
      </c>
    </row>
    <row r="56" spans="1:27" ht="24" customHeight="1">
      <c r="A56" s="81">
        <v>8</v>
      </c>
      <c r="B56" s="31" t="s">
        <v>53</v>
      </c>
      <c r="C56" s="35">
        <v>334306.5</v>
      </c>
      <c r="D56" s="35">
        <v>334306.5</v>
      </c>
      <c r="E56" s="104">
        <f t="shared" si="19"/>
        <v>0</v>
      </c>
      <c r="F56" s="110">
        <v>29835</v>
      </c>
      <c r="G56" s="111">
        <v>0</v>
      </c>
      <c r="H56" s="10">
        <f t="shared" si="20"/>
        <v>0</v>
      </c>
      <c r="I56" s="35">
        <v>334306.5</v>
      </c>
      <c r="J56" s="106">
        <f t="shared" si="21"/>
        <v>0</v>
      </c>
      <c r="K56" s="110">
        <v>29835</v>
      </c>
      <c r="L56" s="107">
        <f t="shared" si="22"/>
        <v>0</v>
      </c>
      <c r="M56" s="112">
        <v>0</v>
      </c>
      <c r="N56" s="28">
        <f t="shared" si="23"/>
        <v>0</v>
      </c>
      <c r="O56" s="84">
        <f t="shared" si="24"/>
        <v>0</v>
      </c>
      <c r="P56" s="79">
        <f t="shared" si="25"/>
        <v>0</v>
      </c>
      <c r="Q56" s="34">
        <f t="shared" si="26"/>
        <v>0</v>
      </c>
      <c r="R56" s="1">
        <v>0</v>
      </c>
    </row>
    <row r="57" spans="1:27" ht="24" customHeight="1">
      <c r="A57" s="81">
        <v>9</v>
      </c>
      <c r="B57" s="31" t="s">
        <v>54</v>
      </c>
      <c r="C57" s="104">
        <v>291991.8</v>
      </c>
      <c r="D57" s="104">
        <v>292126.09999999998</v>
      </c>
      <c r="E57" s="104">
        <f t="shared" si="19"/>
        <v>134.29999999998836</v>
      </c>
      <c r="F57" s="110">
        <v>27982.35</v>
      </c>
      <c r="G57" s="111">
        <v>238</v>
      </c>
      <c r="H57" s="10">
        <f t="shared" si="20"/>
        <v>0.56428571428566532</v>
      </c>
      <c r="I57" s="104">
        <v>292236.40000000002</v>
      </c>
      <c r="J57" s="106">
        <f>I57-D57</f>
        <v>110.30000000004657</v>
      </c>
      <c r="K57" s="110">
        <v>28003.24</v>
      </c>
      <c r="L57" s="107">
        <f t="shared" si="22"/>
        <v>20.890000000003056</v>
      </c>
      <c r="M57" s="111">
        <v>176</v>
      </c>
      <c r="N57" s="28">
        <f t="shared" si="23"/>
        <v>0.62670454545481002</v>
      </c>
      <c r="O57" s="84">
        <f t="shared" si="24"/>
        <v>244.60000000003492</v>
      </c>
      <c r="P57" s="79">
        <f t="shared" si="25"/>
        <v>414</v>
      </c>
      <c r="Q57" s="34">
        <f t="shared" si="26"/>
        <v>0.5908212560387317</v>
      </c>
      <c r="R57" s="1">
        <v>35</v>
      </c>
      <c r="AA57" s="101"/>
    </row>
    <row r="58" spans="1:27" ht="24" customHeight="1">
      <c r="A58" s="81">
        <v>10</v>
      </c>
      <c r="B58" s="31" t="s">
        <v>55</v>
      </c>
      <c r="C58" s="104">
        <v>298907.40000000002</v>
      </c>
      <c r="D58" s="104">
        <v>298907.40000000002</v>
      </c>
      <c r="E58" s="104">
        <f t="shared" si="19"/>
        <v>0</v>
      </c>
      <c r="F58" s="110">
        <v>27086</v>
      </c>
      <c r="G58" s="111">
        <v>0</v>
      </c>
      <c r="H58" s="10">
        <f t="shared" si="20"/>
        <v>0</v>
      </c>
      <c r="I58" s="104">
        <v>298907.40000000002</v>
      </c>
      <c r="J58" s="106">
        <f>I58-D58</f>
        <v>0</v>
      </c>
      <c r="K58" s="110">
        <v>27086</v>
      </c>
      <c r="L58" s="107">
        <f t="shared" si="22"/>
        <v>0</v>
      </c>
      <c r="M58" s="111">
        <v>0</v>
      </c>
      <c r="N58" s="28">
        <f t="shared" si="23"/>
        <v>0</v>
      </c>
      <c r="O58" s="84">
        <f t="shared" si="24"/>
        <v>0</v>
      </c>
      <c r="P58" s="79">
        <f t="shared" si="25"/>
        <v>0</v>
      </c>
      <c r="Q58" s="34">
        <f t="shared" si="26"/>
        <v>0</v>
      </c>
      <c r="R58" s="1">
        <v>0</v>
      </c>
      <c r="AA58" s="101"/>
    </row>
    <row r="59" spans="1:27" ht="24" customHeight="1">
      <c r="A59" s="81">
        <v>11</v>
      </c>
      <c r="B59" s="31" t="s">
        <v>56</v>
      </c>
      <c r="C59" s="104">
        <v>339719.8</v>
      </c>
      <c r="D59" s="104">
        <v>339767.6</v>
      </c>
      <c r="E59" s="104">
        <f t="shared" si="19"/>
        <v>47.799999999988358</v>
      </c>
      <c r="F59" s="110">
        <v>26832.21</v>
      </c>
      <c r="G59" s="111">
        <v>90</v>
      </c>
      <c r="H59" s="10">
        <f t="shared" si="20"/>
        <v>0.53111111111098175</v>
      </c>
      <c r="I59" s="104">
        <v>339855.7</v>
      </c>
      <c r="J59" s="106">
        <f>I59-D59</f>
        <v>88.100000000034925</v>
      </c>
      <c r="K59" s="110">
        <v>26844.23</v>
      </c>
      <c r="L59" s="107">
        <f t="shared" si="22"/>
        <v>12.020000000000437</v>
      </c>
      <c r="M59" s="111">
        <v>148</v>
      </c>
      <c r="N59" s="28">
        <f t="shared" si="23"/>
        <v>0.59527027027050627</v>
      </c>
      <c r="O59" s="84">
        <f t="shared" si="24"/>
        <v>135.90000000002328</v>
      </c>
      <c r="P59" s="79">
        <f t="shared" si="25"/>
        <v>238</v>
      </c>
      <c r="Q59" s="34">
        <f t="shared" si="26"/>
        <v>0.57100840336144232</v>
      </c>
      <c r="R59" s="1">
        <v>26</v>
      </c>
      <c r="AA59" s="101"/>
    </row>
    <row r="60" spans="1:27" ht="24" customHeight="1">
      <c r="A60" s="81">
        <v>12</v>
      </c>
      <c r="B60" s="31" t="s">
        <v>57</v>
      </c>
      <c r="C60" s="104">
        <v>342414.3</v>
      </c>
      <c r="D60" s="104">
        <v>342582.8</v>
      </c>
      <c r="E60" s="104">
        <f t="shared" si="19"/>
        <v>168.5</v>
      </c>
      <c r="F60" s="110">
        <v>26651.07</v>
      </c>
      <c r="G60" s="111">
        <v>211.57</v>
      </c>
      <c r="H60" s="10">
        <f t="shared" si="20"/>
        <v>0.7964267145625562</v>
      </c>
      <c r="I60" s="104">
        <v>342733.4</v>
      </c>
      <c r="J60" s="106">
        <f>I60-D60</f>
        <v>150.60000000003492</v>
      </c>
      <c r="K60" s="110">
        <v>26670.59</v>
      </c>
      <c r="L60" s="107">
        <f t="shared" si="22"/>
        <v>19.520000000000437</v>
      </c>
      <c r="M60" s="111">
        <v>223</v>
      </c>
      <c r="N60" s="28">
        <f t="shared" si="23"/>
        <v>0.6753363228701118</v>
      </c>
      <c r="O60" s="84">
        <f t="shared" si="24"/>
        <v>319.10000000003492</v>
      </c>
      <c r="P60" s="79">
        <f t="shared" si="25"/>
        <v>434.57</v>
      </c>
      <c r="Q60" s="34">
        <f t="shared" si="26"/>
        <v>0.73428906735401644</v>
      </c>
      <c r="R60" s="1">
        <v>37</v>
      </c>
      <c r="AA60" s="101"/>
    </row>
    <row r="61" spans="1:27" ht="24" customHeight="1">
      <c r="A61" s="81">
        <v>13</v>
      </c>
      <c r="B61" s="31" t="s">
        <v>58</v>
      </c>
      <c r="C61" s="35">
        <v>299823.59999999998</v>
      </c>
      <c r="D61" s="35">
        <v>299947.09999999998</v>
      </c>
      <c r="E61" s="104">
        <f t="shared" si="19"/>
        <v>123.5</v>
      </c>
      <c r="F61" s="110">
        <v>26642.55</v>
      </c>
      <c r="G61" s="111">
        <v>224</v>
      </c>
      <c r="H61" s="10">
        <f t="shared" si="20"/>
        <v>0.5513392857142857</v>
      </c>
      <c r="I61" s="35">
        <v>300050.90000000002</v>
      </c>
      <c r="J61" s="106">
        <f t="shared" si="21"/>
        <v>103.80000000004657</v>
      </c>
      <c r="K61" s="110">
        <v>26663.24</v>
      </c>
      <c r="L61" s="107">
        <f t="shared" si="22"/>
        <v>20.690000000002328</v>
      </c>
      <c r="M61" s="112">
        <v>207</v>
      </c>
      <c r="N61" s="28">
        <f>IFERROR(J61/M61,0)</f>
        <v>0.5014492753625438</v>
      </c>
      <c r="O61" s="84">
        <f t="shared" si="24"/>
        <v>227.30000000004657</v>
      </c>
      <c r="P61" s="79">
        <f t="shared" si="25"/>
        <v>431</v>
      </c>
      <c r="Q61" s="34">
        <f t="shared" si="26"/>
        <v>0.52737819025532851</v>
      </c>
      <c r="R61" s="1">
        <v>29</v>
      </c>
      <c r="U61" s="113"/>
    </row>
    <row r="62" spans="1:27" ht="24" customHeight="1">
      <c r="A62" s="81">
        <v>14</v>
      </c>
      <c r="B62" s="31" t="s">
        <v>59</v>
      </c>
      <c r="C62" s="35">
        <v>271644.79999999999</v>
      </c>
      <c r="D62" s="35">
        <v>271779.20000000001</v>
      </c>
      <c r="E62" s="104">
        <f t="shared" si="19"/>
        <v>134.40000000002328</v>
      </c>
      <c r="F62" s="110">
        <v>25397.29</v>
      </c>
      <c r="G62" s="111">
        <v>245</v>
      </c>
      <c r="H62" s="10">
        <f t="shared" si="20"/>
        <v>0.54857142857152363</v>
      </c>
      <c r="I62" s="35">
        <v>271894.40000000002</v>
      </c>
      <c r="J62" s="106">
        <f>I62-D62</f>
        <v>115.20000000001164</v>
      </c>
      <c r="K62" s="110">
        <v>25418.23</v>
      </c>
      <c r="L62" s="107">
        <f t="shared" si="22"/>
        <v>20.93999999999869</v>
      </c>
      <c r="M62" s="111">
        <v>197</v>
      </c>
      <c r="N62" s="28">
        <f>IFERROR(J62/M62,0)</f>
        <v>0.58477157360412002</v>
      </c>
      <c r="O62" s="84">
        <f t="shared" si="24"/>
        <v>249.60000000003492</v>
      </c>
      <c r="P62" s="79">
        <f t="shared" si="25"/>
        <v>442</v>
      </c>
      <c r="Q62" s="34">
        <f t="shared" si="26"/>
        <v>0.56470588235302022</v>
      </c>
      <c r="R62" s="1">
        <v>34</v>
      </c>
      <c r="X62" t="s">
        <v>60</v>
      </c>
    </row>
    <row r="63" spans="1:27" ht="24" customHeight="1">
      <c r="A63" s="81">
        <v>15</v>
      </c>
      <c r="B63" s="31" t="s">
        <v>61</v>
      </c>
      <c r="C63" s="104">
        <v>284882.40000000002</v>
      </c>
      <c r="D63" s="104">
        <v>285005.7</v>
      </c>
      <c r="E63" s="104">
        <f t="shared" si="19"/>
        <v>123.29999999998836</v>
      </c>
      <c r="F63" s="110">
        <v>26584.51</v>
      </c>
      <c r="G63" s="111">
        <v>215</v>
      </c>
      <c r="H63" s="10">
        <f t="shared" si="20"/>
        <v>0.5734883720929691</v>
      </c>
      <c r="I63" s="104">
        <v>285086.2</v>
      </c>
      <c r="J63" s="106">
        <f>I63-D63</f>
        <v>80.5</v>
      </c>
      <c r="K63" s="110">
        <v>26584.51</v>
      </c>
      <c r="L63" s="107">
        <f t="shared" si="22"/>
        <v>0</v>
      </c>
      <c r="M63" s="112">
        <v>164</v>
      </c>
      <c r="N63" s="28">
        <f t="shared" si="23"/>
        <v>0.49085365853658536</v>
      </c>
      <c r="O63" s="84">
        <f t="shared" si="24"/>
        <v>203.79999999998836</v>
      </c>
      <c r="P63" s="79">
        <f t="shared" si="25"/>
        <v>379</v>
      </c>
      <c r="Q63" s="34">
        <f t="shared" si="26"/>
        <v>0.53773087071237036</v>
      </c>
      <c r="R63" s="1">
        <v>29</v>
      </c>
    </row>
    <row r="64" spans="1:27" ht="24" customHeight="1">
      <c r="A64" s="81">
        <v>16</v>
      </c>
      <c r="B64" s="31" t="s">
        <v>62</v>
      </c>
      <c r="C64" s="35">
        <v>303002.90000000002</v>
      </c>
      <c r="D64" s="35">
        <v>303121.09999999998</v>
      </c>
      <c r="E64" s="104">
        <f t="shared" si="19"/>
        <v>118.19999999995343</v>
      </c>
      <c r="F64" s="110">
        <v>27250</v>
      </c>
      <c r="G64" s="111">
        <v>213.56</v>
      </c>
      <c r="H64" s="10">
        <f t="shared" si="20"/>
        <v>0.55347443341427904</v>
      </c>
      <c r="I64" s="35">
        <v>303203.59999999998</v>
      </c>
      <c r="J64" s="106">
        <f t="shared" si="21"/>
        <v>82.5</v>
      </c>
      <c r="K64" s="110">
        <v>27276.43</v>
      </c>
      <c r="L64" s="107">
        <f t="shared" si="22"/>
        <v>26.430000000000291</v>
      </c>
      <c r="M64" s="112">
        <v>159</v>
      </c>
      <c r="N64" s="28">
        <f t="shared" si="23"/>
        <v>0.51886792452830188</v>
      </c>
      <c r="O64" s="84">
        <f t="shared" si="24"/>
        <v>200.69999999995343</v>
      </c>
      <c r="P64" s="79">
        <f t="shared" si="25"/>
        <v>372.56</v>
      </c>
      <c r="Q64" s="34">
        <f t="shared" si="26"/>
        <v>0.53870517500524329</v>
      </c>
      <c r="R64" s="1">
        <v>21</v>
      </c>
    </row>
    <row r="65" spans="1:18" ht="24" customHeight="1">
      <c r="A65" s="81">
        <v>17</v>
      </c>
      <c r="B65" s="31" t="s">
        <v>158</v>
      </c>
      <c r="C65" s="17">
        <v>274791</v>
      </c>
      <c r="D65" s="17">
        <v>274791</v>
      </c>
      <c r="E65" s="104">
        <f t="shared" si="19"/>
        <v>0</v>
      </c>
      <c r="F65" s="110">
        <v>25063</v>
      </c>
      <c r="G65" s="111">
        <v>0</v>
      </c>
      <c r="H65" s="10">
        <f t="shared" si="20"/>
        <v>0</v>
      </c>
      <c r="I65" s="17">
        <v>274791</v>
      </c>
      <c r="J65" s="106">
        <f t="shared" si="21"/>
        <v>0</v>
      </c>
      <c r="K65" s="110">
        <v>25063</v>
      </c>
      <c r="L65" s="107">
        <f t="shared" si="22"/>
        <v>0</v>
      </c>
      <c r="M65" s="111">
        <v>0</v>
      </c>
      <c r="N65" s="28">
        <f t="shared" si="23"/>
        <v>0</v>
      </c>
      <c r="O65" s="84">
        <f t="shared" si="24"/>
        <v>0</v>
      </c>
      <c r="P65" s="79">
        <f t="shared" si="25"/>
        <v>0</v>
      </c>
      <c r="Q65" s="34">
        <f t="shared" si="26"/>
        <v>0</v>
      </c>
      <c r="R65" s="1">
        <v>0</v>
      </c>
    </row>
    <row r="66" spans="1:18" ht="24" customHeight="1">
      <c r="A66" s="81">
        <v>18</v>
      </c>
      <c r="B66" s="31" t="s">
        <v>159</v>
      </c>
      <c r="C66" s="17">
        <v>277907</v>
      </c>
      <c r="D66" s="17">
        <v>277907</v>
      </c>
      <c r="E66" s="104">
        <f t="shared" si="19"/>
        <v>0</v>
      </c>
      <c r="F66" s="110">
        <v>25896</v>
      </c>
      <c r="G66" s="111">
        <v>0</v>
      </c>
      <c r="H66" s="10">
        <f t="shared" si="20"/>
        <v>0</v>
      </c>
      <c r="I66" s="17">
        <v>277907</v>
      </c>
      <c r="J66" s="106">
        <f t="shared" si="21"/>
        <v>0</v>
      </c>
      <c r="K66" s="110">
        <v>25896</v>
      </c>
      <c r="L66" s="107">
        <f t="shared" si="22"/>
        <v>0</v>
      </c>
      <c r="M66" s="111">
        <v>0</v>
      </c>
      <c r="N66" s="28">
        <f t="shared" si="23"/>
        <v>0</v>
      </c>
      <c r="O66" s="84">
        <f t="shared" si="24"/>
        <v>0</v>
      </c>
      <c r="P66" s="79">
        <f t="shared" si="25"/>
        <v>0</v>
      </c>
      <c r="Q66" s="34">
        <f t="shared" si="26"/>
        <v>0</v>
      </c>
      <c r="R66" s="1">
        <v>0</v>
      </c>
    </row>
    <row r="67" spans="1:18" ht="24" customHeight="1">
      <c r="A67" s="81">
        <v>19</v>
      </c>
      <c r="B67" s="31" t="s">
        <v>160</v>
      </c>
      <c r="C67" s="17">
        <v>305292</v>
      </c>
      <c r="D67" s="17">
        <v>305292</v>
      </c>
      <c r="E67" s="104">
        <f t="shared" si="19"/>
        <v>0</v>
      </c>
      <c r="F67" s="110">
        <v>25118</v>
      </c>
      <c r="G67" s="111">
        <v>0</v>
      </c>
      <c r="H67" s="10">
        <f t="shared" si="20"/>
        <v>0</v>
      </c>
      <c r="I67" s="17">
        <v>305292</v>
      </c>
      <c r="J67" s="106">
        <f t="shared" si="21"/>
        <v>0</v>
      </c>
      <c r="K67" s="110">
        <v>25118</v>
      </c>
      <c r="L67" s="107">
        <f t="shared" si="22"/>
        <v>0</v>
      </c>
      <c r="M67" s="111">
        <v>0</v>
      </c>
      <c r="N67" s="28">
        <f t="shared" si="23"/>
        <v>0</v>
      </c>
      <c r="O67" s="84">
        <f t="shared" si="24"/>
        <v>0</v>
      </c>
      <c r="P67" s="79">
        <f t="shared" si="25"/>
        <v>0</v>
      </c>
      <c r="Q67" s="34">
        <f t="shared" si="26"/>
        <v>0</v>
      </c>
      <c r="R67" s="1">
        <v>0</v>
      </c>
    </row>
    <row r="68" spans="1:18" ht="24" customHeight="1">
      <c r="A68" s="81">
        <v>20</v>
      </c>
      <c r="B68" s="31" t="s">
        <v>161</v>
      </c>
      <c r="C68" s="17">
        <v>303297</v>
      </c>
      <c r="D68" s="17">
        <v>303438</v>
      </c>
      <c r="E68" s="104">
        <f t="shared" si="19"/>
        <v>141</v>
      </c>
      <c r="F68" s="110">
        <v>25343</v>
      </c>
      <c r="G68" s="116">
        <v>232</v>
      </c>
      <c r="H68" s="10">
        <f t="shared" si="20"/>
        <v>0.60775862068965514</v>
      </c>
      <c r="I68" s="17">
        <v>303566</v>
      </c>
      <c r="J68" s="106">
        <f t="shared" si="21"/>
        <v>128</v>
      </c>
      <c r="K68" s="110">
        <v>25366</v>
      </c>
      <c r="L68" s="107">
        <f t="shared" si="22"/>
        <v>23</v>
      </c>
      <c r="M68" s="111">
        <v>234</v>
      </c>
      <c r="N68" s="28">
        <f t="shared" si="23"/>
        <v>0.54700854700854706</v>
      </c>
      <c r="O68" s="84">
        <f t="shared" si="24"/>
        <v>269</v>
      </c>
      <c r="P68" s="79">
        <f t="shared" si="25"/>
        <v>466</v>
      </c>
      <c r="Q68" s="34">
        <f t="shared" si="26"/>
        <v>0.57725321888412018</v>
      </c>
      <c r="R68" s="1">
        <v>31</v>
      </c>
    </row>
    <row r="69" spans="1:18" ht="24" customHeight="1">
      <c r="A69" s="81">
        <v>21</v>
      </c>
      <c r="B69" s="31" t="s">
        <v>162</v>
      </c>
      <c r="C69" s="17">
        <v>320044</v>
      </c>
      <c r="D69" s="17">
        <v>320171</v>
      </c>
      <c r="E69" s="104">
        <f t="shared" si="19"/>
        <v>127</v>
      </c>
      <c r="F69" s="110">
        <v>26539</v>
      </c>
      <c r="G69" s="111">
        <v>206.52</v>
      </c>
      <c r="H69" s="10">
        <f t="shared" si="20"/>
        <v>0.61495254696881652</v>
      </c>
      <c r="I69" s="17">
        <v>320305</v>
      </c>
      <c r="J69" s="106">
        <f t="shared" si="21"/>
        <v>134</v>
      </c>
      <c r="K69" s="110">
        <v>26561</v>
      </c>
      <c r="L69" s="107">
        <f t="shared" si="22"/>
        <v>22</v>
      </c>
      <c r="M69" s="111">
        <v>221</v>
      </c>
      <c r="N69" s="28">
        <f t="shared" si="23"/>
        <v>0.60633484162895923</v>
      </c>
      <c r="O69" s="84">
        <f t="shared" si="24"/>
        <v>261</v>
      </c>
      <c r="P69" s="79">
        <f t="shared" si="25"/>
        <v>427.52</v>
      </c>
      <c r="Q69" s="34">
        <f t="shared" si="26"/>
        <v>0.61049775449101795</v>
      </c>
      <c r="R69" s="1">
        <v>34</v>
      </c>
    </row>
    <row r="70" spans="1:18" ht="24" customHeight="1">
      <c r="A70" s="81">
        <v>22</v>
      </c>
      <c r="B70" s="31" t="s">
        <v>68</v>
      </c>
      <c r="C70" s="17">
        <v>275763.5</v>
      </c>
      <c r="D70" s="17">
        <v>275886.7</v>
      </c>
      <c r="E70" s="104">
        <f t="shared" si="19"/>
        <v>123.20000000001164</v>
      </c>
      <c r="F70" s="110">
        <v>22381</v>
      </c>
      <c r="G70" s="111">
        <v>230</v>
      </c>
      <c r="H70" s="10">
        <f t="shared" si="20"/>
        <v>0.53565217391309405</v>
      </c>
      <c r="I70" s="17">
        <v>276011.40000000002</v>
      </c>
      <c r="J70" s="106">
        <f t="shared" si="21"/>
        <v>124.70000000001164</v>
      </c>
      <c r="K70" s="110">
        <v>22403</v>
      </c>
      <c r="L70" s="107">
        <f t="shared" si="22"/>
        <v>22</v>
      </c>
      <c r="M70" s="112">
        <v>218</v>
      </c>
      <c r="N70" s="28">
        <f t="shared" si="23"/>
        <v>0.57201834862390666</v>
      </c>
      <c r="O70" s="84">
        <f t="shared" si="24"/>
        <v>247.90000000002328</v>
      </c>
      <c r="P70" s="79">
        <f t="shared" si="25"/>
        <v>448</v>
      </c>
      <c r="Q70" s="34">
        <f t="shared" si="26"/>
        <v>0.5533482142857663</v>
      </c>
      <c r="R70" s="1">
        <v>29</v>
      </c>
    </row>
    <row r="71" spans="1:18" ht="24" customHeight="1">
      <c r="A71" s="81">
        <v>23</v>
      </c>
      <c r="B71" s="31" t="s">
        <v>69</v>
      </c>
      <c r="C71" s="17">
        <v>257878.5</v>
      </c>
      <c r="D71" s="17">
        <v>258003.8</v>
      </c>
      <c r="E71" s="104">
        <f t="shared" si="19"/>
        <v>125.29999999998836</v>
      </c>
      <c r="F71" s="110">
        <v>19761</v>
      </c>
      <c r="G71" s="111">
        <v>230</v>
      </c>
      <c r="H71" s="10">
        <f t="shared" si="20"/>
        <v>0.54478260869560158</v>
      </c>
      <c r="I71" s="17">
        <v>258140.7</v>
      </c>
      <c r="J71" s="106">
        <f t="shared" si="21"/>
        <v>136.90000000002328</v>
      </c>
      <c r="K71" s="110">
        <v>19781</v>
      </c>
      <c r="L71" s="107">
        <f t="shared" si="22"/>
        <v>20</v>
      </c>
      <c r="M71" s="112">
        <v>185</v>
      </c>
      <c r="N71" s="28">
        <f t="shared" si="23"/>
        <v>0.74000000000012589</v>
      </c>
      <c r="O71" s="84">
        <f t="shared" si="24"/>
        <v>262.20000000001164</v>
      </c>
      <c r="P71" s="79">
        <f t="shared" si="25"/>
        <v>415</v>
      </c>
      <c r="Q71" s="34">
        <f t="shared" si="26"/>
        <v>0.63180722891569074</v>
      </c>
      <c r="R71" s="1">
        <v>23</v>
      </c>
    </row>
    <row r="72" spans="1:18" ht="24" customHeight="1">
      <c r="A72" s="81">
        <v>24</v>
      </c>
      <c r="B72" s="31" t="s">
        <v>70</v>
      </c>
      <c r="C72" s="104">
        <v>302223.7</v>
      </c>
      <c r="D72" s="104">
        <v>302381.09999999998</v>
      </c>
      <c r="E72" s="104">
        <f t="shared" si="19"/>
        <v>157.39999999996508</v>
      </c>
      <c r="F72" s="110">
        <v>4923</v>
      </c>
      <c r="G72" s="111">
        <v>270</v>
      </c>
      <c r="H72" s="10">
        <f t="shared" si="20"/>
        <v>0.58296296296283356</v>
      </c>
      <c r="I72" s="104">
        <v>302486.40000000002</v>
      </c>
      <c r="J72" s="106">
        <f t="shared" si="21"/>
        <v>105.30000000004657</v>
      </c>
      <c r="K72" s="110">
        <v>4947</v>
      </c>
      <c r="L72" s="107">
        <f t="shared" si="22"/>
        <v>24</v>
      </c>
      <c r="M72" s="111">
        <v>178.26</v>
      </c>
      <c r="N72" s="28">
        <f t="shared" si="23"/>
        <v>0.59071019858659579</v>
      </c>
      <c r="O72" s="84">
        <f t="shared" si="24"/>
        <v>262.70000000001164</v>
      </c>
      <c r="P72" s="79">
        <f t="shared" si="25"/>
        <v>448.26</v>
      </c>
      <c r="Q72" s="34">
        <f t="shared" si="26"/>
        <v>0.58604381385805482</v>
      </c>
      <c r="R72" s="1">
        <v>20</v>
      </c>
    </row>
    <row r="73" spans="1:18" ht="24" customHeight="1">
      <c r="A73" s="81">
        <v>25</v>
      </c>
      <c r="B73" s="31" t="s">
        <v>71</v>
      </c>
      <c r="C73" s="35">
        <v>312459</v>
      </c>
      <c r="D73" s="35">
        <v>312591.59999999998</v>
      </c>
      <c r="E73" s="104">
        <f t="shared" si="19"/>
        <v>132.59999999997672</v>
      </c>
      <c r="F73" s="110">
        <v>22837</v>
      </c>
      <c r="G73" s="111">
        <v>203.7</v>
      </c>
      <c r="H73" s="10">
        <f t="shared" si="20"/>
        <v>0.65095729013243364</v>
      </c>
      <c r="I73" s="35">
        <v>312709.3</v>
      </c>
      <c r="J73" s="106">
        <f t="shared" si="21"/>
        <v>117.70000000001164</v>
      </c>
      <c r="K73" s="110">
        <v>22858</v>
      </c>
      <c r="L73" s="107">
        <f t="shared" si="22"/>
        <v>21</v>
      </c>
      <c r="M73" s="111">
        <v>195</v>
      </c>
      <c r="N73" s="28">
        <f>IFERROR(J73/M73,0)</f>
        <v>0.60358974358980333</v>
      </c>
      <c r="O73" s="84">
        <f t="shared" si="24"/>
        <v>250.29999999998836</v>
      </c>
      <c r="P73" s="79">
        <f>G73+M73</f>
        <v>398.7</v>
      </c>
      <c r="Q73" s="34">
        <f t="shared" si="26"/>
        <v>0.62779031853521039</v>
      </c>
      <c r="R73" s="1">
        <v>37</v>
      </c>
    </row>
    <row r="74" spans="1:18" ht="24" customHeight="1">
      <c r="A74" s="81">
        <v>26</v>
      </c>
      <c r="B74" s="31" t="s">
        <v>72</v>
      </c>
      <c r="C74" s="35">
        <v>283000</v>
      </c>
      <c r="D74" s="35">
        <v>283021.5</v>
      </c>
      <c r="E74" s="104">
        <f t="shared" si="19"/>
        <v>21.5</v>
      </c>
      <c r="F74" s="110">
        <v>20442</v>
      </c>
      <c r="G74" s="111">
        <v>208</v>
      </c>
      <c r="H74" s="10">
        <f t="shared" si="20"/>
        <v>0.10336538461538461</v>
      </c>
      <c r="I74" s="35">
        <v>283055.3</v>
      </c>
      <c r="J74" s="106">
        <f t="shared" si="21"/>
        <v>33.799999999988358</v>
      </c>
      <c r="K74" s="110">
        <v>20463</v>
      </c>
      <c r="L74" s="107">
        <f t="shared" si="22"/>
        <v>21</v>
      </c>
      <c r="M74" s="112">
        <v>180</v>
      </c>
      <c r="N74" s="28">
        <f t="shared" si="23"/>
        <v>0.1877777777777131</v>
      </c>
      <c r="O74" s="84">
        <f t="shared" si="24"/>
        <v>55.299999999988358</v>
      </c>
      <c r="P74" s="79">
        <f t="shared" si="25"/>
        <v>388</v>
      </c>
      <c r="Q74" s="34">
        <f t="shared" si="26"/>
        <v>0.14252577319584628</v>
      </c>
      <c r="R74" s="1">
        <v>29</v>
      </c>
    </row>
    <row r="75" spans="1:18" ht="24" customHeight="1">
      <c r="A75" s="81">
        <v>27</v>
      </c>
      <c r="B75" s="31" t="s">
        <v>73</v>
      </c>
      <c r="C75" s="104">
        <v>310889.5</v>
      </c>
      <c r="D75" s="104">
        <v>311010.09999999998</v>
      </c>
      <c r="E75" s="104">
        <f t="shared" si="19"/>
        <v>120.59999999997672</v>
      </c>
      <c r="F75" s="110">
        <v>22558</v>
      </c>
      <c r="G75" s="111">
        <v>210</v>
      </c>
      <c r="H75" s="10">
        <f t="shared" si="20"/>
        <v>0.57428571428560338</v>
      </c>
      <c r="I75" s="104">
        <v>311115.8</v>
      </c>
      <c r="J75" s="106">
        <f t="shared" si="21"/>
        <v>105.70000000001164</v>
      </c>
      <c r="K75" s="110">
        <v>22577</v>
      </c>
      <c r="L75" s="107">
        <f t="shared" si="22"/>
        <v>19</v>
      </c>
      <c r="M75" s="112">
        <v>191</v>
      </c>
      <c r="N75" s="28">
        <f t="shared" si="23"/>
        <v>0.55340314136131752</v>
      </c>
      <c r="O75" s="84">
        <f t="shared" si="24"/>
        <v>226.29999999998836</v>
      </c>
      <c r="P75" s="79">
        <f t="shared" si="25"/>
        <v>401</v>
      </c>
      <c r="Q75" s="34">
        <f t="shared" si="26"/>
        <v>0.56433915211967167</v>
      </c>
      <c r="R75" s="1">
        <v>35</v>
      </c>
    </row>
    <row r="76" spans="1:18" ht="24" customHeight="1">
      <c r="A76" s="81">
        <v>28</v>
      </c>
      <c r="B76" s="31" t="s">
        <v>74</v>
      </c>
      <c r="C76" s="35">
        <v>281254.90000000002</v>
      </c>
      <c r="D76" s="35">
        <v>281394.5</v>
      </c>
      <c r="E76" s="104">
        <f t="shared" si="19"/>
        <v>139.59999999997672</v>
      </c>
      <c r="F76" s="110">
        <v>4086</v>
      </c>
      <c r="G76" s="111">
        <v>241</v>
      </c>
      <c r="H76" s="10">
        <f t="shared" si="20"/>
        <v>0.57925311203309837</v>
      </c>
      <c r="I76" s="35">
        <v>281496</v>
      </c>
      <c r="J76" s="106">
        <f t="shared" si="21"/>
        <v>101.5</v>
      </c>
      <c r="K76" s="110">
        <v>4107</v>
      </c>
      <c r="L76" s="107">
        <f>K76-F76</f>
        <v>21</v>
      </c>
      <c r="M76" s="111">
        <v>178</v>
      </c>
      <c r="N76" s="28">
        <f t="shared" si="23"/>
        <v>0.5702247191011236</v>
      </c>
      <c r="O76" s="84">
        <f t="shared" si="24"/>
        <v>241.09999999997672</v>
      </c>
      <c r="P76" s="79">
        <f t="shared" si="25"/>
        <v>419</v>
      </c>
      <c r="Q76" s="34">
        <f t="shared" si="26"/>
        <v>0.57541766109779646</v>
      </c>
      <c r="R76" s="1">
        <v>28</v>
      </c>
    </row>
    <row r="77" spans="1:18" ht="24" customHeight="1">
      <c r="A77" s="81">
        <v>29</v>
      </c>
      <c r="B77" s="31" t="s">
        <v>75</v>
      </c>
      <c r="C77" s="104">
        <v>299035.40000000002</v>
      </c>
      <c r="D77" s="104">
        <v>299168.90000000002</v>
      </c>
      <c r="E77" s="104">
        <f t="shared" si="19"/>
        <v>133.5</v>
      </c>
      <c r="F77" s="110">
        <v>21506</v>
      </c>
      <c r="G77" s="111">
        <v>205.63</v>
      </c>
      <c r="H77" s="10">
        <f t="shared" si="20"/>
        <v>0.64922433497057819</v>
      </c>
      <c r="I77" s="104">
        <v>299285.8</v>
      </c>
      <c r="J77" s="106">
        <f t="shared" si="21"/>
        <v>116.89999999996508</v>
      </c>
      <c r="K77" s="110">
        <v>21528</v>
      </c>
      <c r="L77" s="107">
        <f t="shared" si="22"/>
        <v>22</v>
      </c>
      <c r="M77" s="112">
        <v>190</v>
      </c>
      <c r="N77" s="28">
        <f t="shared" si="23"/>
        <v>0.61526315789455299</v>
      </c>
      <c r="O77" s="84">
        <f t="shared" si="24"/>
        <v>250.39999999996508</v>
      </c>
      <c r="P77" s="79">
        <f t="shared" si="25"/>
        <v>395.63</v>
      </c>
      <c r="Q77" s="34">
        <f t="shared" si="26"/>
        <v>0.6329145919166016</v>
      </c>
      <c r="R77" s="1">
        <v>33</v>
      </c>
    </row>
    <row r="78" spans="1:18" ht="24" customHeight="1">
      <c r="A78" s="81">
        <v>30</v>
      </c>
      <c r="B78" s="31" t="s">
        <v>76</v>
      </c>
      <c r="C78" s="104">
        <v>263849.90000000002</v>
      </c>
      <c r="D78" s="104">
        <v>263985.2</v>
      </c>
      <c r="E78" s="104">
        <f t="shared" si="19"/>
        <v>135.29999999998836</v>
      </c>
      <c r="F78" s="110">
        <v>19451</v>
      </c>
      <c r="G78" s="111">
        <v>206</v>
      </c>
      <c r="H78" s="10">
        <f t="shared" si="20"/>
        <v>0.65679611650479786</v>
      </c>
      <c r="I78" s="104">
        <v>264103.5</v>
      </c>
      <c r="J78" s="106">
        <f t="shared" si="21"/>
        <v>118.29999999998836</v>
      </c>
      <c r="K78" s="110">
        <v>19473</v>
      </c>
      <c r="L78" s="107">
        <f t="shared" si="22"/>
        <v>22</v>
      </c>
      <c r="M78" s="111">
        <v>209.92</v>
      </c>
      <c r="N78" s="28">
        <f t="shared" si="23"/>
        <v>0.56354801829262746</v>
      </c>
      <c r="O78" s="84">
        <f t="shared" si="24"/>
        <v>253.59999999997672</v>
      </c>
      <c r="P78" s="79">
        <f t="shared" si="25"/>
        <v>415.91999999999996</v>
      </c>
      <c r="Q78" s="34">
        <f t="shared" si="26"/>
        <v>0.60973264089242341</v>
      </c>
      <c r="R78" s="1">
        <v>30</v>
      </c>
    </row>
    <row r="79" spans="1:18" ht="24" customHeight="1">
      <c r="A79" s="81">
        <v>31</v>
      </c>
      <c r="B79" s="31" t="s">
        <v>77</v>
      </c>
      <c r="C79" s="83">
        <v>261946.6</v>
      </c>
      <c r="D79" s="83">
        <v>262082.4</v>
      </c>
      <c r="E79" s="104">
        <f t="shared" si="19"/>
        <v>135.79999999998836</v>
      </c>
      <c r="F79" s="110">
        <v>19157</v>
      </c>
      <c r="G79" s="111">
        <v>234</v>
      </c>
      <c r="H79" s="10">
        <f t="shared" si="20"/>
        <v>0.58034188034183054</v>
      </c>
      <c r="I79" s="83">
        <v>262195.3</v>
      </c>
      <c r="J79" s="106">
        <f t="shared" si="21"/>
        <v>112.89999999999418</v>
      </c>
      <c r="K79" s="110">
        <v>19177</v>
      </c>
      <c r="L79" s="107">
        <f>K79-F79</f>
        <v>20</v>
      </c>
      <c r="M79" s="111">
        <v>191</v>
      </c>
      <c r="N79" s="28">
        <f t="shared" si="23"/>
        <v>0.59109947643976013</v>
      </c>
      <c r="O79" s="84">
        <f t="shared" si="24"/>
        <v>248.69999999998254</v>
      </c>
      <c r="P79" s="79">
        <f t="shared" si="25"/>
        <v>425</v>
      </c>
      <c r="Q79" s="34">
        <f t="shared" si="26"/>
        <v>0.58517647058819422</v>
      </c>
      <c r="R79" s="1">
        <v>35</v>
      </c>
    </row>
    <row r="80" spans="1:18" ht="24" customHeight="1">
      <c r="A80" s="81">
        <v>32</v>
      </c>
      <c r="B80" s="31" t="s">
        <v>78</v>
      </c>
      <c r="C80" s="104">
        <v>287730.3</v>
      </c>
      <c r="D80" s="104">
        <v>287835.3</v>
      </c>
      <c r="E80" s="104">
        <f t="shared" si="19"/>
        <v>105</v>
      </c>
      <c r="F80" s="110">
        <v>20750</v>
      </c>
      <c r="G80" s="111">
        <v>179</v>
      </c>
      <c r="H80" s="10">
        <f t="shared" si="20"/>
        <v>0.58659217877094971</v>
      </c>
      <c r="I80" s="104">
        <v>287956.90000000002</v>
      </c>
      <c r="J80" s="106">
        <f t="shared" si="21"/>
        <v>121.60000000003492</v>
      </c>
      <c r="K80" s="110">
        <v>20770</v>
      </c>
      <c r="L80" s="107">
        <f t="shared" si="22"/>
        <v>20</v>
      </c>
      <c r="M80" s="111">
        <v>178</v>
      </c>
      <c r="N80" s="28">
        <f t="shared" si="23"/>
        <v>0.68314606741592654</v>
      </c>
      <c r="O80" s="84">
        <f t="shared" si="24"/>
        <v>226.60000000003492</v>
      </c>
      <c r="P80" s="79">
        <f t="shared" si="25"/>
        <v>357</v>
      </c>
      <c r="Q80" s="34">
        <f t="shared" si="26"/>
        <v>0.63473389355752075</v>
      </c>
      <c r="R80" s="1">
        <v>35</v>
      </c>
    </row>
    <row r="81" spans="1:19" ht="24" customHeight="1">
      <c r="A81" s="81">
        <v>33</v>
      </c>
      <c r="B81" s="31" t="s">
        <v>79</v>
      </c>
      <c r="C81" s="104">
        <v>302462.3</v>
      </c>
      <c r="D81" s="104">
        <v>302579.7</v>
      </c>
      <c r="E81" s="104">
        <f t="shared" si="19"/>
        <v>117.40000000002328</v>
      </c>
      <c r="F81" s="110">
        <v>21481</v>
      </c>
      <c r="G81" s="111">
        <v>210</v>
      </c>
      <c r="H81" s="10">
        <f t="shared" si="20"/>
        <v>0.55904761904772993</v>
      </c>
      <c r="I81" s="104">
        <v>302686.7</v>
      </c>
      <c r="J81" s="106">
        <f t="shared" si="21"/>
        <v>107</v>
      </c>
      <c r="K81" s="110">
        <v>21502</v>
      </c>
      <c r="L81" s="107">
        <f t="shared" si="22"/>
        <v>21</v>
      </c>
      <c r="M81" s="111">
        <v>186</v>
      </c>
      <c r="N81" s="28">
        <f t="shared" si="23"/>
        <v>0.57526881720430112</v>
      </c>
      <c r="O81" s="84">
        <f t="shared" si="24"/>
        <v>224.40000000002328</v>
      </c>
      <c r="P81" s="79">
        <f t="shared" si="25"/>
        <v>396</v>
      </c>
      <c r="Q81" s="34">
        <f t="shared" si="26"/>
        <v>0.56666666666672549</v>
      </c>
      <c r="R81" s="1">
        <v>28</v>
      </c>
    </row>
    <row r="82" spans="1:19" ht="24" customHeight="1">
      <c r="A82" s="81">
        <v>34</v>
      </c>
      <c r="B82" s="31" t="s">
        <v>163</v>
      </c>
      <c r="C82" s="104">
        <v>243336.1</v>
      </c>
      <c r="D82" s="104">
        <v>243421.6</v>
      </c>
      <c r="E82" s="104">
        <f t="shared" si="19"/>
        <v>85.5</v>
      </c>
      <c r="F82" s="110">
        <v>18161</v>
      </c>
      <c r="G82" s="111">
        <v>131</v>
      </c>
      <c r="H82" s="10">
        <f t="shared" si="20"/>
        <v>0.65267175572519087</v>
      </c>
      <c r="I82" s="104">
        <v>243515.1</v>
      </c>
      <c r="J82" s="106">
        <f t="shared" si="21"/>
        <v>93.5</v>
      </c>
      <c r="K82" s="110">
        <v>18178</v>
      </c>
      <c r="L82" s="107">
        <f t="shared" si="22"/>
        <v>17</v>
      </c>
      <c r="M82" s="111">
        <v>153</v>
      </c>
      <c r="N82" s="28">
        <f t="shared" si="23"/>
        <v>0.61111111111111116</v>
      </c>
      <c r="O82" s="84">
        <f t="shared" si="24"/>
        <v>179</v>
      </c>
      <c r="P82" s="79">
        <f t="shared" si="25"/>
        <v>284</v>
      </c>
      <c r="Q82" s="34">
        <f t="shared" si="26"/>
        <v>0.63028169014084512</v>
      </c>
      <c r="R82" s="1">
        <v>21</v>
      </c>
    </row>
    <row r="83" spans="1:19" ht="24" customHeight="1">
      <c r="A83" s="81">
        <v>35</v>
      </c>
      <c r="B83" s="31" t="s">
        <v>164</v>
      </c>
      <c r="C83" s="104">
        <v>242864</v>
      </c>
      <c r="D83" s="104">
        <v>242980.5</v>
      </c>
      <c r="E83" s="104">
        <f t="shared" si="19"/>
        <v>116.5</v>
      </c>
      <c r="F83" s="110">
        <v>18135</v>
      </c>
      <c r="G83" s="111">
        <v>210</v>
      </c>
      <c r="H83" s="10">
        <f t="shared" si="20"/>
        <v>0.55476190476190479</v>
      </c>
      <c r="I83" s="104">
        <v>243086.3</v>
      </c>
      <c r="J83" s="106">
        <f t="shared" si="21"/>
        <v>105.79999999998836</v>
      </c>
      <c r="K83" s="110">
        <v>18155</v>
      </c>
      <c r="L83" s="107">
        <f t="shared" si="22"/>
        <v>20</v>
      </c>
      <c r="M83" s="111">
        <v>160</v>
      </c>
      <c r="N83" s="28">
        <f t="shared" si="23"/>
        <v>0.66124999999992728</v>
      </c>
      <c r="O83" s="84">
        <f t="shared" si="24"/>
        <v>222.29999999998836</v>
      </c>
      <c r="P83" s="79">
        <f t="shared" si="25"/>
        <v>370</v>
      </c>
      <c r="Q83" s="34">
        <f t="shared" si="26"/>
        <v>0.60081081081077936</v>
      </c>
      <c r="R83" s="1">
        <v>25</v>
      </c>
    </row>
    <row r="84" spans="1:19" ht="24" customHeight="1">
      <c r="A84" s="81">
        <v>36</v>
      </c>
      <c r="B84" s="31" t="s">
        <v>165</v>
      </c>
      <c r="C84" s="104">
        <v>249637.6</v>
      </c>
      <c r="D84" s="104">
        <v>249765.5</v>
      </c>
      <c r="E84" s="104">
        <f t="shared" si="19"/>
        <v>127.89999999999418</v>
      </c>
      <c r="F84" s="110">
        <v>17764</v>
      </c>
      <c r="G84" s="111">
        <v>219</v>
      </c>
      <c r="H84" s="10">
        <f t="shared" si="20"/>
        <v>0.58401826484015606</v>
      </c>
      <c r="I84" s="104">
        <v>249902.7</v>
      </c>
      <c r="J84" s="106">
        <f t="shared" si="21"/>
        <v>137.20000000001164</v>
      </c>
      <c r="K84" s="110">
        <v>17784</v>
      </c>
      <c r="L84" s="107">
        <f t="shared" si="22"/>
        <v>20</v>
      </c>
      <c r="M84" s="112">
        <v>170</v>
      </c>
      <c r="N84" s="28">
        <f t="shared" si="23"/>
        <v>0.80705882352948022</v>
      </c>
      <c r="O84" s="84">
        <f t="shared" si="24"/>
        <v>265.10000000000582</v>
      </c>
      <c r="P84" s="79">
        <f t="shared" si="25"/>
        <v>389</v>
      </c>
      <c r="Q84" s="34">
        <f t="shared" si="26"/>
        <v>0.68149100257070905</v>
      </c>
      <c r="R84" s="1">
        <v>33</v>
      </c>
    </row>
    <row r="85" spans="1:19" ht="24" customHeight="1">
      <c r="A85" s="81">
        <v>37</v>
      </c>
      <c r="B85" s="31" t="s">
        <v>83</v>
      </c>
      <c r="C85" s="104">
        <v>258213.2</v>
      </c>
      <c r="D85" s="104">
        <v>258336.3</v>
      </c>
      <c r="E85" s="104">
        <f t="shared" si="19"/>
        <v>123.09999999997672</v>
      </c>
      <c r="F85" s="110">
        <v>18294</v>
      </c>
      <c r="G85" s="111">
        <v>211.58</v>
      </c>
      <c r="H85" s="10">
        <f t="shared" si="20"/>
        <v>0.58181302580573169</v>
      </c>
      <c r="I85" s="104">
        <v>258458.4</v>
      </c>
      <c r="J85" s="106">
        <f t="shared" si="21"/>
        <v>122.10000000000582</v>
      </c>
      <c r="K85" s="110">
        <v>18316</v>
      </c>
      <c r="L85" s="107">
        <f t="shared" si="22"/>
        <v>22</v>
      </c>
      <c r="M85" s="112">
        <v>168</v>
      </c>
      <c r="N85" s="28">
        <f t="shared" si="23"/>
        <v>0.7267857142857489</v>
      </c>
      <c r="O85" s="84">
        <f t="shared" si="24"/>
        <v>245.19999999998254</v>
      </c>
      <c r="P85" s="79">
        <f t="shared" si="25"/>
        <v>379.58000000000004</v>
      </c>
      <c r="Q85" s="34">
        <f t="shared" si="26"/>
        <v>0.64597713262021839</v>
      </c>
      <c r="R85" s="1">
        <v>35</v>
      </c>
    </row>
    <row r="86" spans="1:19" ht="24" customHeight="1">
      <c r="A86" s="81">
        <v>38</v>
      </c>
      <c r="B86" s="31" t="s">
        <v>84</v>
      </c>
      <c r="C86" s="104">
        <v>269566.8</v>
      </c>
      <c r="D86" s="104">
        <v>269717.09999999998</v>
      </c>
      <c r="E86" s="104">
        <f t="shared" si="19"/>
        <v>150.29999999998836</v>
      </c>
      <c r="F86" s="110">
        <v>17658</v>
      </c>
      <c r="G86" s="111">
        <v>205.53</v>
      </c>
      <c r="H86" s="10">
        <f t="shared" si="20"/>
        <v>0.73128010509409025</v>
      </c>
      <c r="I86" s="104">
        <v>269785.40000000002</v>
      </c>
      <c r="J86" s="106">
        <f t="shared" si="21"/>
        <v>68.300000000046566</v>
      </c>
      <c r="K86" s="110">
        <v>17676</v>
      </c>
      <c r="L86" s="107">
        <f t="shared" si="22"/>
        <v>18</v>
      </c>
      <c r="M86" s="112">
        <v>99</v>
      </c>
      <c r="N86" s="28">
        <f t="shared" si="23"/>
        <v>0.6898989898994603</v>
      </c>
      <c r="O86" s="84">
        <f t="shared" si="24"/>
        <v>218.60000000003492</v>
      </c>
      <c r="P86" s="79">
        <f t="shared" si="25"/>
        <v>304.52999999999997</v>
      </c>
      <c r="Q86" s="34">
        <f t="shared" si="26"/>
        <v>0.71782747184196938</v>
      </c>
      <c r="R86" s="1">
        <v>31</v>
      </c>
    </row>
    <row r="87" spans="1:19" ht="24" customHeight="1">
      <c r="A87" s="81">
        <v>39</v>
      </c>
      <c r="B87" s="31" t="s">
        <v>85</v>
      </c>
      <c r="C87" s="35">
        <v>277694.59999999998</v>
      </c>
      <c r="D87" s="35">
        <v>277823.8</v>
      </c>
      <c r="E87" s="104">
        <f t="shared" si="19"/>
        <v>129.20000000001164</v>
      </c>
      <c r="F87" s="110">
        <v>19575</v>
      </c>
      <c r="G87" s="111">
        <v>214</v>
      </c>
      <c r="H87" s="10">
        <f t="shared" si="20"/>
        <v>0.60373831775706377</v>
      </c>
      <c r="I87" s="35">
        <v>277934.5</v>
      </c>
      <c r="J87" s="106">
        <f t="shared" si="21"/>
        <v>110.70000000001164</v>
      </c>
      <c r="K87" s="110">
        <v>19596</v>
      </c>
      <c r="L87" s="107">
        <f t="shared" si="22"/>
        <v>21</v>
      </c>
      <c r="M87" s="112">
        <v>178</v>
      </c>
      <c r="N87" s="28">
        <f t="shared" si="23"/>
        <v>0.62191011235961602</v>
      </c>
      <c r="O87" s="84">
        <f t="shared" si="24"/>
        <v>239.90000000002328</v>
      </c>
      <c r="P87" s="79">
        <f t="shared" si="25"/>
        <v>392</v>
      </c>
      <c r="Q87" s="34">
        <f t="shared" si="26"/>
        <v>0.61198979591842673</v>
      </c>
      <c r="R87" s="1">
        <v>29</v>
      </c>
    </row>
    <row r="88" spans="1:19" ht="24" customHeight="1">
      <c r="A88" s="81">
        <v>40</v>
      </c>
      <c r="B88" s="31" t="s">
        <v>86</v>
      </c>
      <c r="C88" s="104">
        <v>248634</v>
      </c>
      <c r="D88" s="104">
        <v>248766.3</v>
      </c>
      <c r="E88" s="104">
        <f t="shared" si="19"/>
        <v>132.29999999998836</v>
      </c>
      <c r="F88" s="110">
        <v>17649</v>
      </c>
      <c r="G88" s="111">
        <v>211</v>
      </c>
      <c r="H88" s="10">
        <f t="shared" si="20"/>
        <v>0.62701421800942347</v>
      </c>
      <c r="I88" s="104">
        <v>248861.7</v>
      </c>
      <c r="J88" s="106">
        <f t="shared" si="21"/>
        <v>95.400000000023283</v>
      </c>
      <c r="K88" s="110">
        <v>17667</v>
      </c>
      <c r="L88" s="107">
        <f t="shared" si="22"/>
        <v>18</v>
      </c>
      <c r="M88" s="112">
        <v>150</v>
      </c>
      <c r="N88" s="28">
        <f t="shared" si="23"/>
        <v>0.63600000000015522</v>
      </c>
      <c r="O88" s="84">
        <f t="shared" si="24"/>
        <v>227.70000000001164</v>
      </c>
      <c r="P88" s="79">
        <f t="shared" si="25"/>
        <v>361</v>
      </c>
      <c r="Q88" s="34">
        <f t="shared" si="26"/>
        <v>0.63074792243770539</v>
      </c>
      <c r="R88" s="1">
        <v>26</v>
      </c>
    </row>
    <row r="89" spans="1:19" ht="24" customHeight="1">
      <c r="A89" s="81">
        <v>41</v>
      </c>
      <c r="B89" s="31" t="s">
        <v>87</v>
      </c>
      <c r="C89" s="104">
        <v>277402.59999999998</v>
      </c>
      <c r="D89" s="104">
        <v>277520.7</v>
      </c>
      <c r="E89" s="104">
        <f t="shared" si="19"/>
        <v>118.10000000003492</v>
      </c>
      <c r="F89" s="110">
        <v>19138</v>
      </c>
      <c r="G89" s="111">
        <v>189</v>
      </c>
      <c r="H89" s="10">
        <f t="shared" si="20"/>
        <v>0.62486772486790965</v>
      </c>
      <c r="I89" s="104">
        <v>277586.5</v>
      </c>
      <c r="J89" s="106">
        <f t="shared" si="21"/>
        <v>65.799999999988358</v>
      </c>
      <c r="K89" s="110">
        <v>19155</v>
      </c>
      <c r="L89" s="107">
        <f t="shared" si="22"/>
        <v>17</v>
      </c>
      <c r="M89" s="111">
        <v>97</v>
      </c>
      <c r="N89" s="28">
        <f t="shared" si="23"/>
        <v>0.67835051546379754</v>
      </c>
      <c r="O89" s="84">
        <f t="shared" si="24"/>
        <v>183.90000000002328</v>
      </c>
      <c r="P89" s="79">
        <f t="shared" si="25"/>
        <v>286</v>
      </c>
      <c r="Q89" s="34">
        <f t="shared" si="26"/>
        <v>0.64300699300707442</v>
      </c>
      <c r="R89" s="1">
        <v>21</v>
      </c>
    </row>
    <row r="90" spans="1:19" ht="24" customHeight="1">
      <c r="A90" s="81">
        <v>42</v>
      </c>
      <c r="B90" s="31" t="s">
        <v>88</v>
      </c>
      <c r="C90" s="104">
        <v>273272.90000000002</v>
      </c>
      <c r="D90" s="104">
        <v>273412.7</v>
      </c>
      <c r="E90" s="104">
        <f t="shared" si="19"/>
        <v>139.79999999998836</v>
      </c>
      <c r="F90" s="110">
        <v>18519</v>
      </c>
      <c r="G90" s="111">
        <v>209</v>
      </c>
      <c r="H90" s="10">
        <f t="shared" si="20"/>
        <v>0.66889952153104482</v>
      </c>
      <c r="I90" s="104">
        <v>273519</v>
      </c>
      <c r="J90" s="106">
        <f t="shared" si="21"/>
        <v>106.29999999998836</v>
      </c>
      <c r="K90" s="110">
        <v>18540</v>
      </c>
      <c r="L90" s="107">
        <f t="shared" si="22"/>
        <v>21</v>
      </c>
      <c r="M90" s="111">
        <v>171</v>
      </c>
      <c r="N90" s="28">
        <f t="shared" si="23"/>
        <v>0.62163742690051671</v>
      </c>
      <c r="O90" s="84">
        <f t="shared" si="24"/>
        <v>246.09999999997672</v>
      </c>
      <c r="P90" s="79">
        <f t="shared" si="25"/>
        <v>380</v>
      </c>
      <c r="Q90" s="34">
        <f t="shared" si="26"/>
        <v>0.64763157894730716</v>
      </c>
      <c r="R90" s="1">
        <v>30</v>
      </c>
    </row>
    <row r="91" spans="1:19" ht="24" customHeight="1">
      <c r="A91" s="81">
        <v>43</v>
      </c>
      <c r="B91" s="31" t="s">
        <v>89</v>
      </c>
      <c r="C91" s="35">
        <v>265676.09999999998</v>
      </c>
      <c r="D91" s="35">
        <v>265818.7</v>
      </c>
      <c r="E91" s="104">
        <f t="shared" si="19"/>
        <v>142.60000000003492</v>
      </c>
      <c r="F91" s="110">
        <v>18184</v>
      </c>
      <c r="G91" s="111">
        <v>210</v>
      </c>
      <c r="H91" s="10">
        <f t="shared" si="20"/>
        <v>0.67904761904778532</v>
      </c>
      <c r="I91" s="35">
        <v>265918.8</v>
      </c>
      <c r="J91" s="106">
        <f t="shared" si="21"/>
        <v>100.09999999997672</v>
      </c>
      <c r="K91" s="110">
        <v>18205</v>
      </c>
      <c r="L91" s="107">
        <f t="shared" si="22"/>
        <v>21</v>
      </c>
      <c r="M91" s="111">
        <v>170</v>
      </c>
      <c r="N91" s="28">
        <f t="shared" si="23"/>
        <v>0.58882352941162774</v>
      </c>
      <c r="O91" s="84">
        <f t="shared" si="24"/>
        <v>242.70000000001164</v>
      </c>
      <c r="P91" s="79">
        <f t="shared" si="25"/>
        <v>380</v>
      </c>
      <c r="Q91" s="34">
        <f t="shared" si="26"/>
        <v>0.63868421052634639</v>
      </c>
      <c r="R91" s="1">
        <v>20</v>
      </c>
    </row>
    <row r="92" spans="1:19" ht="24" customHeight="1">
      <c r="A92" s="81">
        <v>44</v>
      </c>
      <c r="B92" s="31" t="s">
        <v>90</v>
      </c>
      <c r="C92" s="104">
        <v>243123.20000000001</v>
      </c>
      <c r="D92" s="104">
        <v>243261.8</v>
      </c>
      <c r="E92" s="104">
        <f t="shared" si="19"/>
        <v>138.59999999997672</v>
      </c>
      <c r="F92" s="110">
        <v>17510</v>
      </c>
      <c r="G92" s="111">
        <v>222</v>
      </c>
      <c r="H92" s="10">
        <f>IFERROR(E92/G92,0)</f>
        <v>0.62432432432421947</v>
      </c>
      <c r="I92" s="104">
        <v>243332</v>
      </c>
      <c r="J92" s="106">
        <f t="shared" si="21"/>
        <v>70.200000000011642</v>
      </c>
      <c r="K92" s="110">
        <v>17528</v>
      </c>
      <c r="L92" s="107">
        <f t="shared" si="22"/>
        <v>18</v>
      </c>
      <c r="M92" s="111">
        <v>105.18</v>
      </c>
      <c r="N92" s="28">
        <f t="shared" si="23"/>
        <v>0.66742726754146831</v>
      </c>
      <c r="O92" s="84">
        <f t="shared" si="24"/>
        <v>208.79999999998836</v>
      </c>
      <c r="P92" s="79">
        <f t="shared" si="25"/>
        <v>327.18</v>
      </c>
      <c r="Q92" s="34">
        <f t="shared" si="26"/>
        <v>0.638180817898369</v>
      </c>
      <c r="R92" s="1">
        <v>27</v>
      </c>
    </row>
    <row r="93" spans="1:19" ht="24" customHeight="1">
      <c r="A93" s="81">
        <v>45</v>
      </c>
      <c r="B93" s="31" t="s">
        <v>91</v>
      </c>
      <c r="C93" s="104">
        <v>254153.9</v>
      </c>
      <c r="D93" s="104">
        <v>254153.9</v>
      </c>
      <c r="E93" s="104">
        <f t="shared" si="19"/>
        <v>0</v>
      </c>
      <c r="F93" s="110">
        <v>17731</v>
      </c>
      <c r="G93" s="111">
        <v>0</v>
      </c>
      <c r="H93" s="10">
        <f t="shared" si="20"/>
        <v>0</v>
      </c>
      <c r="I93" s="104">
        <v>254153.9</v>
      </c>
      <c r="J93" s="106">
        <f t="shared" si="21"/>
        <v>0</v>
      </c>
      <c r="K93" s="110">
        <v>17731</v>
      </c>
      <c r="L93" s="107">
        <f t="shared" si="22"/>
        <v>0</v>
      </c>
      <c r="M93" s="111">
        <v>0</v>
      </c>
      <c r="N93" s="28">
        <f t="shared" si="23"/>
        <v>0</v>
      </c>
      <c r="O93" s="84">
        <f t="shared" si="24"/>
        <v>0</v>
      </c>
      <c r="P93" s="79">
        <f t="shared" si="25"/>
        <v>0</v>
      </c>
      <c r="Q93" s="34">
        <f t="shared" si="26"/>
        <v>0</v>
      </c>
      <c r="R93" s="1">
        <v>0</v>
      </c>
    </row>
    <row r="94" spans="1:19" ht="24" customHeight="1">
      <c r="A94" s="81">
        <v>46</v>
      </c>
      <c r="B94" s="31" t="s">
        <v>92</v>
      </c>
      <c r="C94" s="35">
        <v>237108</v>
      </c>
      <c r="D94" s="35">
        <v>237192.9</v>
      </c>
      <c r="E94" s="104">
        <f>D94-C94</f>
        <v>84.899999999994179</v>
      </c>
      <c r="F94" s="110">
        <v>17149</v>
      </c>
      <c r="G94" s="111">
        <v>154.54</v>
      </c>
      <c r="H94" s="10">
        <f t="shared" si="20"/>
        <v>0.54937233078810788</v>
      </c>
      <c r="I94" s="35">
        <v>237289.2</v>
      </c>
      <c r="J94" s="106">
        <f>I94-D94</f>
        <v>96.300000000017462</v>
      </c>
      <c r="K94" s="110">
        <v>17166</v>
      </c>
      <c r="L94" s="107">
        <f t="shared" si="22"/>
        <v>17</v>
      </c>
      <c r="M94" s="111">
        <v>171</v>
      </c>
      <c r="N94" s="28">
        <f t="shared" si="23"/>
        <v>0.56315789473694422</v>
      </c>
      <c r="O94" s="84">
        <f t="shared" si="24"/>
        <v>181.20000000001164</v>
      </c>
      <c r="P94" s="79">
        <f>G94+M94</f>
        <v>325.53999999999996</v>
      </c>
      <c r="Q94" s="34">
        <f t="shared" si="26"/>
        <v>0.55661362658970226</v>
      </c>
      <c r="R94" s="1">
        <v>30</v>
      </c>
    </row>
    <row r="95" spans="1:19" ht="24" customHeight="1">
      <c r="A95" s="81">
        <v>47</v>
      </c>
      <c r="B95" s="31" t="s">
        <v>93</v>
      </c>
      <c r="C95" s="104">
        <v>245432.7</v>
      </c>
      <c r="D95" s="104">
        <v>245518.2</v>
      </c>
      <c r="E95" s="104">
        <f>D95-C95</f>
        <v>85.5</v>
      </c>
      <c r="F95" s="110">
        <v>16634</v>
      </c>
      <c r="G95" s="111">
        <v>146</v>
      </c>
      <c r="H95" s="10">
        <f t="shared" si="20"/>
        <v>0.58561643835616439</v>
      </c>
      <c r="I95" s="104">
        <v>245616.6</v>
      </c>
      <c r="J95" s="106">
        <f>I95-D95</f>
        <v>98.399999999994179</v>
      </c>
      <c r="K95" s="110">
        <v>16650</v>
      </c>
      <c r="L95" s="107">
        <f t="shared" si="22"/>
        <v>16</v>
      </c>
      <c r="M95" s="111">
        <v>160</v>
      </c>
      <c r="N95" s="28">
        <f t="shared" si="23"/>
        <v>0.61499999999996358</v>
      </c>
      <c r="O95" s="84">
        <f t="shared" si="24"/>
        <v>183.89999999999418</v>
      </c>
      <c r="P95" s="79">
        <f t="shared" si="25"/>
        <v>306</v>
      </c>
      <c r="Q95" s="34">
        <f t="shared" si="26"/>
        <v>0.60098039215684373</v>
      </c>
      <c r="R95" s="1">
        <v>32</v>
      </c>
      <c r="S95" t="s">
        <v>94</v>
      </c>
    </row>
    <row r="96" spans="1:19" ht="24" customHeight="1">
      <c r="A96" s="81">
        <v>48</v>
      </c>
      <c r="B96" s="31" t="s">
        <v>95</v>
      </c>
      <c r="C96" s="104">
        <v>242403.1</v>
      </c>
      <c r="D96" s="104">
        <v>242555.3</v>
      </c>
      <c r="E96" s="104">
        <f t="shared" si="19"/>
        <v>152.19999999998254</v>
      </c>
      <c r="F96" s="110">
        <v>18068</v>
      </c>
      <c r="G96" s="111">
        <v>238</v>
      </c>
      <c r="H96" s="10">
        <f t="shared" si="20"/>
        <v>0.6394957983192544</v>
      </c>
      <c r="I96" s="104">
        <v>242675.5</v>
      </c>
      <c r="J96" s="106">
        <f t="shared" si="21"/>
        <v>120.20000000001164</v>
      </c>
      <c r="K96" s="110">
        <v>18087</v>
      </c>
      <c r="L96" s="107">
        <f t="shared" si="22"/>
        <v>19</v>
      </c>
      <c r="M96" s="111">
        <v>196</v>
      </c>
      <c r="N96" s="28">
        <f t="shared" si="23"/>
        <v>0.6132653061225084</v>
      </c>
      <c r="O96" s="84">
        <f t="shared" si="24"/>
        <v>272.39999999999418</v>
      </c>
      <c r="P96" s="79">
        <f t="shared" si="25"/>
        <v>434</v>
      </c>
      <c r="Q96" s="34">
        <f t="shared" si="26"/>
        <v>0.62764976958523999</v>
      </c>
      <c r="R96" s="1">
        <v>35</v>
      </c>
    </row>
    <row r="97" spans="1:18" ht="24" customHeight="1">
      <c r="A97" s="81">
        <v>49</v>
      </c>
      <c r="B97" s="31" t="s">
        <v>96</v>
      </c>
      <c r="C97" s="35">
        <v>247037.3</v>
      </c>
      <c r="D97" s="35">
        <v>247177.7</v>
      </c>
      <c r="E97" s="104">
        <f t="shared" si="19"/>
        <v>140.40000000002328</v>
      </c>
      <c r="F97" s="110">
        <v>17748</v>
      </c>
      <c r="G97" s="111">
        <v>218.62</v>
      </c>
      <c r="H97" s="10">
        <f>IFERROR(E97/G97,0)</f>
        <v>0.64221022779262316</v>
      </c>
      <c r="I97" s="35">
        <v>247277.7</v>
      </c>
      <c r="J97" s="106">
        <f t="shared" si="21"/>
        <v>100</v>
      </c>
      <c r="K97" s="110">
        <v>17767</v>
      </c>
      <c r="L97" s="107">
        <f t="shared" si="22"/>
        <v>19</v>
      </c>
      <c r="M97" s="111">
        <v>131</v>
      </c>
      <c r="N97" s="28">
        <f t="shared" si="23"/>
        <v>0.76335877862595425</v>
      </c>
      <c r="O97" s="84">
        <f t="shared" si="24"/>
        <v>240.40000000002328</v>
      </c>
      <c r="P97" s="79">
        <f t="shared" si="25"/>
        <v>349.62</v>
      </c>
      <c r="Q97" s="34">
        <f t="shared" si="26"/>
        <v>0.68760368399983773</v>
      </c>
      <c r="R97" s="1">
        <v>33</v>
      </c>
    </row>
    <row r="98" spans="1:18" ht="24" customHeight="1">
      <c r="A98" s="81">
        <v>50</v>
      </c>
      <c r="B98" s="31" t="s">
        <v>97</v>
      </c>
      <c r="C98" s="104">
        <v>235561.5</v>
      </c>
      <c r="D98" s="104">
        <v>235604.4</v>
      </c>
      <c r="E98" s="104">
        <f t="shared" si="19"/>
        <v>42.899999999994179</v>
      </c>
      <c r="F98" s="110">
        <v>16271</v>
      </c>
      <c r="G98" s="111">
        <v>88</v>
      </c>
      <c r="H98" s="10">
        <f t="shared" si="20"/>
        <v>0.48749999999993388</v>
      </c>
      <c r="I98" s="104">
        <v>235744.9</v>
      </c>
      <c r="J98" s="106">
        <f t="shared" si="21"/>
        <v>140.5</v>
      </c>
      <c r="K98" s="110">
        <v>16285</v>
      </c>
      <c r="L98" s="107">
        <f t="shared" si="22"/>
        <v>14</v>
      </c>
      <c r="M98" s="111">
        <v>218</v>
      </c>
      <c r="N98" s="28">
        <f t="shared" si="23"/>
        <v>0.64449541284403666</v>
      </c>
      <c r="O98" s="84">
        <f t="shared" si="24"/>
        <v>183.39999999999418</v>
      </c>
      <c r="P98" s="79">
        <f t="shared" si="25"/>
        <v>306</v>
      </c>
      <c r="Q98" s="34">
        <f t="shared" si="26"/>
        <v>0.59934640522873917</v>
      </c>
      <c r="R98" s="1">
        <v>42</v>
      </c>
    </row>
    <row r="99" spans="1:18" ht="24" customHeight="1">
      <c r="A99" s="81">
        <v>51</v>
      </c>
      <c r="B99" s="121" t="s">
        <v>166</v>
      </c>
      <c r="C99" s="104">
        <v>204670</v>
      </c>
      <c r="D99" s="104">
        <v>204670</v>
      </c>
      <c r="E99" s="118">
        <f t="shared" si="19"/>
        <v>0</v>
      </c>
      <c r="F99" s="110">
        <v>17434</v>
      </c>
      <c r="G99" s="111">
        <v>0</v>
      </c>
      <c r="H99" s="55">
        <f t="shared" si="20"/>
        <v>0</v>
      </c>
      <c r="I99" s="104">
        <v>204670</v>
      </c>
      <c r="J99" s="119">
        <f t="shared" si="21"/>
        <v>0</v>
      </c>
      <c r="K99" s="110">
        <v>17434</v>
      </c>
      <c r="L99" s="120">
        <f t="shared" si="22"/>
        <v>0</v>
      </c>
      <c r="M99" s="111">
        <v>0</v>
      </c>
      <c r="N99" s="28">
        <f t="shared" si="23"/>
        <v>0</v>
      </c>
      <c r="O99" s="58">
        <f t="shared" si="24"/>
        <v>0</v>
      </c>
      <c r="P99" s="79">
        <f t="shared" si="25"/>
        <v>0</v>
      </c>
      <c r="Q99" s="34">
        <f t="shared" si="26"/>
        <v>0</v>
      </c>
      <c r="R99" s="1">
        <v>0</v>
      </c>
    </row>
    <row r="100" spans="1:18" ht="24" customHeight="1">
      <c r="A100" s="81">
        <v>52</v>
      </c>
      <c r="B100" s="121" t="s">
        <v>167</v>
      </c>
      <c r="C100" s="104">
        <v>186406</v>
      </c>
      <c r="D100" s="104">
        <v>186406</v>
      </c>
      <c r="E100" s="118">
        <f t="shared" si="19"/>
        <v>0</v>
      </c>
      <c r="F100" s="110">
        <v>16317</v>
      </c>
      <c r="G100" s="111">
        <v>0</v>
      </c>
      <c r="H100" s="55">
        <f t="shared" si="20"/>
        <v>0</v>
      </c>
      <c r="I100" s="104">
        <v>186406</v>
      </c>
      <c r="J100" s="119">
        <f t="shared" si="21"/>
        <v>0</v>
      </c>
      <c r="K100" s="110">
        <v>16317</v>
      </c>
      <c r="L100" s="120">
        <f t="shared" si="22"/>
        <v>0</v>
      </c>
      <c r="M100" s="111">
        <v>0</v>
      </c>
      <c r="N100" s="28">
        <f t="shared" si="23"/>
        <v>0</v>
      </c>
      <c r="O100" s="58">
        <f t="shared" si="24"/>
        <v>0</v>
      </c>
      <c r="P100" s="79">
        <f t="shared" si="25"/>
        <v>0</v>
      </c>
      <c r="Q100" s="34">
        <f t="shared" si="26"/>
        <v>0</v>
      </c>
      <c r="R100" s="1">
        <v>0</v>
      </c>
    </row>
    <row r="101" spans="1:18" ht="24" customHeight="1">
      <c r="A101" s="81">
        <v>53</v>
      </c>
      <c r="B101" s="121" t="s">
        <v>168</v>
      </c>
      <c r="C101" s="104">
        <v>190472</v>
      </c>
      <c r="D101" s="104">
        <v>190622</v>
      </c>
      <c r="E101" s="118">
        <f t="shared" si="19"/>
        <v>150</v>
      </c>
      <c r="F101" s="110">
        <v>17019</v>
      </c>
      <c r="G101" s="111">
        <v>208.2</v>
      </c>
      <c r="H101" s="55">
        <f t="shared" si="20"/>
        <v>0.72046109510086465</v>
      </c>
      <c r="I101" s="104">
        <v>190757</v>
      </c>
      <c r="J101" s="119">
        <f t="shared" si="21"/>
        <v>135</v>
      </c>
      <c r="K101" s="110">
        <v>17041</v>
      </c>
      <c r="L101" s="120">
        <f t="shared" si="22"/>
        <v>22</v>
      </c>
      <c r="M101" s="111">
        <v>211</v>
      </c>
      <c r="N101" s="28">
        <f t="shared" si="23"/>
        <v>0.6398104265402843</v>
      </c>
      <c r="O101" s="58">
        <f t="shared" si="24"/>
        <v>285</v>
      </c>
      <c r="P101" s="79">
        <f t="shared" si="25"/>
        <v>419.2</v>
      </c>
      <c r="Q101" s="34">
        <f t="shared" si="26"/>
        <v>0.67986641221374045</v>
      </c>
      <c r="R101" s="1">
        <v>36</v>
      </c>
    </row>
    <row r="102" spans="1:18" ht="24" customHeight="1">
      <c r="A102" s="81">
        <v>54</v>
      </c>
      <c r="B102" s="121" t="s">
        <v>169</v>
      </c>
      <c r="C102" s="104">
        <v>194681</v>
      </c>
      <c r="D102" s="104">
        <v>194814</v>
      </c>
      <c r="E102" s="118">
        <f t="shared" si="19"/>
        <v>133</v>
      </c>
      <c r="F102" s="110">
        <v>16504</v>
      </c>
      <c r="G102" s="111">
        <v>253</v>
      </c>
      <c r="H102" s="55">
        <f t="shared" si="20"/>
        <v>0.52569169960474305</v>
      </c>
      <c r="I102" s="104">
        <v>194926</v>
      </c>
      <c r="J102" s="119">
        <f t="shared" si="21"/>
        <v>112</v>
      </c>
      <c r="K102" s="110">
        <v>16522</v>
      </c>
      <c r="L102" s="120">
        <f t="shared" si="22"/>
        <v>18</v>
      </c>
      <c r="M102" s="111">
        <v>181</v>
      </c>
      <c r="N102" s="28">
        <f t="shared" si="23"/>
        <v>0.61878453038674031</v>
      </c>
      <c r="O102" s="58">
        <f t="shared" si="24"/>
        <v>245</v>
      </c>
      <c r="P102" s="79">
        <f t="shared" si="25"/>
        <v>434</v>
      </c>
      <c r="Q102" s="34">
        <f t="shared" si="26"/>
        <v>0.56451612903225812</v>
      </c>
      <c r="R102" s="1">
        <v>32</v>
      </c>
    </row>
    <row r="103" spans="1:18" ht="24" customHeight="1">
      <c r="A103" s="81">
        <v>55</v>
      </c>
      <c r="B103" s="121" t="s">
        <v>104</v>
      </c>
      <c r="C103" s="104">
        <v>69549.8</v>
      </c>
      <c r="D103" s="104">
        <v>69707</v>
      </c>
      <c r="E103" s="122">
        <f t="shared" si="19"/>
        <v>157.19999999999709</v>
      </c>
      <c r="F103" s="110">
        <v>4701</v>
      </c>
      <c r="G103" s="111">
        <v>250.72</v>
      </c>
      <c r="H103" s="78">
        <f t="shared" si="20"/>
        <v>0.62699425654114982</v>
      </c>
      <c r="I103" s="104">
        <v>69821.600000000006</v>
      </c>
      <c r="J103" s="112">
        <f t="shared" si="21"/>
        <v>114.60000000000582</v>
      </c>
      <c r="K103" s="110">
        <v>4721</v>
      </c>
      <c r="L103" s="107">
        <f t="shared" si="22"/>
        <v>20</v>
      </c>
      <c r="M103" s="111">
        <v>153</v>
      </c>
      <c r="N103" s="28">
        <f t="shared" si="23"/>
        <v>0.74901960784317534</v>
      </c>
      <c r="O103" s="58">
        <f t="shared" si="24"/>
        <v>271.80000000000291</v>
      </c>
      <c r="P103" s="79">
        <f t="shared" si="25"/>
        <v>403.72</v>
      </c>
      <c r="Q103" s="34">
        <f t="shared" si="26"/>
        <v>0.67323887843060259</v>
      </c>
      <c r="R103" s="1">
        <v>35</v>
      </c>
    </row>
    <row r="104" spans="1:18" ht="24" customHeight="1">
      <c r="A104" s="81">
        <v>56</v>
      </c>
      <c r="B104" s="121" t="s">
        <v>105</v>
      </c>
      <c r="C104" s="35">
        <v>68214.100000000006</v>
      </c>
      <c r="D104" s="35">
        <v>68365.600000000006</v>
      </c>
      <c r="E104" s="122">
        <f t="shared" si="19"/>
        <v>151.5</v>
      </c>
      <c r="F104" s="110">
        <v>4707</v>
      </c>
      <c r="G104" s="111">
        <v>220</v>
      </c>
      <c r="H104" s="78">
        <f t="shared" si="20"/>
        <v>0.6886363636363636</v>
      </c>
      <c r="I104" s="35">
        <v>68477.8</v>
      </c>
      <c r="J104" s="112">
        <f t="shared" si="21"/>
        <v>112.19999999999709</v>
      </c>
      <c r="K104" s="110">
        <v>4726</v>
      </c>
      <c r="L104" s="107">
        <f t="shared" si="22"/>
        <v>19</v>
      </c>
      <c r="M104" s="111">
        <v>177</v>
      </c>
      <c r="N104" s="28">
        <f t="shared" si="23"/>
        <v>0.63389830508472933</v>
      </c>
      <c r="O104" s="58">
        <f t="shared" si="24"/>
        <v>263.69999999999709</v>
      </c>
      <c r="P104" s="79">
        <f t="shared" si="25"/>
        <v>397</v>
      </c>
      <c r="Q104" s="34">
        <f t="shared" si="26"/>
        <v>0.66423173803525715</v>
      </c>
      <c r="R104" s="1">
        <v>34</v>
      </c>
    </row>
    <row r="105" spans="1:18" ht="24" customHeight="1">
      <c r="A105" s="81">
        <v>57</v>
      </c>
      <c r="B105" s="121" t="s">
        <v>106</v>
      </c>
      <c r="C105" s="104">
        <v>66198.600000000006</v>
      </c>
      <c r="D105" s="104">
        <v>66337.899999999994</v>
      </c>
      <c r="E105" s="122">
        <f t="shared" si="19"/>
        <v>139.29999999998836</v>
      </c>
      <c r="F105" s="110">
        <v>4731</v>
      </c>
      <c r="G105" s="111">
        <v>200</v>
      </c>
      <c r="H105" s="78">
        <f t="shared" si="20"/>
        <v>0.69649999999994183</v>
      </c>
      <c r="I105" s="104">
        <v>66477.600000000006</v>
      </c>
      <c r="J105" s="112">
        <f t="shared" si="21"/>
        <v>139.70000000001164</v>
      </c>
      <c r="K105" s="110">
        <v>4752</v>
      </c>
      <c r="L105" s="107">
        <f t="shared" si="22"/>
        <v>21</v>
      </c>
      <c r="M105" s="111">
        <v>222</v>
      </c>
      <c r="N105" s="28">
        <f t="shared" si="23"/>
        <v>0.62927927927933169</v>
      </c>
      <c r="O105" s="58">
        <f t="shared" si="24"/>
        <v>279</v>
      </c>
      <c r="P105" s="79">
        <f t="shared" si="25"/>
        <v>422</v>
      </c>
      <c r="Q105" s="34">
        <f t="shared" si="26"/>
        <v>0.66113744075829384</v>
      </c>
      <c r="R105" s="1">
        <v>33</v>
      </c>
    </row>
    <row r="106" spans="1:18" ht="24" customHeight="1">
      <c r="A106" s="81">
        <v>58</v>
      </c>
      <c r="B106" s="121" t="s">
        <v>107</v>
      </c>
      <c r="C106" s="104">
        <v>68442.5</v>
      </c>
      <c r="D106" s="104">
        <v>68585.8</v>
      </c>
      <c r="E106" s="122">
        <f t="shared" si="19"/>
        <v>143.30000000000291</v>
      </c>
      <c r="F106" s="110">
        <v>4730</v>
      </c>
      <c r="G106" s="111">
        <v>223</v>
      </c>
      <c r="H106" s="78">
        <f t="shared" si="20"/>
        <v>0.64260089686099964</v>
      </c>
      <c r="I106" s="104">
        <v>68697.2</v>
      </c>
      <c r="J106" s="112">
        <f t="shared" si="21"/>
        <v>111.39999999999418</v>
      </c>
      <c r="K106" s="110">
        <v>4749</v>
      </c>
      <c r="L106" s="107">
        <f t="shared" si="22"/>
        <v>19</v>
      </c>
      <c r="M106" s="111">
        <v>156</v>
      </c>
      <c r="N106" s="28">
        <f t="shared" si="23"/>
        <v>0.71410256410252682</v>
      </c>
      <c r="O106" s="58">
        <f t="shared" si="24"/>
        <v>254.69999999999709</v>
      </c>
      <c r="P106" s="79">
        <f t="shared" si="25"/>
        <v>379</v>
      </c>
      <c r="Q106" s="34">
        <f t="shared" si="26"/>
        <v>0.67203166226912159</v>
      </c>
      <c r="R106" s="1">
        <v>35</v>
      </c>
    </row>
    <row r="107" spans="1:18" ht="24" customHeight="1">
      <c r="A107" s="81">
        <v>59</v>
      </c>
      <c r="B107" s="121" t="s">
        <v>108</v>
      </c>
      <c r="C107" s="104">
        <v>67447.8</v>
      </c>
      <c r="D107" s="104">
        <v>67588.5</v>
      </c>
      <c r="E107" s="122">
        <f t="shared" si="19"/>
        <v>140.69999999999709</v>
      </c>
      <c r="F107" s="110">
        <v>4698</v>
      </c>
      <c r="G107" s="111">
        <v>220</v>
      </c>
      <c r="H107" s="78">
        <f t="shared" si="20"/>
        <v>0.63954545454544132</v>
      </c>
      <c r="I107" s="104">
        <v>67743.199999999997</v>
      </c>
      <c r="J107" s="112">
        <f t="shared" si="21"/>
        <v>154.69999999999709</v>
      </c>
      <c r="K107" s="110">
        <v>4720</v>
      </c>
      <c r="L107" s="107">
        <f t="shared" si="22"/>
        <v>22</v>
      </c>
      <c r="M107" s="111">
        <v>247</v>
      </c>
      <c r="N107" s="28">
        <f t="shared" si="23"/>
        <v>0.62631578947367239</v>
      </c>
      <c r="O107" s="58">
        <f t="shared" si="24"/>
        <v>295.39999999999418</v>
      </c>
      <c r="P107" s="79">
        <f t="shared" si="25"/>
        <v>467</v>
      </c>
      <c r="Q107" s="34">
        <f t="shared" si="26"/>
        <v>0.63254817987150791</v>
      </c>
      <c r="R107" s="1">
        <v>36</v>
      </c>
    </row>
    <row r="108" spans="1:18" ht="24" customHeight="1">
      <c r="A108" s="81">
        <v>60</v>
      </c>
      <c r="B108" s="121" t="s">
        <v>109</v>
      </c>
      <c r="C108" s="104">
        <v>69355.7</v>
      </c>
      <c r="D108" s="104">
        <v>69504.100000000006</v>
      </c>
      <c r="E108" s="118">
        <f t="shared" si="19"/>
        <v>148.40000000000873</v>
      </c>
      <c r="F108" s="110">
        <v>4794</v>
      </c>
      <c r="G108" s="111">
        <v>240</v>
      </c>
      <c r="H108" s="55">
        <f t="shared" si="20"/>
        <v>0.61833333333336971</v>
      </c>
      <c r="I108" s="104">
        <v>69666.7</v>
      </c>
      <c r="J108" s="119">
        <f t="shared" si="21"/>
        <v>162.59999999999127</v>
      </c>
      <c r="K108" s="110">
        <v>4817</v>
      </c>
      <c r="L108" s="120">
        <f t="shared" si="22"/>
        <v>23</v>
      </c>
      <c r="M108" s="111">
        <v>248.37</v>
      </c>
      <c r="N108" s="28">
        <f t="shared" si="23"/>
        <v>0.65466843821714082</v>
      </c>
      <c r="O108" s="58">
        <f t="shared" si="24"/>
        <v>311</v>
      </c>
      <c r="P108" s="79">
        <f t="shared" si="25"/>
        <v>488.37</v>
      </c>
      <c r="Q108" s="34">
        <f t="shared" si="26"/>
        <v>0.63681225300489386</v>
      </c>
      <c r="R108" s="1">
        <v>36</v>
      </c>
    </row>
    <row r="109" spans="1:18" ht="24" customHeight="1">
      <c r="A109" s="81">
        <v>61</v>
      </c>
      <c r="B109" s="121" t="s">
        <v>110</v>
      </c>
      <c r="C109" s="104">
        <v>33336.6</v>
      </c>
      <c r="D109" s="104">
        <v>33463.800000000003</v>
      </c>
      <c r="E109" s="118">
        <f t="shared" si="19"/>
        <v>127.20000000000437</v>
      </c>
      <c r="F109" s="110">
        <v>2706</v>
      </c>
      <c r="G109" s="111">
        <v>202.23</v>
      </c>
      <c r="H109" s="55">
        <f t="shared" si="20"/>
        <v>0.62898679721111794</v>
      </c>
      <c r="I109" s="104">
        <v>33599.5</v>
      </c>
      <c r="J109" s="119">
        <f t="shared" si="21"/>
        <v>135.69999999999709</v>
      </c>
      <c r="K109" s="110">
        <v>2725</v>
      </c>
      <c r="L109" s="120">
        <f t="shared" si="22"/>
        <v>19</v>
      </c>
      <c r="M109" s="111">
        <v>240</v>
      </c>
      <c r="N109" s="28">
        <f t="shared" si="23"/>
        <v>0.56541666666665458</v>
      </c>
      <c r="O109" s="58">
        <f t="shared" si="24"/>
        <v>262.90000000000146</v>
      </c>
      <c r="P109" s="79">
        <f t="shared" si="25"/>
        <v>442.23</v>
      </c>
      <c r="Q109" s="34">
        <f t="shared" si="26"/>
        <v>0.59448703163512528</v>
      </c>
      <c r="R109" s="1">
        <v>37</v>
      </c>
    </row>
    <row r="110" spans="1:18" ht="22.2" customHeight="1">
      <c r="A110" s="123" t="s">
        <v>28</v>
      </c>
      <c r="B110" s="123"/>
      <c r="C110" s="40"/>
      <c r="D110" s="123"/>
      <c r="E110" s="124">
        <f>SUM(E49:E109)</f>
        <v>6023.5999999998239</v>
      </c>
      <c r="F110" s="125"/>
      <c r="G110" s="126">
        <f>SUM(G49:G109)</f>
        <v>9886.3799999999992</v>
      </c>
      <c r="H110" s="39"/>
      <c r="I110" s="40"/>
      <c r="J110" s="40">
        <f>SUM(J49:J109)</f>
        <v>5409.4000000002852</v>
      </c>
      <c r="K110" s="127"/>
      <c r="L110" s="128">
        <f>SUM(L49:L109)</f>
        <v>949.49000000000524</v>
      </c>
      <c r="M110" s="128">
        <f>SUM(M49:M109)</f>
        <v>8813.8100000000013</v>
      </c>
      <c r="N110" s="28">
        <f>IFERROR(J110/M110,0)</f>
        <v>0.61374138993242244</v>
      </c>
      <c r="O110" s="129">
        <f>SUM(O49:O109)</f>
        <v>11433.000000000109</v>
      </c>
      <c r="P110" s="79">
        <f>G110+M110</f>
        <v>18700.190000000002</v>
      </c>
      <c r="Q110" s="34">
        <f>IFERROR(O110/P110,0)</f>
        <v>0.61138416240691174</v>
      </c>
      <c r="R110" s="130">
        <f>SUM(R49:R109)</f>
        <v>1518</v>
      </c>
    </row>
    <row r="111" spans="1:18" ht="22.2" customHeight="1" thickBot="1">
      <c r="A111" s="206" t="s">
        <v>111</v>
      </c>
      <c r="B111" s="207"/>
      <c r="C111" s="207"/>
      <c r="D111" s="207"/>
      <c r="E111" s="207"/>
      <c r="F111" s="207"/>
      <c r="G111" s="207"/>
      <c r="H111" s="207"/>
      <c r="I111" s="207"/>
      <c r="J111" s="207"/>
      <c r="K111" s="207"/>
      <c r="L111" s="208"/>
      <c r="M111" s="131"/>
      <c r="N111" s="132"/>
      <c r="O111" s="133"/>
    </row>
    <row r="112" spans="1:18" ht="22.2" customHeight="1">
      <c r="A112" s="209" t="s">
        <v>3</v>
      </c>
      <c r="B112" s="211" t="s">
        <v>4</v>
      </c>
      <c r="C112" s="213" t="s">
        <v>5</v>
      </c>
      <c r="D112" s="214"/>
      <c r="E112" s="214"/>
      <c r="F112" s="214"/>
      <c r="G112" s="215"/>
      <c r="H112" s="216" t="s">
        <v>6</v>
      </c>
      <c r="I112" s="217"/>
      <c r="J112" s="217"/>
      <c r="K112" s="218"/>
      <c r="L112" s="48"/>
      <c r="M112" s="219" t="s">
        <v>7</v>
      </c>
      <c r="N112" s="194" t="s">
        <v>8</v>
      </c>
      <c r="O112" s="37"/>
    </row>
    <row r="113" spans="1:17" ht="27.6" customHeight="1" thickBot="1">
      <c r="A113" s="210"/>
      <c r="B113" s="212"/>
      <c r="C113" s="49" t="s">
        <v>11</v>
      </c>
      <c r="D113" s="49" t="s">
        <v>12</v>
      </c>
      <c r="E113" s="49" t="s">
        <v>13</v>
      </c>
      <c r="F113" s="6" t="s">
        <v>14</v>
      </c>
      <c r="G113" s="6" t="s">
        <v>8</v>
      </c>
      <c r="H113" s="49" t="s">
        <v>12</v>
      </c>
      <c r="I113" s="49" t="s">
        <v>13</v>
      </c>
      <c r="J113" s="49" t="s">
        <v>14</v>
      </c>
      <c r="K113" s="7" t="s">
        <v>8</v>
      </c>
      <c r="L113" s="50" t="s">
        <v>15</v>
      </c>
      <c r="M113" s="220"/>
      <c r="N113" s="195"/>
      <c r="O113" s="37"/>
    </row>
    <row r="114" spans="1:17" ht="22.2" customHeight="1">
      <c r="A114" s="76">
        <v>1</v>
      </c>
      <c r="B114" s="31" t="s">
        <v>112</v>
      </c>
      <c r="C114" s="35">
        <v>121832</v>
      </c>
      <c r="D114" s="35">
        <v>121832</v>
      </c>
      <c r="E114" s="17">
        <f>D114-C114</f>
        <v>0</v>
      </c>
      <c r="F114" s="33">
        <v>0</v>
      </c>
      <c r="G114" s="10">
        <f>IFERROR(F114/E114,0)</f>
        <v>0</v>
      </c>
      <c r="H114" s="35">
        <v>121832</v>
      </c>
      <c r="I114" s="19">
        <f>H114-D114</f>
        <v>0</v>
      </c>
      <c r="J114" s="33">
        <v>0</v>
      </c>
      <c r="K114" s="28">
        <f t="shared" ref="K114:K128" si="27">IFERROR(J114/I114,0)</f>
        <v>0</v>
      </c>
      <c r="L114" s="18">
        <f t="shared" ref="L114:M128" si="28">E114+I114</f>
        <v>0</v>
      </c>
      <c r="M114" s="22">
        <f>F114+J114</f>
        <v>0</v>
      </c>
      <c r="N114" s="71">
        <f>IFERROR(L114/M114,0)</f>
        <v>0</v>
      </c>
      <c r="O114" s="37"/>
    </row>
    <row r="115" spans="1:17" ht="22.2" customHeight="1">
      <c r="A115" s="76">
        <v>2</v>
      </c>
      <c r="B115" s="31" t="s">
        <v>113</v>
      </c>
      <c r="C115" s="35">
        <v>4289.53</v>
      </c>
      <c r="D115" s="35">
        <v>4289.53</v>
      </c>
      <c r="E115" s="17">
        <f t="shared" ref="E115:E128" si="29">D115-C115</f>
        <v>0</v>
      </c>
      <c r="F115" s="33">
        <v>0</v>
      </c>
      <c r="G115" s="10">
        <f t="shared" ref="G115:G128" si="30">IFERROR(F115/E115,0)</f>
        <v>0</v>
      </c>
      <c r="H115" s="35">
        <v>4289.53</v>
      </c>
      <c r="I115" s="19">
        <f>H115-D115</f>
        <v>0</v>
      </c>
      <c r="J115" s="33">
        <v>0</v>
      </c>
      <c r="K115" s="28">
        <f t="shared" si="27"/>
        <v>0</v>
      </c>
      <c r="L115" s="18">
        <f t="shared" si="28"/>
        <v>0</v>
      </c>
      <c r="M115" s="22">
        <f t="shared" si="28"/>
        <v>0</v>
      </c>
      <c r="N115" s="71">
        <f t="shared" ref="N115:N128" si="31">IFERROR(L115/M115,0)</f>
        <v>0</v>
      </c>
      <c r="O115" s="134"/>
    </row>
    <row r="116" spans="1:17" ht="22.2" customHeight="1">
      <c r="A116" s="76">
        <v>3</v>
      </c>
      <c r="B116" s="31" t="s">
        <v>114</v>
      </c>
      <c r="C116" s="35">
        <v>147.27000000000001</v>
      </c>
      <c r="D116" s="35">
        <v>147.27000000000001</v>
      </c>
      <c r="E116" s="17">
        <f t="shared" si="29"/>
        <v>0</v>
      </c>
      <c r="F116" s="33">
        <v>0</v>
      </c>
      <c r="G116" s="10">
        <f t="shared" si="30"/>
        <v>0</v>
      </c>
      <c r="H116" s="35">
        <v>147.27000000000001</v>
      </c>
      <c r="I116" s="19">
        <f t="shared" ref="I116:I128" si="32">H116-D116</f>
        <v>0</v>
      </c>
      <c r="J116" s="33">
        <v>0</v>
      </c>
      <c r="K116" s="28">
        <f t="shared" si="27"/>
        <v>0</v>
      </c>
      <c r="L116" s="18">
        <f t="shared" si="28"/>
        <v>0</v>
      </c>
      <c r="M116" s="22">
        <f t="shared" si="28"/>
        <v>0</v>
      </c>
      <c r="N116" s="71">
        <f t="shared" si="31"/>
        <v>0</v>
      </c>
      <c r="O116" s="37"/>
    </row>
    <row r="117" spans="1:17" ht="22.2" customHeight="1">
      <c r="A117" s="76">
        <v>4</v>
      </c>
      <c r="B117" s="31" t="s">
        <v>115</v>
      </c>
      <c r="C117" s="136">
        <v>139611</v>
      </c>
      <c r="D117" s="136">
        <v>139873</v>
      </c>
      <c r="E117" s="17">
        <f t="shared" si="29"/>
        <v>262</v>
      </c>
      <c r="F117" s="33">
        <v>34</v>
      </c>
      <c r="G117" s="10">
        <f t="shared" si="30"/>
        <v>0.12977099236641221</v>
      </c>
      <c r="H117" s="136">
        <v>139873</v>
      </c>
      <c r="I117" s="19">
        <f t="shared" si="32"/>
        <v>0</v>
      </c>
      <c r="J117" s="33">
        <v>0</v>
      </c>
      <c r="K117" s="28">
        <f t="shared" si="27"/>
        <v>0</v>
      </c>
      <c r="L117" s="18">
        <f t="shared" si="28"/>
        <v>262</v>
      </c>
      <c r="M117" s="22">
        <f t="shared" si="28"/>
        <v>34</v>
      </c>
      <c r="N117" s="71">
        <f t="shared" si="31"/>
        <v>7.7058823529411766</v>
      </c>
      <c r="O117" s="137"/>
    </row>
    <row r="118" spans="1:17" ht="22.2" customHeight="1">
      <c r="A118" s="76">
        <v>5</v>
      </c>
      <c r="B118" s="31" t="s">
        <v>116</v>
      </c>
      <c r="C118" s="35">
        <v>44558.9</v>
      </c>
      <c r="D118" s="35">
        <v>44558.9</v>
      </c>
      <c r="E118" s="17">
        <f t="shared" si="29"/>
        <v>0</v>
      </c>
      <c r="F118" s="33">
        <v>0</v>
      </c>
      <c r="G118" s="10">
        <f t="shared" si="30"/>
        <v>0</v>
      </c>
      <c r="H118" s="35">
        <v>44558.9</v>
      </c>
      <c r="I118" s="19">
        <f t="shared" si="32"/>
        <v>0</v>
      </c>
      <c r="J118" s="33">
        <v>0</v>
      </c>
      <c r="K118" s="28">
        <f t="shared" si="27"/>
        <v>0</v>
      </c>
      <c r="L118" s="18">
        <f t="shared" si="28"/>
        <v>0</v>
      </c>
      <c r="M118" s="22">
        <f t="shared" si="28"/>
        <v>0</v>
      </c>
      <c r="N118" s="71">
        <f t="shared" si="31"/>
        <v>0</v>
      </c>
      <c r="O118" s="77"/>
    </row>
    <row r="119" spans="1:17" ht="22.2" customHeight="1">
      <c r="A119" s="76">
        <v>6</v>
      </c>
      <c r="B119" s="31" t="s">
        <v>117</v>
      </c>
      <c r="C119" s="35">
        <v>100316.9</v>
      </c>
      <c r="D119" s="35">
        <v>100316.9</v>
      </c>
      <c r="E119" s="17">
        <f t="shared" si="29"/>
        <v>0</v>
      </c>
      <c r="F119" s="33">
        <v>0</v>
      </c>
      <c r="G119" s="10">
        <f t="shared" si="30"/>
        <v>0</v>
      </c>
      <c r="H119" s="35">
        <v>100316.9</v>
      </c>
      <c r="I119" s="19">
        <f t="shared" si="32"/>
        <v>0</v>
      </c>
      <c r="J119" s="33">
        <v>0</v>
      </c>
      <c r="K119" s="28">
        <f t="shared" si="27"/>
        <v>0</v>
      </c>
      <c r="L119" s="18">
        <f t="shared" si="28"/>
        <v>0</v>
      </c>
      <c r="M119" s="22">
        <f t="shared" si="28"/>
        <v>0</v>
      </c>
      <c r="N119" s="71">
        <f t="shared" si="31"/>
        <v>0</v>
      </c>
      <c r="O119" s="37"/>
    </row>
    <row r="120" spans="1:17" ht="22.2" customHeight="1">
      <c r="A120" s="76">
        <v>7</v>
      </c>
      <c r="B120" s="31" t="s">
        <v>118</v>
      </c>
      <c r="C120" s="35">
        <v>152067.5</v>
      </c>
      <c r="D120" s="35">
        <v>152067.5</v>
      </c>
      <c r="E120" s="17">
        <f t="shared" si="29"/>
        <v>0</v>
      </c>
      <c r="F120" s="33">
        <v>0</v>
      </c>
      <c r="G120" s="10">
        <f t="shared" si="30"/>
        <v>0</v>
      </c>
      <c r="H120" s="35">
        <v>152067.5</v>
      </c>
      <c r="I120" s="19">
        <f t="shared" si="32"/>
        <v>0</v>
      </c>
      <c r="J120" s="33">
        <v>0</v>
      </c>
      <c r="K120" s="28">
        <f t="shared" si="27"/>
        <v>0</v>
      </c>
      <c r="L120" s="18">
        <f t="shared" si="28"/>
        <v>0</v>
      </c>
      <c r="M120" s="22">
        <f>F120+J120</f>
        <v>0</v>
      </c>
      <c r="N120" s="71">
        <f t="shared" si="31"/>
        <v>0</v>
      </c>
      <c r="O120" s="37"/>
    </row>
    <row r="121" spans="1:17" ht="22.2" customHeight="1">
      <c r="A121" s="76">
        <v>8</v>
      </c>
      <c r="B121" s="138" t="s">
        <v>119</v>
      </c>
      <c r="C121" s="136">
        <v>40493.800000000003</v>
      </c>
      <c r="D121" s="136">
        <v>40493.800000000003</v>
      </c>
      <c r="E121" s="17">
        <f t="shared" si="29"/>
        <v>0</v>
      </c>
      <c r="F121" s="33">
        <v>0</v>
      </c>
      <c r="G121" s="10">
        <f t="shared" si="30"/>
        <v>0</v>
      </c>
      <c r="H121" s="136">
        <v>40573.199999999997</v>
      </c>
      <c r="I121" s="19">
        <f t="shared" si="32"/>
        <v>79.399999999994179</v>
      </c>
      <c r="J121" s="33">
        <v>197</v>
      </c>
      <c r="K121" s="28">
        <f t="shared" si="27"/>
        <v>2.4811083123427511</v>
      </c>
      <c r="L121" s="18">
        <f t="shared" si="28"/>
        <v>79.399999999994179</v>
      </c>
      <c r="M121" s="22">
        <f>F121+J121</f>
        <v>197</v>
      </c>
      <c r="N121" s="71">
        <f t="shared" si="31"/>
        <v>0.40304568527915829</v>
      </c>
      <c r="O121" s="37"/>
    </row>
    <row r="122" spans="1:17" ht="22.2" customHeight="1">
      <c r="A122" s="76">
        <v>9</v>
      </c>
      <c r="B122" s="138" t="s">
        <v>120</v>
      </c>
      <c r="C122" s="35">
        <v>33757</v>
      </c>
      <c r="D122" s="35">
        <v>33757</v>
      </c>
      <c r="E122" s="17">
        <f t="shared" si="29"/>
        <v>0</v>
      </c>
      <c r="F122" s="33">
        <v>0</v>
      </c>
      <c r="G122" s="10">
        <f t="shared" si="30"/>
        <v>0</v>
      </c>
      <c r="H122" s="35">
        <v>33807</v>
      </c>
      <c r="I122" s="19">
        <f t="shared" si="32"/>
        <v>50</v>
      </c>
      <c r="J122" s="33">
        <v>165</v>
      </c>
      <c r="K122" s="28">
        <f t="shared" si="27"/>
        <v>3.3</v>
      </c>
      <c r="L122" s="18">
        <f t="shared" si="28"/>
        <v>50</v>
      </c>
      <c r="M122" s="22">
        <f t="shared" si="28"/>
        <v>165</v>
      </c>
      <c r="N122" s="71">
        <f t="shared" si="31"/>
        <v>0.30303030303030304</v>
      </c>
      <c r="O122" s="37"/>
    </row>
    <row r="123" spans="1:17" ht="22.2" customHeight="1">
      <c r="A123" s="76">
        <v>10</v>
      </c>
      <c r="B123" s="31" t="s">
        <v>121</v>
      </c>
      <c r="C123" s="35">
        <v>154569</v>
      </c>
      <c r="D123" s="35">
        <v>154569</v>
      </c>
      <c r="E123" s="17">
        <f t="shared" si="29"/>
        <v>0</v>
      </c>
      <c r="F123" s="33">
        <v>0</v>
      </c>
      <c r="G123" s="10">
        <f t="shared" si="30"/>
        <v>0</v>
      </c>
      <c r="H123" s="35">
        <v>154569</v>
      </c>
      <c r="I123" s="19">
        <f t="shared" si="32"/>
        <v>0</v>
      </c>
      <c r="J123" s="33">
        <v>0</v>
      </c>
      <c r="K123" s="28">
        <f t="shared" si="27"/>
        <v>0</v>
      </c>
      <c r="L123" s="18">
        <f t="shared" si="28"/>
        <v>0</v>
      </c>
      <c r="M123" s="22">
        <f t="shared" si="28"/>
        <v>0</v>
      </c>
      <c r="N123" s="71">
        <f t="shared" si="31"/>
        <v>0</v>
      </c>
      <c r="O123" s="137"/>
    </row>
    <row r="124" spans="1:17" ht="23.4" customHeight="1">
      <c r="A124" s="76">
        <v>11</v>
      </c>
      <c r="B124" s="138" t="s">
        <v>122</v>
      </c>
      <c r="C124" s="35">
        <v>36223</v>
      </c>
      <c r="D124" s="35">
        <v>36223</v>
      </c>
      <c r="E124" s="17">
        <f t="shared" si="29"/>
        <v>0</v>
      </c>
      <c r="F124" s="33">
        <v>0</v>
      </c>
      <c r="G124" s="10">
        <f t="shared" si="30"/>
        <v>0</v>
      </c>
      <c r="H124" s="35">
        <v>36223</v>
      </c>
      <c r="I124" s="19">
        <f t="shared" si="32"/>
        <v>0</v>
      </c>
      <c r="J124" s="33">
        <v>0</v>
      </c>
      <c r="K124" s="28">
        <f t="shared" si="27"/>
        <v>0</v>
      </c>
      <c r="L124" s="18">
        <f t="shared" si="28"/>
        <v>0</v>
      </c>
      <c r="M124" s="22">
        <f t="shared" si="28"/>
        <v>0</v>
      </c>
      <c r="N124" s="71">
        <f t="shared" si="31"/>
        <v>0</v>
      </c>
      <c r="O124" s="37"/>
      <c r="Q124" s="38"/>
    </row>
    <row r="125" spans="1:17" ht="22.2" customHeight="1">
      <c r="A125" s="76">
        <v>12</v>
      </c>
      <c r="B125" s="138" t="s">
        <v>123</v>
      </c>
      <c r="C125" s="35">
        <v>15392</v>
      </c>
      <c r="D125" s="35">
        <v>15673</v>
      </c>
      <c r="E125" s="17">
        <f t="shared" si="29"/>
        <v>281</v>
      </c>
      <c r="F125" s="33">
        <v>60</v>
      </c>
      <c r="G125" s="78">
        <f t="shared" si="30"/>
        <v>0.21352313167259787</v>
      </c>
      <c r="H125" s="35">
        <v>15673</v>
      </c>
      <c r="I125" s="19">
        <f t="shared" si="32"/>
        <v>0</v>
      </c>
      <c r="J125" s="33">
        <v>0</v>
      </c>
      <c r="K125" s="28">
        <f t="shared" si="27"/>
        <v>0</v>
      </c>
      <c r="L125" s="18">
        <f t="shared" si="28"/>
        <v>281</v>
      </c>
      <c r="M125" s="79">
        <f t="shared" si="28"/>
        <v>60</v>
      </c>
      <c r="N125" s="71">
        <f t="shared" si="31"/>
        <v>4.6833333333333336</v>
      </c>
      <c r="O125" s="37"/>
      <c r="Q125" s="45"/>
    </row>
    <row r="126" spans="1:17" ht="21.6" customHeight="1">
      <c r="A126" s="76">
        <v>13</v>
      </c>
      <c r="B126" s="171" t="s">
        <v>124</v>
      </c>
      <c r="C126" s="35">
        <v>890.2</v>
      </c>
      <c r="D126" s="35">
        <v>890.2</v>
      </c>
      <c r="E126" s="17">
        <f t="shared" si="29"/>
        <v>0</v>
      </c>
      <c r="F126" s="35">
        <v>0</v>
      </c>
      <c r="G126" s="78">
        <f t="shared" si="30"/>
        <v>0</v>
      </c>
      <c r="H126" s="35">
        <v>890.2</v>
      </c>
      <c r="I126" s="19">
        <f t="shared" si="32"/>
        <v>0</v>
      </c>
      <c r="J126" s="35">
        <v>0</v>
      </c>
      <c r="K126" s="28">
        <f t="shared" si="27"/>
        <v>0</v>
      </c>
      <c r="L126" s="18">
        <f t="shared" si="28"/>
        <v>0</v>
      </c>
      <c r="M126" s="79">
        <f t="shared" si="28"/>
        <v>0</v>
      </c>
      <c r="N126" s="71">
        <f t="shared" si="31"/>
        <v>0</v>
      </c>
      <c r="O126" s="37"/>
      <c r="Q126" s="45"/>
    </row>
    <row r="127" spans="1:17" ht="21.6" customHeight="1">
      <c r="A127" s="76">
        <v>14</v>
      </c>
      <c r="B127" s="171" t="s">
        <v>174</v>
      </c>
      <c r="C127" s="35">
        <v>2000</v>
      </c>
      <c r="D127" s="35">
        <v>2000</v>
      </c>
      <c r="E127" s="17">
        <f t="shared" si="29"/>
        <v>0</v>
      </c>
      <c r="F127" s="35">
        <v>0</v>
      </c>
      <c r="G127" s="78">
        <f t="shared" si="30"/>
        <v>0</v>
      </c>
      <c r="H127" s="35">
        <v>2000</v>
      </c>
      <c r="I127" s="19">
        <f t="shared" si="32"/>
        <v>0</v>
      </c>
      <c r="J127" s="141">
        <v>0</v>
      </c>
      <c r="K127" s="28">
        <f t="shared" si="27"/>
        <v>0</v>
      </c>
      <c r="L127" s="18">
        <f t="shared" si="28"/>
        <v>0</v>
      </c>
      <c r="M127" s="79">
        <f t="shared" si="28"/>
        <v>0</v>
      </c>
      <c r="N127" s="71">
        <f t="shared" si="31"/>
        <v>0</v>
      </c>
      <c r="O127" s="37"/>
      <c r="Q127" s="45"/>
    </row>
    <row r="128" spans="1:17" ht="25.2" customHeight="1">
      <c r="A128" s="76">
        <v>15</v>
      </c>
      <c r="B128" s="138" t="s">
        <v>127</v>
      </c>
      <c r="C128" s="35">
        <v>0</v>
      </c>
      <c r="D128" s="35">
        <v>0</v>
      </c>
      <c r="E128" s="17">
        <f t="shared" si="29"/>
        <v>0</v>
      </c>
      <c r="F128" s="33">
        <v>0</v>
      </c>
      <c r="G128" s="78">
        <f t="shared" si="30"/>
        <v>0</v>
      </c>
      <c r="H128" s="35">
        <v>0</v>
      </c>
      <c r="I128" s="19">
        <f t="shared" si="32"/>
        <v>0</v>
      </c>
      <c r="J128" s="33">
        <v>0</v>
      </c>
      <c r="K128" s="28">
        <f t="shared" si="27"/>
        <v>0</v>
      </c>
      <c r="L128" s="18">
        <f t="shared" si="28"/>
        <v>0</v>
      </c>
      <c r="M128" s="79">
        <f t="shared" si="28"/>
        <v>0</v>
      </c>
      <c r="N128" s="71">
        <f t="shared" si="31"/>
        <v>0</v>
      </c>
      <c r="O128" s="77"/>
      <c r="Q128" s="45"/>
    </row>
    <row r="129" spans="1:16" ht="18">
      <c r="A129" s="196" t="s">
        <v>28</v>
      </c>
      <c r="B129" s="197"/>
      <c r="C129" s="123"/>
      <c r="D129" s="123"/>
      <c r="E129" s="40">
        <f>SUM(E114:E128)</f>
        <v>543</v>
      </c>
      <c r="F129" s="40">
        <f>SUM(F114:F128)</f>
        <v>94</v>
      </c>
      <c r="G129" s="39"/>
      <c r="H129" s="39"/>
      <c r="I129" s="40">
        <f>SUM(I114:I128)</f>
        <v>129.39999999999418</v>
      </c>
      <c r="J129" s="40">
        <f>SUM(J114:J128)</f>
        <v>362</v>
      </c>
      <c r="K129" s="145"/>
      <c r="L129" s="146">
        <f>SUM(L114:L128)</f>
        <v>672.39999999999418</v>
      </c>
      <c r="M129" s="147">
        <f>SUM(M114:M128)</f>
        <v>456</v>
      </c>
      <c r="N129" s="34"/>
      <c r="O129" s="37"/>
      <c r="P129" s="72"/>
    </row>
    <row r="130" spans="1:16" ht="21.6" thickBot="1">
      <c r="A130" s="148"/>
      <c r="B130" s="149"/>
      <c r="C130" s="149"/>
      <c r="D130" s="149"/>
      <c r="E130" s="149" t="s">
        <v>139</v>
      </c>
      <c r="F130" s="150">
        <f>F18+F24+F33+F39+F45+G110+F129</f>
        <v>13829.699999999999</v>
      </c>
      <c r="G130" s="149"/>
      <c r="H130" s="149"/>
      <c r="I130" s="151" t="s">
        <v>140</v>
      </c>
      <c r="J130" s="150">
        <f>J18+J24+J33+J39+J45+M110+J129</f>
        <v>12215.380000000001</v>
      </c>
      <c r="K130" s="198" t="s">
        <v>141</v>
      </c>
      <c r="L130" s="198"/>
      <c r="M130" s="198"/>
      <c r="N130" s="198"/>
      <c r="O130" s="152"/>
    </row>
    <row r="131" spans="1:16" ht="15">
      <c r="B131" s="153"/>
      <c r="C131" s="152"/>
      <c r="D131" s="152"/>
      <c r="E131" s="152"/>
      <c r="F131" s="152"/>
      <c r="G131" s="152"/>
      <c r="H131" s="152"/>
      <c r="I131" s="152"/>
      <c r="J131" s="154"/>
      <c r="K131" s="155" t="s">
        <v>142</v>
      </c>
      <c r="L131" s="199">
        <f>N2</f>
        <v>46210</v>
      </c>
      <c r="M131" s="200"/>
      <c r="N131" s="156"/>
      <c r="O131" s="157">
        <f>M129-N137</f>
        <v>259</v>
      </c>
    </row>
    <row r="132" spans="1:16" ht="18">
      <c r="B132" s="158" t="s">
        <v>143</v>
      </c>
      <c r="C132" s="159">
        <f>F130</f>
        <v>13829.699999999999</v>
      </c>
      <c r="D132" s="160"/>
      <c r="E132" s="160"/>
      <c r="F132" s="159"/>
      <c r="G132" s="160"/>
      <c r="H132" s="160"/>
      <c r="I132" s="160"/>
      <c r="J132" s="45"/>
      <c r="K132" s="188" t="s">
        <v>144</v>
      </c>
      <c r="L132" s="189"/>
      <c r="M132" s="190"/>
      <c r="N132" s="161">
        <f>P110</f>
        <v>18700.190000000002</v>
      </c>
      <c r="O132" s="152"/>
    </row>
    <row r="133" spans="1:16" ht="18">
      <c r="B133" s="158" t="s">
        <v>145</v>
      </c>
      <c r="C133" s="159">
        <f>J130</f>
        <v>12215.380000000001</v>
      </c>
      <c r="D133" s="160"/>
      <c r="E133" s="160"/>
      <c r="F133" s="159"/>
      <c r="G133" s="159"/>
      <c r="H133" s="160"/>
      <c r="I133" s="160"/>
      <c r="J133" s="45"/>
      <c r="K133" s="188" t="s">
        <v>146</v>
      </c>
      <c r="L133" s="189"/>
      <c r="M133" s="190"/>
      <c r="N133" s="161">
        <f>M18</f>
        <v>4825.2999999999993</v>
      </c>
      <c r="O133" s="152"/>
    </row>
    <row r="134" spans="1:16" ht="18">
      <c r="B134" s="158" t="s">
        <v>28</v>
      </c>
      <c r="C134" s="159">
        <f>C132+C133</f>
        <v>26045.08</v>
      </c>
      <c r="D134" s="160"/>
      <c r="E134" s="160"/>
      <c r="F134" s="160"/>
      <c r="G134" s="159"/>
      <c r="H134" s="160"/>
      <c r="I134" s="160"/>
      <c r="K134" s="188" t="s">
        <v>147</v>
      </c>
      <c r="L134" s="189"/>
      <c r="M134" s="190"/>
      <c r="N134" s="161">
        <f>M33</f>
        <v>1330.6799999999998</v>
      </c>
    </row>
    <row r="135" spans="1:16" ht="18">
      <c r="C135" s="45"/>
      <c r="D135" s="45"/>
      <c r="E135" s="45"/>
      <c r="F135" s="45"/>
      <c r="G135" s="45"/>
      <c r="H135" s="160" t="s">
        <v>94</v>
      </c>
      <c r="I135" s="45"/>
      <c r="K135" s="188" t="s">
        <v>148</v>
      </c>
      <c r="L135" s="189"/>
      <c r="M135" s="190"/>
      <c r="N135" s="161">
        <f>M39</f>
        <v>379.87</v>
      </c>
    </row>
    <row r="136" spans="1:16" ht="25.2" customHeight="1">
      <c r="B136" s="162" t="s">
        <v>149</v>
      </c>
      <c r="C136" s="193"/>
      <c r="D136" s="193"/>
      <c r="E136" s="193"/>
      <c r="F136" s="193"/>
      <c r="G136" s="193"/>
      <c r="H136" s="193"/>
      <c r="I136" s="193"/>
      <c r="J136" s="193"/>
      <c r="K136" s="188" t="s">
        <v>150</v>
      </c>
      <c r="L136" s="189"/>
      <c r="M136" s="190"/>
      <c r="N136" s="161">
        <f>M45</f>
        <v>0</v>
      </c>
    </row>
    <row r="137" spans="1:16" ht="18">
      <c r="C137" s="45"/>
      <c r="D137" s="45"/>
      <c r="E137" s="26"/>
      <c r="F137" s="26"/>
      <c r="G137" s="45"/>
      <c r="H137" s="160"/>
      <c r="I137" s="45"/>
      <c r="K137" s="188" t="s">
        <v>151</v>
      </c>
      <c r="L137" s="189"/>
      <c r="M137" s="190"/>
      <c r="N137" s="161">
        <f>M118+M119+M120+M121</f>
        <v>197</v>
      </c>
    </row>
    <row r="138" spans="1:16" ht="18">
      <c r="E138" s="38"/>
      <c r="F138" s="45"/>
      <c r="G138" s="45"/>
      <c r="H138" s="160"/>
      <c r="I138" s="45"/>
      <c r="K138" s="188" t="s">
        <v>152</v>
      </c>
      <c r="L138" s="189"/>
      <c r="M138" s="190"/>
      <c r="N138" s="161">
        <f>O131</f>
        <v>259</v>
      </c>
    </row>
    <row r="139" spans="1:16" ht="18.600000000000001" thickBot="1">
      <c r="C139" s="38"/>
      <c r="D139" s="38"/>
      <c r="G139" s="163"/>
      <c r="H139" s="160"/>
      <c r="K139" s="188" t="s">
        <v>153</v>
      </c>
      <c r="L139" s="189"/>
      <c r="M139" s="190"/>
      <c r="N139" s="164">
        <f>M24</f>
        <v>353.04</v>
      </c>
      <c r="P139" s="38"/>
    </row>
    <row r="140" spans="1:16" ht="16.8" thickBot="1">
      <c r="C140" s="38"/>
      <c r="D140" s="38"/>
      <c r="E140" s="38"/>
      <c r="F140" s="38"/>
      <c r="H140" s="38"/>
      <c r="K140" s="191" t="s">
        <v>154</v>
      </c>
      <c r="L140" s="192"/>
      <c r="M140" s="192"/>
      <c r="N140" s="165">
        <f>SUM(N132:N139)</f>
        <v>26045.08</v>
      </c>
    </row>
    <row r="141" spans="1:16">
      <c r="C141" s="38"/>
      <c r="D141" s="38"/>
      <c r="E141" s="159"/>
      <c r="F141" s="159"/>
      <c r="H141" s="38"/>
      <c r="I141" s="38"/>
    </row>
    <row r="142" spans="1:16">
      <c r="C142" s="38"/>
      <c r="D142" s="38"/>
      <c r="E142" s="38"/>
      <c r="F142" s="38"/>
      <c r="H142" s="160"/>
    </row>
    <row r="143" spans="1:16">
      <c r="A143" s="159"/>
      <c r="B143" s="159"/>
      <c r="C143" s="159"/>
      <c r="D143" s="159"/>
      <c r="E143" s="159"/>
      <c r="F143" s="159"/>
      <c r="G143" s="38"/>
      <c r="H143" s="38"/>
      <c r="N143" s="45"/>
    </row>
    <row r="144" spans="1:16">
      <c r="A144" s="159"/>
    </row>
  </sheetData>
  <mergeCells count="72">
    <mergeCell ref="K139:M139"/>
    <mergeCell ref="K140:M140"/>
    <mergeCell ref="K134:M134"/>
    <mergeCell ref="K135:M135"/>
    <mergeCell ref="C136:J136"/>
    <mergeCell ref="K136:M136"/>
    <mergeCell ref="K137:M137"/>
    <mergeCell ref="K138:M138"/>
    <mergeCell ref="K133:M133"/>
    <mergeCell ref="O47:O48"/>
    <mergeCell ref="P47:P48"/>
    <mergeCell ref="Q47:Q48"/>
    <mergeCell ref="R47:R48"/>
    <mergeCell ref="A111:L111"/>
    <mergeCell ref="A112:A113"/>
    <mergeCell ref="B112:B113"/>
    <mergeCell ref="C112:G112"/>
    <mergeCell ref="H112:K112"/>
    <mergeCell ref="M112:M113"/>
    <mergeCell ref="N112:N113"/>
    <mergeCell ref="A129:B129"/>
    <mergeCell ref="K130:N130"/>
    <mergeCell ref="L131:M131"/>
    <mergeCell ref="K132:M132"/>
    <mergeCell ref="M41:M42"/>
    <mergeCell ref="N41:N42"/>
    <mergeCell ref="A45:B45"/>
    <mergeCell ref="A46:L46"/>
    <mergeCell ref="A47:A48"/>
    <mergeCell ref="B47:B48"/>
    <mergeCell ref="C47:H47"/>
    <mergeCell ref="I47:N47"/>
    <mergeCell ref="A39:B39"/>
    <mergeCell ref="A40:L40"/>
    <mergeCell ref="A41:A42"/>
    <mergeCell ref="B41:B42"/>
    <mergeCell ref="C41:G41"/>
    <mergeCell ref="H41:K41"/>
    <mergeCell ref="M26:M27"/>
    <mergeCell ref="N26:N27"/>
    <mergeCell ref="A33:B33"/>
    <mergeCell ref="A34:L34"/>
    <mergeCell ref="A35:A36"/>
    <mergeCell ref="B35:B36"/>
    <mergeCell ref="C35:G35"/>
    <mergeCell ref="H35:K35"/>
    <mergeCell ref="M35:M36"/>
    <mergeCell ref="N35:N36"/>
    <mergeCell ref="A24:B24"/>
    <mergeCell ref="A25:L25"/>
    <mergeCell ref="A26:A27"/>
    <mergeCell ref="B26:B27"/>
    <mergeCell ref="C26:G26"/>
    <mergeCell ref="H26:K26"/>
    <mergeCell ref="O3:O4"/>
    <mergeCell ref="P3:P4"/>
    <mergeCell ref="A18:B18"/>
    <mergeCell ref="A19:L19"/>
    <mergeCell ref="A20:A21"/>
    <mergeCell ref="B20:B21"/>
    <mergeCell ref="C20:G20"/>
    <mergeCell ref="H20:K20"/>
    <mergeCell ref="M20:M21"/>
    <mergeCell ref="N20:N21"/>
    <mergeCell ref="A1:N1"/>
    <mergeCell ref="A2:L2"/>
    <mergeCell ref="A3:A4"/>
    <mergeCell ref="B3:B4"/>
    <mergeCell ref="C3:G3"/>
    <mergeCell ref="H3:L3"/>
    <mergeCell ref="M3:M4"/>
    <mergeCell ref="N3:N4"/>
  </mergeCells>
  <conditionalFormatting sqref="N7:N19 N22:N23 N28:N32 N37:N38 N43:N44">
    <cfRule type="cellIs" dxfId="39" priority="2" operator="greaterThan">
      <formula>40</formula>
    </cfRule>
  </conditionalFormatting>
  <conditionalFormatting sqref="Q49:Q110">
    <cfRule type="cellIs" dxfId="38" priority="1" operator="lessThan">
      <formula>0.5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096D5-B7FB-4633-8D21-20C3EAEFF120}">
  <dimension ref="A1:AA144"/>
  <sheetViews>
    <sheetView zoomScale="74" zoomScaleNormal="74" workbookViewId="0">
      <pane ySplit="1" topLeftCell="A2" activePane="bottomLeft" state="frozen"/>
      <selection pane="bottomLeft" activeCell="R11" sqref="R11"/>
    </sheetView>
  </sheetViews>
  <sheetFormatPr defaultColWidth="9" defaultRowHeight="14.4"/>
  <cols>
    <col min="1" max="1" width="8.5546875" customWidth="1"/>
    <col min="2" max="2" width="29.44140625" bestFit="1" customWidth="1"/>
    <col min="3" max="3" width="11.6640625" customWidth="1"/>
    <col min="4" max="4" width="11.21875" customWidth="1"/>
    <col min="5" max="5" width="9.77734375" customWidth="1"/>
    <col min="6" max="6" width="13.6640625" customWidth="1"/>
    <col min="7" max="7" width="10" customWidth="1"/>
    <col min="8" max="8" width="9.77734375" customWidth="1"/>
    <col min="9" max="9" width="12.77734375" bestFit="1" customWidth="1"/>
    <col min="10" max="10" width="10.6640625" bestFit="1" customWidth="1"/>
    <col min="11" max="11" width="15.77734375" customWidth="1"/>
    <col min="12" max="12" width="10.77734375" customWidth="1"/>
    <col min="13" max="13" width="12.5546875" customWidth="1"/>
    <col min="14" max="14" width="17.88671875" customWidth="1"/>
    <col min="15" max="15" width="12" customWidth="1"/>
    <col min="16" max="16" width="10.44140625" customWidth="1"/>
    <col min="17" max="17" width="11.109375" bestFit="1" customWidth="1"/>
    <col min="19" max="19" width="9.21875" bestFit="1" customWidth="1"/>
    <col min="20" max="20" width="8.21875" bestFit="1" customWidth="1"/>
    <col min="21" max="22" width="11.21875" customWidth="1"/>
  </cols>
  <sheetData>
    <row r="1" spans="1:22" ht="18.600000000000001" thickBot="1">
      <c r="A1" s="249" t="s">
        <v>0</v>
      </c>
      <c r="B1" s="249"/>
      <c r="C1" s="249"/>
      <c r="D1" s="249"/>
      <c r="E1" s="249"/>
      <c r="F1" s="249"/>
      <c r="G1" s="249"/>
      <c r="H1" s="249"/>
      <c r="I1" s="249"/>
      <c r="J1" s="249"/>
      <c r="K1" s="249"/>
      <c r="L1" s="249"/>
      <c r="M1" s="249"/>
      <c r="N1" s="249"/>
      <c r="O1" s="1"/>
      <c r="V1" s="2"/>
    </row>
    <row r="2" spans="1:22" ht="19.8" customHeight="1" thickBot="1">
      <c r="A2" s="250" t="s">
        <v>1</v>
      </c>
      <c r="B2" s="251"/>
      <c r="C2" s="252"/>
      <c r="D2" s="252"/>
      <c r="E2" s="252"/>
      <c r="F2" s="252"/>
      <c r="G2" s="252"/>
      <c r="H2" s="252"/>
      <c r="I2" s="252"/>
      <c r="J2" s="252"/>
      <c r="K2" s="252"/>
      <c r="L2" s="251"/>
      <c r="M2" s="3" t="s">
        <v>2</v>
      </c>
      <c r="N2" s="4">
        <v>46211</v>
      </c>
      <c r="O2" s="1"/>
    </row>
    <row r="3" spans="1:22" ht="18" customHeight="1">
      <c r="A3" s="209" t="s">
        <v>3</v>
      </c>
      <c r="B3" s="211" t="s">
        <v>4</v>
      </c>
      <c r="C3" s="213" t="s">
        <v>5</v>
      </c>
      <c r="D3" s="214"/>
      <c r="E3" s="214"/>
      <c r="F3" s="214"/>
      <c r="G3" s="215"/>
      <c r="H3" s="253" t="s">
        <v>6</v>
      </c>
      <c r="I3" s="254"/>
      <c r="J3" s="254"/>
      <c r="K3" s="254"/>
      <c r="L3" s="255"/>
      <c r="M3" s="219" t="s">
        <v>7</v>
      </c>
      <c r="N3" s="194" t="s">
        <v>8</v>
      </c>
      <c r="O3" s="243" t="s">
        <v>9</v>
      </c>
      <c r="P3" s="222" t="s">
        <v>10</v>
      </c>
    </row>
    <row r="4" spans="1:22" ht="22.8" customHeight="1">
      <c r="A4" s="247"/>
      <c r="B4" s="248"/>
      <c r="C4" s="6" t="s">
        <v>11</v>
      </c>
      <c r="D4" s="6" t="s">
        <v>12</v>
      </c>
      <c r="E4" s="6" t="s">
        <v>13</v>
      </c>
      <c r="F4" s="6" t="s">
        <v>14</v>
      </c>
      <c r="G4" s="6" t="s">
        <v>8</v>
      </c>
      <c r="H4" s="6" t="s">
        <v>12</v>
      </c>
      <c r="I4" s="6" t="s">
        <v>13</v>
      </c>
      <c r="J4" s="6" t="s">
        <v>14</v>
      </c>
      <c r="K4" s="7" t="s">
        <v>8</v>
      </c>
      <c r="L4" s="8" t="s">
        <v>15</v>
      </c>
      <c r="M4" s="236"/>
      <c r="N4" s="237"/>
      <c r="O4" s="248"/>
      <c r="P4" s="243"/>
    </row>
    <row r="5" spans="1:22" ht="22.8" customHeight="1">
      <c r="A5" s="5">
        <v>1</v>
      </c>
      <c r="B5" s="9" t="s">
        <v>175</v>
      </c>
      <c r="C5" s="2">
        <v>31966.6</v>
      </c>
      <c r="D5" s="2">
        <v>31966.6</v>
      </c>
      <c r="E5" s="2">
        <f>D5-C5</f>
        <v>0</v>
      </c>
      <c r="F5" s="2">
        <v>0</v>
      </c>
      <c r="G5" s="10">
        <f>IFERROR(F5/E5,0)</f>
        <v>0</v>
      </c>
      <c r="H5" s="2">
        <v>31972.3</v>
      </c>
      <c r="I5" s="167">
        <f>H5-D5</f>
        <v>5.7000000000007276</v>
      </c>
      <c r="J5" s="2">
        <v>160.88</v>
      </c>
      <c r="K5" s="11">
        <f>IFERROR(J5/I5,0)</f>
        <v>28.224561403505167</v>
      </c>
      <c r="L5" s="12">
        <f>E5+I5</f>
        <v>5.7000000000007276</v>
      </c>
      <c r="M5" s="13">
        <f>F5+J5</f>
        <v>160.88</v>
      </c>
      <c r="N5" s="14">
        <f>IFERROR(M5/L5,0)</f>
        <v>28.224561403505167</v>
      </c>
      <c r="O5" s="2">
        <v>65</v>
      </c>
      <c r="P5" s="5"/>
    </row>
    <row r="6" spans="1:22" ht="22.8" customHeight="1">
      <c r="A6" s="81">
        <v>2</v>
      </c>
      <c r="B6" s="16" t="s">
        <v>170</v>
      </c>
      <c r="C6" s="49">
        <v>33747.199999999997</v>
      </c>
      <c r="D6" s="49">
        <v>33757.199999999997</v>
      </c>
      <c r="E6" s="2">
        <f>D6-C6</f>
        <v>10</v>
      </c>
      <c r="F6" s="49">
        <v>299.85000000000002</v>
      </c>
      <c r="G6" s="10">
        <f>IFERROR(F6/E6,0)</f>
        <v>29.985000000000003</v>
      </c>
      <c r="H6" s="49">
        <v>33763.800000000003</v>
      </c>
      <c r="I6" s="167">
        <f>H6-D6</f>
        <v>6.6000000000058208</v>
      </c>
      <c r="J6" s="49">
        <v>183.76</v>
      </c>
      <c r="K6" s="11">
        <f>IFERROR(J6/I6,0)</f>
        <v>27.842424242399687</v>
      </c>
      <c r="L6" s="169">
        <v>0</v>
      </c>
      <c r="M6" s="13">
        <f>F6+J6</f>
        <v>483.61</v>
      </c>
      <c r="N6" s="14">
        <f>IFERROR(M6/L6,0)</f>
        <v>0</v>
      </c>
      <c r="O6" s="49">
        <v>104</v>
      </c>
      <c r="P6" s="81"/>
    </row>
    <row r="7" spans="1:22" ht="24" customHeight="1">
      <c r="A7" s="5">
        <v>3</v>
      </c>
      <c r="B7" s="16" t="s">
        <v>17</v>
      </c>
      <c r="C7" s="17">
        <v>32493.3</v>
      </c>
      <c r="D7" s="17">
        <v>32493.3</v>
      </c>
      <c r="E7" s="17">
        <f t="shared" ref="E7:E17" si="0">D7-C7</f>
        <v>0</v>
      </c>
      <c r="F7" s="18">
        <v>0</v>
      </c>
      <c r="G7" s="10">
        <f>IFERROR(F7/E7,0)</f>
        <v>0</v>
      </c>
      <c r="H7" s="17">
        <v>32493.3</v>
      </c>
      <c r="I7" s="19">
        <f t="shared" ref="I7:I14" si="1">H7-D7</f>
        <v>0</v>
      </c>
      <c r="J7" s="20">
        <v>0</v>
      </c>
      <c r="K7" s="21">
        <f>IFERROR(J7/I7,0)</f>
        <v>0</v>
      </c>
      <c r="L7" s="18">
        <f>E7+I7</f>
        <v>0</v>
      </c>
      <c r="M7" s="22">
        <f>F7+J7</f>
        <v>0</v>
      </c>
      <c r="N7" s="23">
        <f>IFERROR(M7/L7,0)</f>
        <v>0</v>
      </c>
      <c r="O7" s="24">
        <v>0</v>
      </c>
      <c r="P7" s="25"/>
      <c r="Q7" s="26"/>
    </row>
    <row r="8" spans="1:22" ht="25.8" customHeight="1">
      <c r="A8" s="81">
        <v>4</v>
      </c>
      <c r="B8" s="16" t="s">
        <v>18</v>
      </c>
      <c r="C8" s="17">
        <v>24564.799999999999</v>
      </c>
      <c r="D8" s="17">
        <v>24576.400000000001</v>
      </c>
      <c r="E8" s="17">
        <f t="shared" si="0"/>
        <v>11.600000000002183</v>
      </c>
      <c r="F8" s="18">
        <v>341</v>
      </c>
      <c r="G8" s="10">
        <f t="shared" ref="G8:G13" si="2">IFERROR(F8/E8,0)</f>
        <v>29.396551724132401</v>
      </c>
      <c r="H8" s="17">
        <v>24583.4</v>
      </c>
      <c r="I8" s="19">
        <f t="shared" si="1"/>
        <v>7</v>
      </c>
      <c r="J8" s="20">
        <v>219.98</v>
      </c>
      <c r="K8" s="28">
        <f t="shared" ref="K8:K14" si="3">IFERROR(J8/I8,0)</f>
        <v>31.425714285714285</v>
      </c>
      <c r="L8" s="18">
        <f t="shared" ref="L8:M16" si="4">E8+I8</f>
        <v>18.600000000002183</v>
      </c>
      <c r="M8" s="22">
        <f t="shared" si="4"/>
        <v>560.98</v>
      </c>
      <c r="N8" s="23">
        <f t="shared" ref="N8:N17" si="5">IFERROR(M8/L8,0)</f>
        <v>30.160215053759902</v>
      </c>
      <c r="O8" s="29">
        <v>199</v>
      </c>
      <c r="P8" s="30"/>
      <c r="Q8" s="26"/>
      <c r="S8" s="26"/>
    </row>
    <row r="9" spans="1:22" ht="25.8" customHeight="1">
      <c r="A9" s="5">
        <v>5</v>
      </c>
      <c r="B9" s="31" t="s">
        <v>19</v>
      </c>
      <c r="C9" s="17">
        <v>32498</v>
      </c>
      <c r="D9" s="17">
        <v>32509.1</v>
      </c>
      <c r="E9" s="17">
        <f t="shared" si="0"/>
        <v>11.099999999998545</v>
      </c>
      <c r="F9" s="32">
        <v>425</v>
      </c>
      <c r="G9" s="10">
        <f t="shared" si="2"/>
        <v>38.288288288293309</v>
      </c>
      <c r="H9" s="17">
        <v>32516</v>
      </c>
      <c r="I9" s="19">
        <f t="shared" si="1"/>
        <v>6.9000000000014552</v>
      </c>
      <c r="J9" s="33">
        <v>199.2</v>
      </c>
      <c r="K9" s="28">
        <f t="shared" si="3"/>
        <v>28.869565217385215</v>
      </c>
      <c r="L9" s="18">
        <f t="shared" si="4"/>
        <v>18</v>
      </c>
      <c r="M9" s="22">
        <f t="shared" si="4"/>
        <v>624.20000000000005</v>
      </c>
      <c r="N9" s="23">
        <f t="shared" si="5"/>
        <v>34.677777777777777</v>
      </c>
      <c r="O9" s="29">
        <v>147</v>
      </c>
      <c r="P9" s="30"/>
      <c r="Q9" s="26"/>
      <c r="S9" s="26"/>
    </row>
    <row r="10" spans="1:22" ht="25.8" customHeight="1">
      <c r="A10" s="81">
        <v>6</v>
      </c>
      <c r="B10" s="16" t="s">
        <v>20</v>
      </c>
      <c r="C10" s="17">
        <v>33445.1</v>
      </c>
      <c r="D10" s="17">
        <v>33459.1</v>
      </c>
      <c r="E10" s="17">
        <f>D10-C10</f>
        <v>14</v>
      </c>
      <c r="F10" s="34">
        <v>477.9</v>
      </c>
      <c r="G10" s="10">
        <f>IFERROR(F10/E10,0)</f>
        <v>34.135714285714286</v>
      </c>
      <c r="H10" s="17">
        <v>33467</v>
      </c>
      <c r="I10" s="19">
        <f>H10-D10</f>
        <v>7.9000000000014552</v>
      </c>
      <c r="J10" s="33">
        <v>282</v>
      </c>
      <c r="K10" s="28">
        <f>IFERROR(J10/I10,0)</f>
        <v>35.696202531638995</v>
      </c>
      <c r="L10" s="18">
        <f>E10+I10</f>
        <v>21.900000000001455</v>
      </c>
      <c r="M10" s="22">
        <f>F10+J10</f>
        <v>759.9</v>
      </c>
      <c r="N10" s="23">
        <f>IFERROR(M10/L10,0)</f>
        <v>34.698630136983994</v>
      </c>
      <c r="O10" s="29">
        <v>173</v>
      </c>
      <c r="P10" s="30"/>
      <c r="Q10" s="26"/>
      <c r="S10" s="26"/>
    </row>
    <row r="11" spans="1:22" ht="22.8" customHeight="1">
      <c r="A11" s="5">
        <v>7</v>
      </c>
      <c r="B11" s="16" t="s">
        <v>21</v>
      </c>
      <c r="C11" s="17">
        <v>27955.8</v>
      </c>
      <c r="D11" s="17">
        <v>27955.8</v>
      </c>
      <c r="E11" s="17">
        <f t="shared" si="0"/>
        <v>0</v>
      </c>
      <c r="F11" s="32">
        <v>0</v>
      </c>
      <c r="G11" s="10">
        <f t="shared" si="2"/>
        <v>0</v>
      </c>
      <c r="H11" s="17">
        <v>27955.8</v>
      </c>
      <c r="I11" s="19">
        <f t="shared" si="1"/>
        <v>0</v>
      </c>
      <c r="J11" s="20">
        <v>0</v>
      </c>
      <c r="K11" s="28">
        <f t="shared" si="3"/>
        <v>0</v>
      </c>
      <c r="L11" s="18">
        <f t="shared" si="4"/>
        <v>0</v>
      </c>
      <c r="M11" s="22">
        <f t="shared" si="4"/>
        <v>0</v>
      </c>
      <c r="N11" s="23">
        <f t="shared" si="5"/>
        <v>0</v>
      </c>
      <c r="O11" s="29">
        <v>0</v>
      </c>
      <c r="P11" s="30"/>
      <c r="Q11" s="26"/>
      <c r="S11" s="26"/>
    </row>
    <row r="12" spans="1:22" ht="22.8" customHeight="1">
      <c r="A12" s="81">
        <v>8</v>
      </c>
      <c r="B12" s="31" t="s">
        <v>22</v>
      </c>
      <c r="C12" s="35">
        <v>27322.5</v>
      </c>
      <c r="D12" s="35">
        <v>27336.9</v>
      </c>
      <c r="E12" s="17">
        <f t="shared" si="0"/>
        <v>14.400000000001455</v>
      </c>
      <c r="F12" s="32">
        <v>374</v>
      </c>
      <c r="G12" s="10">
        <f t="shared" si="2"/>
        <v>25.972222222219596</v>
      </c>
      <c r="H12" s="35">
        <v>27346.799999999999</v>
      </c>
      <c r="I12" s="19">
        <f t="shared" si="1"/>
        <v>9.8999999999978172</v>
      </c>
      <c r="J12" s="33">
        <v>236</v>
      </c>
      <c r="K12" s="28">
        <f t="shared" si="3"/>
        <v>23.838383838389095</v>
      </c>
      <c r="L12" s="18">
        <f t="shared" si="4"/>
        <v>24.299999999999272</v>
      </c>
      <c r="M12" s="22">
        <f t="shared" si="4"/>
        <v>610</v>
      </c>
      <c r="N12" s="23">
        <f t="shared" si="5"/>
        <v>25.102880658436966</v>
      </c>
      <c r="O12" s="29">
        <v>172</v>
      </c>
      <c r="P12" s="30"/>
      <c r="Q12" s="26"/>
      <c r="S12" s="26"/>
    </row>
    <row r="13" spans="1:22" ht="24" customHeight="1">
      <c r="A13" s="5">
        <v>9</v>
      </c>
      <c r="B13" s="31" t="s">
        <v>23</v>
      </c>
      <c r="C13" s="17">
        <v>22476.41</v>
      </c>
      <c r="D13" s="17">
        <v>22488.29</v>
      </c>
      <c r="E13" s="17">
        <f t="shared" si="0"/>
        <v>11.880000000001019</v>
      </c>
      <c r="F13" s="34">
        <v>364.66</v>
      </c>
      <c r="G13" s="10">
        <f t="shared" si="2"/>
        <v>30.695286195283565</v>
      </c>
      <c r="H13" s="17">
        <v>22496.18</v>
      </c>
      <c r="I13" s="19">
        <f t="shared" si="1"/>
        <v>7.8899999999994179</v>
      </c>
      <c r="J13" s="20">
        <v>253.64</v>
      </c>
      <c r="K13" s="28">
        <f t="shared" si="3"/>
        <v>32.14702154626346</v>
      </c>
      <c r="L13" s="18">
        <f t="shared" si="4"/>
        <v>19.770000000000437</v>
      </c>
      <c r="M13" s="22">
        <f t="shared" si="4"/>
        <v>618.29999999999995</v>
      </c>
      <c r="N13" s="23">
        <f t="shared" si="5"/>
        <v>31.274658573595666</v>
      </c>
      <c r="O13" s="29">
        <v>148</v>
      </c>
      <c r="P13" s="36"/>
      <c r="Q13" s="26"/>
      <c r="S13" s="26"/>
    </row>
    <row r="14" spans="1:22" ht="24" customHeight="1">
      <c r="A14" s="81">
        <v>10</v>
      </c>
      <c r="B14" s="31" t="s">
        <v>24</v>
      </c>
      <c r="C14" s="17">
        <v>22466.85</v>
      </c>
      <c r="D14" s="17">
        <v>22466.85</v>
      </c>
      <c r="E14" s="17">
        <f t="shared" si="0"/>
        <v>0</v>
      </c>
      <c r="F14" s="32">
        <v>0</v>
      </c>
      <c r="G14" s="10">
        <f>IFERROR(F14/E14,0)</f>
        <v>0</v>
      </c>
      <c r="H14" s="17">
        <v>22466.85</v>
      </c>
      <c r="I14" s="19">
        <f t="shared" si="1"/>
        <v>0</v>
      </c>
      <c r="J14" s="20">
        <v>0</v>
      </c>
      <c r="K14" s="28">
        <f t="shared" si="3"/>
        <v>0</v>
      </c>
      <c r="L14" s="18">
        <f t="shared" si="4"/>
        <v>0</v>
      </c>
      <c r="M14" s="22">
        <f t="shared" si="4"/>
        <v>0</v>
      </c>
      <c r="N14" s="23">
        <f t="shared" si="5"/>
        <v>0</v>
      </c>
      <c r="O14" s="29">
        <v>0</v>
      </c>
      <c r="P14" s="37"/>
      <c r="Q14" s="26"/>
      <c r="S14" s="26"/>
    </row>
    <row r="15" spans="1:22" ht="24" customHeight="1">
      <c r="A15" s="5">
        <v>11</v>
      </c>
      <c r="B15" s="31" t="s">
        <v>25</v>
      </c>
      <c r="C15" s="17">
        <v>19934.53</v>
      </c>
      <c r="D15" s="17">
        <v>19944.88</v>
      </c>
      <c r="E15" s="17">
        <f t="shared" si="0"/>
        <v>10.350000000002183</v>
      </c>
      <c r="F15" s="32">
        <v>393</v>
      </c>
      <c r="G15" s="10">
        <f>IFERROR(F15/E15,0)</f>
        <v>37.971014492745617</v>
      </c>
      <c r="H15" s="17">
        <v>19953.330000000002</v>
      </c>
      <c r="I15" s="19">
        <f>H15-D15</f>
        <v>8.4500000000007276</v>
      </c>
      <c r="J15" s="20">
        <v>359</v>
      </c>
      <c r="K15" s="28">
        <f>IFERROR(J15/I15,0)</f>
        <v>42.485207100588056</v>
      </c>
      <c r="L15" s="18">
        <f>E15+I15</f>
        <v>18.80000000000291</v>
      </c>
      <c r="M15" s="22">
        <f t="shared" si="4"/>
        <v>752</v>
      </c>
      <c r="N15" s="23">
        <f t="shared" si="5"/>
        <v>39.999999999993811</v>
      </c>
      <c r="O15" s="29">
        <v>175</v>
      </c>
      <c r="P15" s="37"/>
      <c r="Q15" s="26"/>
      <c r="S15" s="26"/>
      <c r="T15" s="38"/>
    </row>
    <row r="16" spans="1:22" ht="24" customHeight="1">
      <c r="A16" s="81">
        <v>12</v>
      </c>
      <c r="B16" s="31" t="s">
        <v>27</v>
      </c>
      <c r="C16" s="17">
        <v>18230.599999999999</v>
      </c>
      <c r="D16" s="17">
        <v>18238</v>
      </c>
      <c r="E16" s="17">
        <f t="shared" si="0"/>
        <v>7.4000000000014552</v>
      </c>
      <c r="F16" s="18">
        <v>117.14</v>
      </c>
      <c r="G16" s="10">
        <f>IFERROR(F16/E16,0)</f>
        <v>15.829729729726617</v>
      </c>
      <c r="H16" s="17">
        <v>18238</v>
      </c>
      <c r="I16" s="19">
        <f t="shared" ref="I16" si="6">H16-D16</f>
        <v>0</v>
      </c>
      <c r="J16" s="20">
        <v>0</v>
      </c>
      <c r="K16" s="28">
        <f t="shared" ref="K16" si="7">IFERROR(J16/I16,0)</f>
        <v>0</v>
      </c>
      <c r="L16" s="18">
        <f t="shared" ref="L16" si="8">E16+I16</f>
        <v>7.4000000000014552</v>
      </c>
      <c r="M16" s="22">
        <f t="shared" si="4"/>
        <v>117.14</v>
      </c>
      <c r="N16" s="23">
        <f t="shared" si="5"/>
        <v>15.829729729726617</v>
      </c>
      <c r="O16" s="29">
        <v>0</v>
      </c>
      <c r="P16" s="37"/>
      <c r="Q16" s="26"/>
      <c r="S16" s="26"/>
      <c r="T16" s="38"/>
    </row>
    <row r="17" spans="1:20" ht="24" customHeight="1">
      <c r="A17" s="5">
        <v>13</v>
      </c>
      <c r="B17" s="31" t="s">
        <v>26</v>
      </c>
      <c r="C17" s="17">
        <v>15231.7</v>
      </c>
      <c r="D17" s="17">
        <v>15231.7</v>
      </c>
      <c r="E17" s="17">
        <f t="shared" si="0"/>
        <v>0</v>
      </c>
      <c r="F17" s="32">
        <v>0</v>
      </c>
      <c r="G17" s="10">
        <f>IFERROR(F17/E17,0)</f>
        <v>0</v>
      </c>
      <c r="H17" s="17">
        <v>15231.7</v>
      </c>
      <c r="I17" s="19">
        <f>H17-D17</f>
        <v>0</v>
      </c>
      <c r="J17" s="20">
        <v>0</v>
      </c>
      <c r="K17" s="28">
        <f>IFERROR(J17/I17,0)</f>
        <v>0</v>
      </c>
      <c r="L17" s="18">
        <f>E17+I17</f>
        <v>0</v>
      </c>
      <c r="M17" s="22">
        <f>F17+J17</f>
        <v>0</v>
      </c>
      <c r="N17" s="23">
        <f t="shared" si="5"/>
        <v>0</v>
      </c>
      <c r="O17" s="29">
        <v>0</v>
      </c>
      <c r="P17" s="37"/>
      <c r="Q17" s="26"/>
      <c r="S17" s="26"/>
      <c r="T17" s="38"/>
    </row>
    <row r="18" spans="1:20" ht="24" customHeight="1">
      <c r="A18" s="196" t="s">
        <v>28</v>
      </c>
      <c r="B18" s="197"/>
      <c r="C18" s="39"/>
      <c r="D18" s="39"/>
      <c r="E18" s="40">
        <f>SUM(E7:E17)</f>
        <v>80.730000000006839</v>
      </c>
      <c r="F18" s="41">
        <f>SUM(F5:F17)</f>
        <v>2792.5499999999997</v>
      </c>
      <c r="G18" s="39"/>
      <c r="H18" s="39"/>
      <c r="I18" s="40">
        <f>SUM(I7:I17)</f>
        <v>48.040000000000873</v>
      </c>
      <c r="J18" s="41">
        <f>SUM(J5:J17)</f>
        <v>1894.46</v>
      </c>
      <c r="K18" s="28">
        <f>IFERROR(J18/I18,0)</f>
        <v>39.435054121564647</v>
      </c>
      <c r="L18" s="42">
        <f>SUM(L7:L17)</f>
        <v>128.77000000000771</v>
      </c>
      <c r="M18" s="43">
        <f>SUM(M5:M17)</f>
        <v>4687.01</v>
      </c>
      <c r="N18" s="23">
        <f>IFERROR(M18/L18,0)</f>
        <v>36.398307059095437</v>
      </c>
      <c r="O18" s="44">
        <f>SUM(O5:O17)</f>
        <v>1183</v>
      </c>
      <c r="P18" s="45"/>
      <c r="S18" s="26"/>
    </row>
    <row r="19" spans="1:20" ht="18" customHeight="1" thickBot="1">
      <c r="A19" s="206" t="s">
        <v>29</v>
      </c>
      <c r="B19" s="207"/>
      <c r="C19" s="207"/>
      <c r="D19" s="207"/>
      <c r="E19" s="207"/>
      <c r="F19" s="207"/>
      <c r="G19" s="207"/>
      <c r="H19" s="207"/>
      <c r="I19" s="207"/>
      <c r="J19" s="207"/>
      <c r="K19" s="207"/>
      <c r="L19" s="208"/>
      <c r="M19" s="46"/>
      <c r="N19" s="47"/>
      <c r="O19" s="37"/>
    </row>
    <row r="20" spans="1:20" ht="22.8" customHeight="1">
      <c r="A20" s="209" t="s">
        <v>3</v>
      </c>
      <c r="B20" s="211" t="s">
        <v>4</v>
      </c>
      <c r="C20" s="234" t="s">
        <v>5</v>
      </c>
      <c r="D20" s="234"/>
      <c r="E20" s="234"/>
      <c r="F20" s="234"/>
      <c r="G20" s="234"/>
      <c r="H20" s="235" t="s">
        <v>6</v>
      </c>
      <c r="I20" s="235"/>
      <c r="J20" s="235"/>
      <c r="K20" s="235"/>
      <c r="L20" s="48"/>
      <c r="M20" s="219" t="s">
        <v>7</v>
      </c>
      <c r="N20" s="194" t="s">
        <v>8</v>
      </c>
      <c r="O20" s="37"/>
    </row>
    <row r="21" spans="1:20" s="51" customFormat="1" ht="24" customHeight="1" thickBot="1">
      <c r="A21" s="210"/>
      <c r="B21" s="212"/>
      <c r="C21" s="49" t="s">
        <v>11</v>
      </c>
      <c r="D21" s="49" t="s">
        <v>12</v>
      </c>
      <c r="E21" s="49" t="s">
        <v>13</v>
      </c>
      <c r="F21" s="2" t="s">
        <v>14</v>
      </c>
      <c r="G21" s="2" t="s">
        <v>8</v>
      </c>
      <c r="H21" s="49" t="s">
        <v>12</v>
      </c>
      <c r="I21" s="49" t="s">
        <v>13</v>
      </c>
      <c r="J21" s="49" t="s">
        <v>14</v>
      </c>
      <c r="K21" s="7" t="s">
        <v>8</v>
      </c>
      <c r="L21" s="50" t="s">
        <v>15</v>
      </c>
      <c r="M21" s="220"/>
      <c r="N21" s="195"/>
      <c r="O21" s="37"/>
      <c r="Q21"/>
      <c r="R21"/>
      <c r="S21"/>
      <c r="T21"/>
    </row>
    <row r="22" spans="1:20" s="51" customFormat="1" ht="24" customHeight="1">
      <c r="A22" s="27">
        <v>1</v>
      </c>
      <c r="B22" s="52" t="s">
        <v>30</v>
      </c>
      <c r="C22" s="6">
        <v>18762.099999999999</v>
      </c>
      <c r="D22" s="6">
        <v>18771</v>
      </c>
      <c r="E22" s="53">
        <f>D22-C22</f>
        <v>8.9000000000014552</v>
      </c>
      <c r="F22" s="54">
        <v>129</v>
      </c>
      <c r="G22" s="55">
        <f>IFERROR(F22/E22,0)</f>
        <v>14.494382022469541</v>
      </c>
      <c r="H22" s="6">
        <v>18779.8</v>
      </c>
      <c r="I22" s="56">
        <f>H22-D22</f>
        <v>8.7999999999992724</v>
      </c>
      <c r="J22" s="54">
        <v>128</v>
      </c>
      <c r="K22" s="57">
        <f>IFERROR(J22/I22,0)</f>
        <v>14.545454545455748</v>
      </c>
      <c r="L22" s="58">
        <f>E22+I22</f>
        <v>17.700000000000728</v>
      </c>
      <c r="M22" s="59">
        <f t="shared" ref="M22:M23" si="9">F22+J22</f>
        <v>257</v>
      </c>
      <c r="N22" s="60">
        <f>IFERROR(M22/L22,0)</f>
        <v>14.519774011298837</v>
      </c>
      <c r="O22" s="61"/>
      <c r="Q22"/>
      <c r="R22"/>
      <c r="S22"/>
      <c r="T22"/>
    </row>
    <row r="23" spans="1:20" ht="24" customHeight="1">
      <c r="A23" s="62">
        <v>2</v>
      </c>
      <c r="B23" s="52" t="s">
        <v>31</v>
      </c>
      <c r="C23" s="63">
        <v>11151.2</v>
      </c>
      <c r="D23" s="63">
        <v>11167.7</v>
      </c>
      <c r="E23" s="53">
        <f>D23-C23</f>
        <v>16.5</v>
      </c>
      <c r="F23" s="54">
        <v>114.08</v>
      </c>
      <c r="G23" s="55">
        <f>IFERROR(F23/E23,0)</f>
        <v>6.9139393939393941</v>
      </c>
      <c r="H23" s="63">
        <v>11175.7</v>
      </c>
      <c r="I23" s="64">
        <f>H23-D23</f>
        <v>8</v>
      </c>
      <c r="J23" s="54">
        <v>140</v>
      </c>
      <c r="K23" s="57">
        <f>IFERROR(J23/I23,0)</f>
        <v>17.5</v>
      </c>
      <c r="L23" s="58">
        <f>E23+I23</f>
        <v>24.5</v>
      </c>
      <c r="M23" s="59">
        <f t="shared" si="9"/>
        <v>254.07999999999998</v>
      </c>
      <c r="N23" s="60">
        <f>IFERROR(M23/L23,0)</f>
        <v>10.370612244897959</v>
      </c>
      <c r="O23" s="65"/>
    </row>
    <row r="24" spans="1:20" ht="24" customHeight="1" thickBot="1">
      <c r="A24" s="238" t="s">
        <v>28</v>
      </c>
      <c r="B24" s="239"/>
      <c r="C24" s="66"/>
      <c r="D24" s="66"/>
      <c r="E24" s="67">
        <f>SUM(E22:E23)</f>
        <v>25.400000000001455</v>
      </c>
      <c r="F24" s="67">
        <f>SUM(F22:F23)</f>
        <v>243.07999999999998</v>
      </c>
      <c r="G24" s="68"/>
      <c r="H24" s="68"/>
      <c r="I24" s="67">
        <f>SUM(I22:I23)</f>
        <v>16.799999999999272</v>
      </c>
      <c r="J24" s="67">
        <f>SUM(J22:J23)</f>
        <v>268</v>
      </c>
      <c r="K24" s="69">
        <f>SUM(K22:K23)</f>
        <v>32.045454545455748</v>
      </c>
      <c r="L24" s="70">
        <f>SUM(L22:L23)</f>
        <v>42.200000000000728</v>
      </c>
      <c r="M24" s="43">
        <f>SUM(M22:M23)</f>
        <v>511.08</v>
      </c>
      <c r="N24" s="71"/>
      <c r="O24" s="37"/>
      <c r="P24" s="72"/>
    </row>
    <row r="25" spans="1:20" ht="18" customHeight="1" thickBot="1">
      <c r="A25" s="245" t="s">
        <v>32</v>
      </c>
      <c r="B25" s="246"/>
      <c r="C25" s="226"/>
      <c r="D25" s="226"/>
      <c r="E25" s="226"/>
      <c r="F25" s="226"/>
      <c r="G25" s="226"/>
      <c r="H25" s="226"/>
      <c r="I25" s="226"/>
      <c r="J25" s="226"/>
      <c r="K25" s="226"/>
      <c r="L25" s="246"/>
      <c r="M25" s="46"/>
      <c r="N25" s="47"/>
      <c r="O25" s="37"/>
    </row>
    <row r="26" spans="1:20" ht="22.8" customHeight="1">
      <c r="A26" s="209" t="s">
        <v>3</v>
      </c>
      <c r="B26" s="211" t="s">
        <v>4</v>
      </c>
      <c r="C26" s="234" t="s">
        <v>5</v>
      </c>
      <c r="D26" s="234"/>
      <c r="E26" s="234"/>
      <c r="F26" s="234"/>
      <c r="G26" s="234"/>
      <c r="H26" s="235" t="s">
        <v>6</v>
      </c>
      <c r="I26" s="235"/>
      <c r="J26" s="235"/>
      <c r="K26" s="235"/>
      <c r="L26" s="48"/>
      <c r="M26" s="219" t="s">
        <v>7</v>
      </c>
      <c r="N26" s="194" t="s">
        <v>8</v>
      </c>
      <c r="O26" s="37"/>
      <c r="S26" s="51"/>
    </row>
    <row r="27" spans="1:20" ht="24" customHeight="1">
      <c r="A27" s="247"/>
      <c r="B27" s="248"/>
      <c r="C27" s="6" t="s">
        <v>11</v>
      </c>
      <c r="D27" s="6" t="s">
        <v>12</v>
      </c>
      <c r="E27" s="6" t="s">
        <v>13</v>
      </c>
      <c r="F27" s="6" t="s">
        <v>14</v>
      </c>
      <c r="G27" s="6" t="s">
        <v>8</v>
      </c>
      <c r="H27" s="6" t="s">
        <v>12</v>
      </c>
      <c r="I27" s="6" t="s">
        <v>13</v>
      </c>
      <c r="J27" s="6" t="s">
        <v>14</v>
      </c>
      <c r="K27" s="7" t="s">
        <v>8</v>
      </c>
      <c r="L27" s="73" t="s">
        <v>15</v>
      </c>
      <c r="M27" s="236"/>
      <c r="N27" s="237"/>
      <c r="O27" s="37"/>
      <c r="P27" s="74"/>
      <c r="S27" s="51"/>
      <c r="T27" s="75"/>
    </row>
    <row r="28" spans="1:20" ht="24" customHeight="1">
      <c r="A28" s="76">
        <v>1</v>
      </c>
      <c r="B28" s="31" t="s">
        <v>33</v>
      </c>
      <c r="C28" s="35">
        <v>21539.8</v>
      </c>
      <c r="D28" s="35">
        <v>21539.8</v>
      </c>
      <c r="E28" s="35">
        <f>D28-C28</f>
        <v>0</v>
      </c>
      <c r="F28" s="33">
        <v>0</v>
      </c>
      <c r="G28" s="10">
        <f t="shared" ref="G28:G32" si="10">IFERROR(F28/E28,0)</f>
        <v>0</v>
      </c>
      <c r="H28" s="35">
        <v>21539.8</v>
      </c>
      <c r="I28" s="56">
        <f>H28-D28</f>
        <v>0</v>
      </c>
      <c r="J28" s="33">
        <v>0</v>
      </c>
      <c r="K28" s="28">
        <f t="shared" ref="K28:K32" si="11">IFERROR(J28/I28,0)</f>
        <v>0</v>
      </c>
      <c r="L28" s="18">
        <f t="shared" ref="L28:M32" si="12">E28+I28</f>
        <v>0</v>
      </c>
      <c r="M28" s="22">
        <f t="shared" si="12"/>
        <v>0</v>
      </c>
      <c r="N28" s="23">
        <f>IFERROR(M28/L28,0)</f>
        <v>0</v>
      </c>
      <c r="O28" s="37"/>
    </row>
    <row r="29" spans="1:20" ht="24" customHeight="1">
      <c r="A29" s="76">
        <v>2</v>
      </c>
      <c r="B29" s="31" t="s">
        <v>34</v>
      </c>
      <c r="C29" s="35">
        <v>20997.7</v>
      </c>
      <c r="D29" s="35">
        <v>21010.799999999999</v>
      </c>
      <c r="E29" s="35">
        <f>D29-C29</f>
        <v>13.099999999998545</v>
      </c>
      <c r="F29" s="33">
        <v>282.98</v>
      </c>
      <c r="G29" s="10">
        <f t="shared" si="10"/>
        <v>21.601526717559654</v>
      </c>
      <c r="H29" s="35">
        <v>21019.7</v>
      </c>
      <c r="I29" s="56">
        <f>H29-D29</f>
        <v>8.9000000000014552</v>
      </c>
      <c r="J29" s="33">
        <v>240.2</v>
      </c>
      <c r="K29" s="28">
        <f>IFERROR(J29/I29,0)</f>
        <v>26.988764044939405</v>
      </c>
      <c r="L29" s="18">
        <f t="shared" si="12"/>
        <v>22</v>
      </c>
      <c r="M29" s="22">
        <f t="shared" si="12"/>
        <v>523.18000000000006</v>
      </c>
      <c r="N29" s="23">
        <f>IFERROR(M29/L29,0)</f>
        <v>23.780909090909095</v>
      </c>
      <c r="O29" s="37"/>
    </row>
    <row r="30" spans="1:20" ht="24" customHeight="1">
      <c r="A30" s="76">
        <v>3</v>
      </c>
      <c r="B30" s="31" t="s">
        <v>35</v>
      </c>
      <c r="C30" s="35">
        <v>8910.9</v>
      </c>
      <c r="D30" s="35">
        <v>8910.9</v>
      </c>
      <c r="E30" s="17">
        <f t="shared" ref="E30:E32" si="13">D30-C30</f>
        <v>0</v>
      </c>
      <c r="F30" s="33">
        <v>0</v>
      </c>
      <c r="G30" s="10">
        <f t="shared" si="10"/>
        <v>0</v>
      </c>
      <c r="H30" s="35">
        <v>8910.9</v>
      </c>
      <c r="I30" s="19">
        <f>H30-D30</f>
        <v>0</v>
      </c>
      <c r="J30" s="33">
        <v>0</v>
      </c>
      <c r="K30" s="28">
        <f t="shared" si="11"/>
        <v>0</v>
      </c>
      <c r="L30" s="18">
        <f t="shared" si="12"/>
        <v>0</v>
      </c>
      <c r="M30" s="22">
        <f t="shared" si="12"/>
        <v>0</v>
      </c>
      <c r="N30" s="23">
        <f>IFERROR(M30/L30,0)</f>
        <v>0</v>
      </c>
      <c r="O30" s="77"/>
    </row>
    <row r="31" spans="1:20" ht="24.6" customHeight="1">
      <c r="A31" s="76">
        <v>4</v>
      </c>
      <c r="B31" s="31" t="s">
        <v>36</v>
      </c>
      <c r="C31" s="35">
        <v>3315.7</v>
      </c>
      <c r="D31" s="35">
        <v>3323.7</v>
      </c>
      <c r="E31" s="17">
        <f t="shared" si="13"/>
        <v>8</v>
      </c>
      <c r="F31" s="33">
        <v>177</v>
      </c>
      <c r="G31" s="78">
        <f t="shared" si="10"/>
        <v>22.125</v>
      </c>
      <c r="H31" s="35">
        <v>3332.7</v>
      </c>
      <c r="I31" s="19">
        <f t="shared" ref="I31:I32" si="14">H31-D31</f>
        <v>9</v>
      </c>
      <c r="J31" s="33">
        <v>196</v>
      </c>
      <c r="K31" s="28">
        <f t="shared" si="11"/>
        <v>21.777777777777779</v>
      </c>
      <c r="L31" s="18">
        <f t="shared" si="12"/>
        <v>17</v>
      </c>
      <c r="M31" s="79">
        <f t="shared" si="12"/>
        <v>373</v>
      </c>
      <c r="N31" s="23">
        <f>IFERROR(M31/L31,0)</f>
        <v>21.941176470588236</v>
      </c>
      <c r="O31" s="80"/>
    </row>
    <row r="32" spans="1:20" ht="24.6" customHeight="1">
      <c r="A32" s="76">
        <v>5</v>
      </c>
      <c r="B32" s="31" t="s">
        <v>37</v>
      </c>
      <c r="C32" s="35">
        <v>628</v>
      </c>
      <c r="D32" s="35">
        <v>639.70000000000005</v>
      </c>
      <c r="E32" s="17">
        <f t="shared" si="13"/>
        <v>11.700000000000045</v>
      </c>
      <c r="F32" s="33">
        <v>304.38</v>
      </c>
      <c r="G32" s="78">
        <f t="shared" si="10"/>
        <v>26.015384615384512</v>
      </c>
      <c r="H32" s="35">
        <v>647.20000000000005</v>
      </c>
      <c r="I32" s="19">
        <f t="shared" si="14"/>
        <v>7.5</v>
      </c>
      <c r="J32" s="33">
        <v>186.34</v>
      </c>
      <c r="K32" s="28">
        <f t="shared" si="11"/>
        <v>24.845333333333333</v>
      </c>
      <c r="L32" s="18">
        <f t="shared" si="12"/>
        <v>19.200000000000045</v>
      </c>
      <c r="M32" s="79">
        <f t="shared" si="12"/>
        <v>490.72</v>
      </c>
      <c r="N32" s="23">
        <f>IFERROR(M32/L32,0)</f>
        <v>25.558333333333273</v>
      </c>
      <c r="O32" s="80"/>
    </row>
    <row r="33" spans="1:26" ht="22.8" customHeight="1" thickBot="1">
      <c r="A33" s="238" t="s">
        <v>28</v>
      </c>
      <c r="B33" s="239"/>
      <c r="C33" s="66"/>
      <c r="D33" s="66"/>
      <c r="E33" s="67">
        <f>SUM(E28:E32)</f>
        <v>32.79999999999859</v>
      </c>
      <c r="F33" s="67">
        <f>SUM(F28:F32)</f>
        <v>764.36</v>
      </c>
      <c r="G33" s="68"/>
      <c r="H33" s="68"/>
      <c r="I33" s="67">
        <f>SUM(I28:I32)</f>
        <v>25.400000000001455</v>
      </c>
      <c r="J33" s="67">
        <f>SUM(J28:J32)</f>
        <v>622.54</v>
      </c>
      <c r="K33" s="69">
        <f>SUM(K28:K32)</f>
        <v>73.611875156050516</v>
      </c>
      <c r="L33" s="70">
        <f>SUM(L28:L32)</f>
        <v>58.200000000000045</v>
      </c>
      <c r="M33" s="43">
        <f>SUM(M28:M32)</f>
        <v>1386.9</v>
      </c>
      <c r="N33" s="71">
        <f>IFERROR(M33/K33,0)</f>
        <v>18.840710103633381</v>
      </c>
      <c r="O33" s="37"/>
      <c r="P33" s="72"/>
      <c r="S33" s="51"/>
    </row>
    <row r="34" spans="1:26" ht="24" customHeight="1">
      <c r="A34" s="240" t="s">
        <v>38</v>
      </c>
      <c r="B34" s="241"/>
      <c r="C34" s="241"/>
      <c r="D34" s="241"/>
      <c r="E34" s="241"/>
      <c r="F34" s="241"/>
      <c r="G34" s="241"/>
      <c r="H34" s="241"/>
      <c r="I34" s="241"/>
      <c r="J34" s="241"/>
      <c r="K34" s="241"/>
      <c r="L34" s="242"/>
      <c r="M34" s="46"/>
      <c r="N34" s="47"/>
      <c r="O34" s="61"/>
      <c r="S34" s="51"/>
    </row>
    <row r="35" spans="1:26" ht="24" customHeight="1">
      <c r="A35" s="243" t="s">
        <v>3</v>
      </c>
      <c r="B35" s="243" t="s">
        <v>4</v>
      </c>
      <c r="C35" s="213" t="s">
        <v>5</v>
      </c>
      <c r="D35" s="214"/>
      <c r="E35" s="214"/>
      <c r="F35" s="214"/>
      <c r="G35" s="215"/>
      <c r="H35" s="216" t="s">
        <v>6</v>
      </c>
      <c r="I35" s="217"/>
      <c r="J35" s="217"/>
      <c r="K35" s="218"/>
      <c r="L35" s="5"/>
      <c r="M35" s="221" t="s">
        <v>7</v>
      </c>
      <c r="N35" s="222" t="s">
        <v>8</v>
      </c>
      <c r="O35" s="37"/>
    </row>
    <row r="36" spans="1:26" ht="24" customHeight="1">
      <c r="A36" s="244"/>
      <c r="B36" s="244"/>
      <c r="C36" s="2" t="s">
        <v>11</v>
      </c>
      <c r="D36" s="2" t="s">
        <v>12</v>
      </c>
      <c r="E36" s="2" t="s">
        <v>13</v>
      </c>
      <c r="F36" s="2" t="s">
        <v>14</v>
      </c>
      <c r="G36" s="2" t="s">
        <v>8</v>
      </c>
      <c r="H36" s="2" t="s">
        <v>12</v>
      </c>
      <c r="I36" s="2" t="s">
        <v>13</v>
      </c>
      <c r="J36" s="2" t="s">
        <v>14</v>
      </c>
      <c r="K36" s="82" t="s">
        <v>8</v>
      </c>
      <c r="L36" s="12" t="s">
        <v>15</v>
      </c>
      <c r="M36" s="221"/>
      <c r="N36" s="222"/>
      <c r="O36" s="37"/>
    </row>
    <row r="37" spans="1:26" ht="24" customHeight="1">
      <c r="A37" s="76">
        <v>1</v>
      </c>
      <c r="B37" s="31" t="s">
        <v>39</v>
      </c>
      <c r="C37" s="83">
        <v>16531.2</v>
      </c>
      <c r="D37" s="83">
        <v>16542.7</v>
      </c>
      <c r="E37" s="35">
        <f>D37-C37</f>
        <v>11.5</v>
      </c>
      <c r="F37" s="33">
        <v>153</v>
      </c>
      <c r="G37" s="78">
        <f t="shared" ref="G37:G38" si="15">IFERROR(F37/E37,0)</f>
        <v>13.304347826086957</v>
      </c>
      <c r="H37" s="83">
        <v>16551.8</v>
      </c>
      <c r="I37" s="56">
        <f>H37-D37</f>
        <v>9.0999999999985448</v>
      </c>
      <c r="J37" s="33">
        <v>151.84</v>
      </c>
      <c r="K37" s="28">
        <f>IFERROR(J37/I37,0)</f>
        <v>16.685714285716955</v>
      </c>
      <c r="L37" s="84">
        <f t="shared" ref="L37:L38" si="16">E37+I37</f>
        <v>20.599999999998545</v>
      </c>
      <c r="M37" s="79">
        <f>F37+J37</f>
        <v>304.84000000000003</v>
      </c>
      <c r="N37" s="34">
        <f>IFERROR(M37/L37,0)</f>
        <v>14.79805825242823</v>
      </c>
      <c r="O37" s="37"/>
    </row>
    <row r="38" spans="1:26" ht="27" customHeight="1">
      <c r="A38" s="76">
        <v>2</v>
      </c>
      <c r="B38" s="31" t="s">
        <v>40</v>
      </c>
      <c r="C38" s="35">
        <v>4318.3999999999996</v>
      </c>
      <c r="D38" s="35">
        <v>4329.3999999999996</v>
      </c>
      <c r="E38" s="17">
        <f>D38-C38</f>
        <v>11</v>
      </c>
      <c r="F38" s="33">
        <v>229</v>
      </c>
      <c r="G38" s="10">
        <f t="shared" si="15"/>
        <v>20.818181818181817</v>
      </c>
      <c r="H38" s="35">
        <v>4339.2</v>
      </c>
      <c r="I38" s="19">
        <f>H38-D38</f>
        <v>9.8000000000001819</v>
      </c>
      <c r="J38" s="33">
        <v>210.34</v>
      </c>
      <c r="K38" s="28">
        <f>IFERROR(J38/I38,0)</f>
        <v>21.46326530612205</v>
      </c>
      <c r="L38" s="18">
        <f t="shared" si="16"/>
        <v>20.800000000000182</v>
      </c>
      <c r="M38" s="22">
        <f>F38+J38</f>
        <v>439.34000000000003</v>
      </c>
      <c r="N38" s="23">
        <f>IFERROR(M38/L38,0)</f>
        <v>21.122115384615203</v>
      </c>
      <c r="O38" s="37"/>
      <c r="S38" s="51"/>
    </row>
    <row r="39" spans="1:26" ht="22.8" customHeight="1" thickBot="1">
      <c r="A39" s="196" t="s">
        <v>28</v>
      </c>
      <c r="B39" s="233"/>
      <c r="C39" s="68"/>
      <c r="D39" s="66"/>
      <c r="E39" s="67">
        <f>SUM(E37:E38)</f>
        <v>22.5</v>
      </c>
      <c r="F39" s="67">
        <f>SUM(F37:F38:F38)</f>
        <v>382</v>
      </c>
      <c r="G39" s="68"/>
      <c r="H39" s="68"/>
      <c r="I39" s="67">
        <f>SUM(I37:I38)</f>
        <v>18.899999999998727</v>
      </c>
      <c r="J39" s="67">
        <f>SUM(J37:J38)</f>
        <v>362.18</v>
      </c>
      <c r="K39" s="69">
        <f>SUM(K37:K38)</f>
        <v>38.148979591839009</v>
      </c>
      <c r="L39" s="70">
        <f>SUM(L37:L38)</f>
        <v>41.399999999998727</v>
      </c>
      <c r="M39" s="43">
        <f>SUM(M37:M38)</f>
        <v>744.18000000000006</v>
      </c>
      <c r="N39" s="71">
        <f>IFERROR(M39/K39,0)</f>
        <v>19.50720590595294</v>
      </c>
      <c r="O39" s="37"/>
      <c r="P39" s="72"/>
      <c r="S39" s="51"/>
    </row>
    <row r="40" spans="1:26" ht="24" customHeight="1">
      <c r="A40" s="225" t="s">
        <v>41</v>
      </c>
      <c r="B40" s="226"/>
      <c r="C40" s="226"/>
      <c r="D40" s="226"/>
      <c r="E40" s="226"/>
      <c r="F40" s="226"/>
      <c r="G40" s="226"/>
      <c r="H40" s="226"/>
      <c r="I40" s="226"/>
      <c r="J40" s="226"/>
      <c r="K40" s="226"/>
      <c r="L40" s="226"/>
      <c r="M40" s="46"/>
      <c r="N40" s="47"/>
      <c r="O40" s="61"/>
    </row>
    <row r="41" spans="1:26" ht="24" customHeight="1">
      <c r="A41" s="222" t="s">
        <v>3</v>
      </c>
      <c r="B41" s="222" t="s">
        <v>4</v>
      </c>
      <c r="C41" s="234" t="s">
        <v>5</v>
      </c>
      <c r="D41" s="234"/>
      <c r="E41" s="234"/>
      <c r="F41" s="234"/>
      <c r="G41" s="234"/>
      <c r="H41" s="235" t="s">
        <v>6</v>
      </c>
      <c r="I41" s="235"/>
      <c r="J41" s="235"/>
      <c r="K41" s="235"/>
      <c r="L41" s="5"/>
      <c r="M41" s="221" t="s">
        <v>7</v>
      </c>
      <c r="N41" s="222" t="s">
        <v>8</v>
      </c>
      <c r="O41" s="37"/>
    </row>
    <row r="42" spans="1:26" ht="25.8" customHeight="1">
      <c r="A42" s="222"/>
      <c r="B42" s="222"/>
      <c r="C42" s="2" t="s">
        <v>11</v>
      </c>
      <c r="D42" s="2" t="s">
        <v>12</v>
      </c>
      <c r="E42" s="2" t="s">
        <v>13</v>
      </c>
      <c r="F42" s="2" t="s">
        <v>14</v>
      </c>
      <c r="G42" s="2" t="s">
        <v>8</v>
      </c>
      <c r="H42" s="2" t="s">
        <v>12</v>
      </c>
      <c r="I42" s="2" t="s">
        <v>13</v>
      </c>
      <c r="J42" s="2" t="s">
        <v>14</v>
      </c>
      <c r="K42" s="82" t="s">
        <v>8</v>
      </c>
      <c r="L42" s="12" t="s">
        <v>15</v>
      </c>
      <c r="M42" s="221"/>
      <c r="N42" s="222"/>
      <c r="O42" s="37"/>
    </row>
    <row r="43" spans="1:26" ht="24.6" customHeight="1">
      <c r="A43" s="76">
        <v>1</v>
      </c>
      <c r="B43" s="85" t="s">
        <v>42</v>
      </c>
      <c r="C43" s="33">
        <v>8589.5</v>
      </c>
      <c r="D43" s="33">
        <v>8589.5</v>
      </c>
      <c r="E43" s="20">
        <f>D43-C43</f>
        <v>0</v>
      </c>
      <c r="F43" s="33">
        <v>0</v>
      </c>
      <c r="G43" s="10">
        <f t="shared" ref="G43:G44" si="17">IFERROR(F43/E43,0)</f>
        <v>0</v>
      </c>
      <c r="H43" s="33">
        <v>8589.5</v>
      </c>
      <c r="I43" s="86">
        <f>H43-D43</f>
        <v>0</v>
      </c>
      <c r="J43" s="33">
        <v>0</v>
      </c>
      <c r="K43" s="28">
        <f>IFERROR(J43/I43,0)</f>
        <v>0</v>
      </c>
      <c r="L43" s="18">
        <f>E43+I43</f>
        <v>0</v>
      </c>
      <c r="M43" s="22">
        <f>F43+J43</f>
        <v>0</v>
      </c>
      <c r="N43" s="23">
        <f>IFERROR(M43/L43,0)</f>
        <v>0</v>
      </c>
      <c r="O43" s="87"/>
      <c r="S43" s="51"/>
    </row>
    <row r="44" spans="1:26" ht="22.8" customHeight="1">
      <c r="A44" s="76">
        <v>2</v>
      </c>
      <c r="B44" s="85" t="s">
        <v>43</v>
      </c>
      <c r="C44" s="33">
        <v>1586.9</v>
      </c>
      <c r="D44" s="33">
        <v>1586.9</v>
      </c>
      <c r="E44" s="20">
        <f>D44-C44</f>
        <v>0</v>
      </c>
      <c r="F44" s="33">
        <v>0</v>
      </c>
      <c r="G44" s="10">
        <f t="shared" si="17"/>
        <v>0</v>
      </c>
      <c r="H44" s="33">
        <v>1586.9</v>
      </c>
      <c r="I44" s="86">
        <f>H44-D44</f>
        <v>0</v>
      </c>
      <c r="J44" s="33">
        <v>0</v>
      </c>
      <c r="K44" s="28">
        <f>IFERROR(J44/I44,0)</f>
        <v>0</v>
      </c>
      <c r="L44" s="18">
        <f>E44+I44</f>
        <v>0</v>
      </c>
      <c r="M44" s="22">
        <f t="shared" ref="M44" si="18">F44+J44</f>
        <v>0</v>
      </c>
      <c r="N44" s="23">
        <f>IFERROR(M44/L44,0)</f>
        <v>0</v>
      </c>
      <c r="O44" s="87"/>
      <c r="P44" s="88"/>
      <c r="Q44" s="89"/>
    </row>
    <row r="45" spans="1:26" ht="24" customHeight="1" thickBot="1">
      <c r="A45" s="223" t="s">
        <v>28</v>
      </c>
      <c r="B45" s="224"/>
      <c r="C45" s="90"/>
      <c r="D45" s="90"/>
      <c r="E45" s="91">
        <f>SUM(E43:E44)</f>
        <v>0</v>
      </c>
      <c r="F45" s="91">
        <f>SUM(F43:F44)</f>
        <v>0</v>
      </c>
      <c r="G45" s="92"/>
      <c r="H45" s="92"/>
      <c r="I45" s="91">
        <f>SUM(I43:I44)</f>
        <v>0</v>
      </c>
      <c r="J45" s="91">
        <f>SUM(J43:J44)</f>
        <v>0</v>
      </c>
      <c r="K45" s="93">
        <f>SUM(K43:K44)</f>
        <v>0</v>
      </c>
      <c r="L45" s="94">
        <f>SUM(L43:L44)</f>
        <v>0</v>
      </c>
      <c r="M45" s="95">
        <f>SUM(M43:M44)</f>
        <v>0</v>
      </c>
      <c r="N45" s="96" t="e">
        <f>M45/L45</f>
        <v>#DIV/0!</v>
      </c>
      <c r="O45" s="37"/>
      <c r="P45" s="97"/>
      <c r="Q45" s="89"/>
    </row>
    <row r="46" spans="1:26" ht="24" customHeight="1">
      <c r="A46" s="225" t="s">
        <v>44</v>
      </c>
      <c r="B46" s="226"/>
      <c r="C46" s="226"/>
      <c r="D46" s="226"/>
      <c r="E46" s="226"/>
      <c r="F46" s="226"/>
      <c r="G46" s="226"/>
      <c r="H46" s="226"/>
      <c r="I46" s="226"/>
      <c r="J46" s="226"/>
      <c r="K46" s="226"/>
      <c r="L46" s="226"/>
      <c r="M46" s="98"/>
      <c r="N46" s="99"/>
      <c r="O46" s="37"/>
      <c r="P46" s="100"/>
      <c r="Q46" s="100"/>
    </row>
    <row r="47" spans="1:26" ht="24" customHeight="1">
      <c r="A47" s="222" t="s">
        <v>3</v>
      </c>
      <c r="B47" s="222" t="s">
        <v>4</v>
      </c>
      <c r="C47" s="227" t="s">
        <v>5</v>
      </c>
      <c r="D47" s="228"/>
      <c r="E47" s="228"/>
      <c r="F47" s="228"/>
      <c r="G47" s="228"/>
      <c r="H47" s="229"/>
      <c r="I47" s="230" t="s">
        <v>6</v>
      </c>
      <c r="J47" s="231"/>
      <c r="K47" s="231"/>
      <c r="L47" s="231"/>
      <c r="M47" s="231"/>
      <c r="N47" s="232"/>
      <c r="O47" s="201" t="s">
        <v>45</v>
      </c>
      <c r="P47" s="203" t="s">
        <v>46</v>
      </c>
      <c r="Q47" s="203" t="s">
        <v>47</v>
      </c>
      <c r="R47" s="205" t="s">
        <v>48</v>
      </c>
      <c r="Z47" s="101"/>
    </row>
    <row r="48" spans="1:26" ht="33" customHeight="1">
      <c r="A48" s="222"/>
      <c r="B48" s="222"/>
      <c r="C48" s="2" t="s">
        <v>49</v>
      </c>
      <c r="D48" s="2" t="s">
        <v>50</v>
      </c>
      <c r="E48" s="2" t="s">
        <v>51</v>
      </c>
      <c r="F48" s="102" t="s">
        <v>11</v>
      </c>
      <c r="G48" s="2" t="s">
        <v>14</v>
      </c>
      <c r="H48" s="2" t="s">
        <v>8</v>
      </c>
      <c r="I48" s="2" t="s">
        <v>50</v>
      </c>
      <c r="J48" s="2" t="s">
        <v>45</v>
      </c>
      <c r="K48" s="102" t="s">
        <v>12</v>
      </c>
      <c r="L48" s="102" t="s">
        <v>15</v>
      </c>
      <c r="M48" s="2" t="s">
        <v>14</v>
      </c>
      <c r="N48" s="82" t="s">
        <v>8</v>
      </c>
      <c r="O48" s="202"/>
      <c r="P48" s="204"/>
      <c r="Q48" s="204"/>
      <c r="R48" s="205"/>
    </row>
    <row r="49" spans="1:27" ht="21" customHeight="1">
      <c r="A49" s="81">
        <v>1</v>
      </c>
      <c r="B49" s="103" t="s">
        <v>52</v>
      </c>
      <c r="C49" s="2">
        <v>278776.8</v>
      </c>
      <c r="D49" s="2">
        <v>278776.8</v>
      </c>
      <c r="E49" s="104">
        <f t="shared" ref="E49:E109" si="19">D49-C49</f>
        <v>0</v>
      </c>
      <c r="F49" s="105">
        <v>22065</v>
      </c>
      <c r="G49" s="49">
        <v>0</v>
      </c>
      <c r="H49" s="10">
        <f t="shared" ref="H49:H109" si="20">IFERROR(E49/G49,0)</f>
        <v>0</v>
      </c>
      <c r="I49" s="2">
        <v>278851.40000000002</v>
      </c>
      <c r="J49" s="106">
        <f t="shared" ref="J49:J109" si="21">I49-D49</f>
        <v>74.600000000034925</v>
      </c>
      <c r="K49" s="105">
        <v>22072.49</v>
      </c>
      <c r="L49" s="107">
        <f t="shared" ref="L49:L109" si="22">K49-F49</f>
        <v>7.4900000000016007</v>
      </c>
      <c r="M49" s="2">
        <v>119</v>
      </c>
      <c r="N49" s="28">
        <f t="shared" ref="N49:N109" si="23">IFERROR(J49/M49,0)</f>
        <v>0.62689075630281454</v>
      </c>
      <c r="O49" s="84">
        <f t="shared" ref="O49:O109" si="24">J49+E49</f>
        <v>74.600000000034925</v>
      </c>
      <c r="P49" s="79">
        <f t="shared" ref="P49:P109" si="25">G49+M49</f>
        <v>119</v>
      </c>
      <c r="Q49" s="34">
        <f t="shared" ref="Q49:Q109" si="26">IFERROR(O49/P49,0)</f>
        <v>0.62689075630281454</v>
      </c>
      <c r="R49" s="108">
        <v>6</v>
      </c>
    </row>
    <row r="50" spans="1:27" ht="21" customHeight="1">
      <c r="A50" s="81">
        <v>2</v>
      </c>
      <c r="B50" s="103" t="s">
        <v>155</v>
      </c>
      <c r="C50" s="2">
        <v>300676</v>
      </c>
      <c r="D50" s="2">
        <v>300769</v>
      </c>
      <c r="E50" s="104">
        <f t="shared" si="19"/>
        <v>93</v>
      </c>
      <c r="F50" s="105">
        <v>30416</v>
      </c>
      <c r="G50" s="49">
        <v>139.29</v>
      </c>
      <c r="H50" s="10">
        <f t="shared" si="20"/>
        <v>0.66767176394572481</v>
      </c>
      <c r="I50" s="2">
        <v>300911</v>
      </c>
      <c r="J50" s="106">
        <f t="shared" si="21"/>
        <v>142</v>
      </c>
      <c r="K50" s="105">
        <v>30434</v>
      </c>
      <c r="L50" s="107">
        <f t="shared" si="22"/>
        <v>18</v>
      </c>
      <c r="M50" s="2">
        <v>217</v>
      </c>
      <c r="N50" s="28">
        <f t="shared" si="23"/>
        <v>0.65437788018433185</v>
      </c>
      <c r="O50" s="84">
        <f t="shared" si="24"/>
        <v>235</v>
      </c>
      <c r="P50" s="79">
        <f t="shared" si="25"/>
        <v>356.28999999999996</v>
      </c>
      <c r="Q50" s="34">
        <f t="shared" si="26"/>
        <v>0.65957506525583098</v>
      </c>
      <c r="R50" s="108">
        <v>22</v>
      </c>
    </row>
    <row r="51" spans="1:27" ht="21" customHeight="1">
      <c r="A51" s="81">
        <v>3</v>
      </c>
      <c r="B51" s="103" t="s">
        <v>171</v>
      </c>
      <c r="C51" s="2">
        <v>309953</v>
      </c>
      <c r="D51" s="2">
        <v>310102</v>
      </c>
      <c r="E51" s="104">
        <f t="shared" si="19"/>
        <v>149</v>
      </c>
      <c r="F51" s="105">
        <v>30988</v>
      </c>
      <c r="G51" s="49">
        <v>244.1</v>
      </c>
      <c r="H51" s="10">
        <f t="shared" si="20"/>
        <v>0.61040557148709551</v>
      </c>
      <c r="I51" s="2">
        <v>310225</v>
      </c>
      <c r="J51" s="106">
        <f t="shared" si="21"/>
        <v>123</v>
      </c>
      <c r="K51" s="105">
        <v>31011</v>
      </c>
      <c r="L51" s="107">
        <f t="shared" si="22"/>
        <v>23</v>
      </c>
      <c r="M51" s="2">
        <v>194</v>
      </c>
      <c r="N51" s="28">
        <f t="shared" si="23"/>
        <v>0.634020618556701</v>
      </c>
      <c r="O51" s="84">
        <f t="shared" si="24"/>
        <v>272</v>
      </c>
      <c r="P51" s="79">
        <f t="shared" si="25"/>
        <v>438.1</v>
      </c>
      <c r="Q51" s="34">
        <f t="shared" si="26"/>
        <v>0.62086281670851395</v>
      </c>
      <c r="R51" s="108">
        <v>22</v>
      </c>
    </row>
    <row r="52" spans="1:27" ht="21" customHeight="1">
      <c r="A52" s="81">
        <v>4</v>
      </c>
      <c r="B52" s="103" t="s">
        <v>156</v>
      </c>
      <c r="C52" s="2">
        <v>260550</v>
      </c>
      <c r="D52" s="2">
        <v>260685</v>
      </c>
      <c r="E52" s="104">
        <f t="shared" si="19"/>
        <v>135</v>
      </c>
      <c r="F52" s="105">
        <v>27653</v>
      </c>
      <c r="G52" s="49">
        <v>218</v>
      </c>
      <c r="H52" s="10">
        <f t="shared" si="20"/>
        <v>0.61926605504587151</v>
      </c>
      <c r="I52" s="2">
        <v>260786</v>
      </c>
      <c r="J52" s="106">
        <f t="shared" si="21"/>
        <v>101</v>
      </c>
      <c r="K52" s="105">
        <v>27673</v>
      </c>
      <c r="L52" s="107">
        <f t="shared" si="22"/>
        <v>20</v>
      </c>
      <c r="M52" s="2">
        <v>162</v>
      </c>
      <c r="N52" s="28">
        <f t="shared" si="23"/>
        <v>0.62345679012345678</v>
      </c>
      <c r="O52" s="84">
        <f t="shared" si="24"/>
        <v>236</v>
      </c>
      <c r="P52" s="79">
        <f t="shared" si="25"/>
        <v>380</v>
      </c>
      <c r="Q52" s="34">
        <f t="shared" si="26"/>
        <v>0.62105263157894741</v>
      </c>
      <c r="R52" s="108">
        <v>23</v>
      </c>
    </row>
    <row r="53" spans="1:27" ht="21" customHeight="1">
      <c r="A53" s="81">
        <v>5</v>
      </c>
      <c r="B53" s="103" t="s">
        <v>157</v>
      </c>
      <c r="C53" s="2">
        <v>275640</v>
      </c>
      <c r="D53" s="2">
        <v>275780</v>
      </c>
      <c r="E53" s="104">
        <f t="shared" si="19"/>
        <v>140</v>
      </c>
      <c r="F53" s="105">
        <v>28002</v>
      </c>
      <c r="G53" s="49">
        <v>224</v>
      </c>
      <c r="H53" s="10">
        <f t="shared" si="20"/>
        <v>0.625</v>
      </c>
      <c r="I53" s="2">
        <v>275939</v>
      </c>
      <c r="J53" s="106">
        <f t="shared" si="21"/>
        <v>159</v>
      </c>
      <c r="K53" s="105">
        <v>28022</v>
      </c>
      <c r="L53" s="107">
        <f t="shared" si="22"/>
        <v>20</v>
      </c>
      <c r="M53" s="2">
        <v>260</v>
      </c>
      <c r="N53" s="28">
        <f t="shared" si="23"/>
        <v>0.61153846153846159</v>
      </c>
      <c r="O53" s="84">
        <f t="shared" si="24"/>
        <v>299</v>
      </c>
      <c r="P53" s="79">
        <f t="shared" si="25"/>
        <v>484</v>
      </c>
      <c r="Q53" s="34">
        <f t="shared" si="26"/>
        <v>0.61776859504132231</v>
      </c>
      <c r="R53" s="108">
        <v>30</v>
      </c>
    </row>
    <row r="54" spans="1:27" ht="21" customHeight="1">
      <c r="A54" s="81">
        <v>6</v>
      </c>
      <c r="B54" s="103" t="s">
        <v>172</v>
      </c>
      <c r="C54" s="2">
        <v>266601</v>
      </c>
      <c r="D54" s="2">
        <v>266601</v>
      </c>
      <c r="E54" s="104">
        <f t="shared" si="19"/>
        <v>0</v>
      </c>
      <c r="F54" s="105">
        <v>26391</v>
      </c>
      <c r="G54" s="49">
        <v>0</v>
      </c>
      <c r="H54" s="10">
        <f t="shared" si="20"/>
        <v>0</v>
      </c>
      <c r="I54" s="2">
        <v>266601</v>
      </c>
      <c r="J54" s="106">
        <f t="shared" si="21"/>
        <v>0</v>
      </c>
      <c r="K54" s="105">
        <v>26391</v>
      </c>
      <c r="L54" s="107">
        <f t="shared" si="22"/>
        <v>0</v>
      </c>
      <c r="M54" s="2">
        <v>0</v>
      </c>
      <c r="N54" s="28">
        <f t="shared" si="23"/>
        <v>0</v>
      </c>
      <c r="O54" s="84">
        <f t="shared" si="24"/>
        <v>0</v>
      </c>
      <c r="P54" s="79">
        <f t="shared" si="25"/>
        <v>0</v>
      </c>
      <c r="Q54" s="34">
        <f t="shared" si="26"/>
        <v>0</v>
      </c>
      <c r="R54" s="108">
        <v>0</v>
      </c>
    </row>
    <row r="55" spans="1:27" ht="21" customHeight="1">
      <c r="A55" s="81">
        <v>7</v>
      </c>
      <c r="B55" s="103" t="s">
        <v>173</v>
      </c>
      <c r="C55" s="2">
        <v>295692</v>
      </c>
      <c r="D55" s="2">
        <v>295692</v>
      </c>
      <c r="E55" s="104">
        <f t="shared" si="19"/>
        <v>0</v>
      </c>
      <c r="F55" s="105">
        <v>28768</v>
      </c>
      <c r="G55" s="49">
        <v>0</v>
      </c>
      <c r="H55" s="10">
        <f t="shared" si="20"/>
        <v>0</v>
      </c>
      <c r="I55" s="2">
        <v>295692</v>
      </c>
      <c r="J55" s="106">
        <f t="shared" si="21"/>
        <v>0</v>
      </c>
      <c r="K55" s="105">
        <v>28768</v>
      </c>
      <c r="L55" s="107">
        <f t="shared" si="22"/>
        <v>0</v>
      </c>
      <c r="M55" s="2">
        <v>0</v>
      </c>
      <c r="N55" s="28">
        <f t="shared" si="23"/>
        <v>0</v>
      </c>
      <c r="O55" s="84">
        <f t="shared" si="24"/>
        <v>0</v>
      </c>
      <c r="P55" s="79">
        <f t="shared" si="25"/>
        <v>0</v>
      </c>
      <c r="Q55" s="34">
        <f t="shared" si="26"/>
        <v>0</v>
      </c>
      <c r="R55" s="108">
        <v>0</v>
      </c>
    </row>
    <row r="56" spans="1:27" ht="24" customHeight="1">
      <c r="A56" s="81">
        <v>8</v>
      </c>
      <c r="B56" s="31" t="s">
        <v>53</v>
      </c>
      <c r="C56" s="35">
        <v>334306.5</v>
      </c>
      <c r="D56" s="35">
        <v>334306.5</v>
      </c>
      <c r="E56" s="104">
        <f t="shared" si="19"/>
        <v>0</v>
      </c>
      <c r="F56" s="110">
        <v>29835</v>
      </c>
      <c r="G56" s="111">
        <v>0</v>
      </c>
      <c r="H56" s="10">
        <f t="shared" si="20"/>
        <v>0</v>
      </c>
      <c r="I56" s="35">
        <v>334306.5</v>
      </c>
      <c r="J56" s="106">
        <f t="shared" si="21"/>
        <v>0</v>
      </c>
      <c r="K56" s="110">
        <v>29835</v>
      </c>
      <c r="L56" s="107">
        <f t="shared" si="22"/>
        <v>0</v>
      </c>
      <c r="M56" s="112">
        <v>0</v>
      </c>
      <c r="N56" s="28">
        <f t="shared" si="23"/>
        <v>0</v>
      </c>
      <c r="O56" s="84">
        <f t="shared" si="24"/>
        <v>0</v>
      </c>
      <c r="P56" s="79">
        <f t="shared" si="25"/>
        <v>0</v>
      </c>
      <c r="Q56" s="34">
        <f t="shared" si="26"/>
        <v>0</v>
      </c>
      <c r="R56" s="1">
        <v>0</v>
      </c>
    </row>
    <row r="57" spans="1:27" ht="24" customHeight="1">
      <c r="A57" s="81">
        <v>9</v>
      </c>
      <c r="B57" s="31" t="s">
        <v>54</v>
      </c>
      <c r="C57" s="104">
        <v>292236.40000000002</v>
      </c>
      <c r="D57" s="104">
        <v>292386.5</v>
      </c>
      <c r="E57" s="104">
        <f t="shared" si="19"/>
        <v>150.09999999997672</v>
      </c>
      <c r="F57" s="110">
        <v>28003.24</v>
      </c>
      <c r="G57" s="111">
        <v>238</v>
      </c>
      <c r="H57" s="10">
        <f t="shared" si="20"/>
        <v>0.63067226890746519</v>
      </c>
      <c r="I57" s="104">
        <v>292386.5</v>
      </c>
      <c r="J57" s="106">
        <f>I57-D57</f>
        <v>0</v>
      </c>
      <c r="K57" s="110">
        <v>28015.51</v>
      </c>
      <c r="L57" s="107">
        <f t="shared" si="22"/>
        <v>12.269999999996799</v>
      </c>
      <c r="M57" s="111">
        <v>0</v>
      </c>
      <c r="N57" s="28">
        <f t="shared" si="23"/>
        <v>0</v>
      </c>
      <c r="O57" s="84">
        <f t="shared" si="24"/>
        <v>150.09999999997672</v>
      </c>
      <c r="P57" s="79">
        <f t="shared" si="25"/>
        <v>238</v>
      </c>
      <c r="Q57" s="34">
        <f t="shared" si="26"/>
        <v>0.63067226890746519</v>
      </c>
      <c r="R57" s="1">
        <v>18</v>
      </c>
      <c r="AA57" s="101"/>
    </row>
    <row r="58" spans="1:27" ht="24" customHeight="1">
      <c r="A58" s="81">
        <v>10</v>
      </c>
      <c r="B58" s="31" t="s">
        <v>55</v>
      </c>
      <c r="C58" s="104">
        <v>298907.40000000002</v>
      </c>
      <c r="D58" s="104">
        <v>298907.40000000002</v>
      </c>
      <c r="E58" s="104">
        <f t="shared" si="19"/>
        <v>0</v>
      </c>
      <c r="F58" s="110">
        <v>27086</v>
      </c>
      <c r="G58" s="111">
        <v>0</v>
      </c>
      <c r="H58" s="10">
        <f t="shared" si="20"/>
        <v>0</v>
      </c>
      <c r="I58" s="104">
        <v>298907.40000000002</v>
      </c>
      <c r="J58" s="106">
        <f>I58-D58</f>
        <v>0</v>
      </c>
      <c r="K58" s="110">
        <v>27086</v>
      </c>
      <c r="L58" s="107">
        <f t="shared" si="22"/>
        <v>0</v>
      </c>
      <c r="M58" s="111">
        <v>0</v>
      </c>
      <c r="N58" s="28">
        <f t="shared" si="23"/>
        <v>0</v>
      </c>
      <c r="O58" s="84">
        <f t="shared" si="24"/>
        <v>0</v>
      </c>
      <c r="P58" s="79">
        <f t="shared" si="25"/>
        <v>0</v>
      </c>
      <c r="Q58" s="34">
        <f t="shared" si="26"/>
        <v>0</v>
      </c>
      <c r="R58" s="1">
        <v>0</v>
      </c>
      <c r="AA58" s="101"/>
    </row>
    <row r="59" spans="1:27" ht="24" customHeight="1">
      <c r="A59" s="81">
        <v>11</v>
      </c>
      <c r="B59" s="31" t="s">
        <v>56</v>
      </c>
      <c r="C59" s="104">
        <v>339855.7</v>
      </c>
      <c r="D59" s="104">
        <v>339990.5</v>
      </c>
      <c r="E59" s="104">
        <f t="shared" si="19"/>
        <v>134.79999999998836</v>
      </c>
      <c r="F59" s="110">
        <v>26844.23</v>
      </c>
      <c r="G59" s="111">
        <v>192.69</v>
      </c>
      <c r="H59" s="10">
        <f t="shared" si="20"/>
        <v>0.69956925631837852</v>
      </c>
      <c r="I59" s="104">
        <v>340119.8</v>
      </c>
      <c r="J59" s="106">
        <f>I59-D59</f>
        <v>129.29999999998836</v>
      </c>
      <c r="K59" s="110">
        <v>26864.2</v>
      </c>
      <c r="L59" s="107">
        <f t="shared" si="22"/>
        <v>19.970000000001164</v>
      </c>
      <c r="M59" s="111">
        <v>203</v>
      </c>
      <c r="N59" s="28">
        <f t="shared" si="23"/>
        <v>0.63694581280782447</v>
      </c>
      <c r="O59" s="84">
        <f t="shared" si="24"/>
        <v>264.09999999997672</v>
      </c>
      <c r="P59" s="79">
        <f t="shared" si="25"/>
        <v>395.69</v>
      </c>
      <c r="Q59" s="34">
        <f t="shared" si="26"/>
        <v>0.66744168414662164</v>
      </c>
      <c r="R59" s="1">
        <v>22</v>
      </c>
      <c r="AA59" s="101"/>
    </row>
    <row r="60" spans="1:27" ht="24" customHeight="1">
      <c r="A60" s="81">
        <v>12</v>
      </c>
      <c r="B60" s="31" t="s">
        <v>57</v>
      </c>
      <c r="C60" s="104">
        <v>342733.4</v>
      </c>
      <c r="D60" s="104">
        <v>342959.2</v>
      </c>
      <c r="E60" s="104">
        <f t="shared" si="19"/>
        <v>225.79999999998836</v>
      </c>
      <c r="F60" s="110">
        <v>26670.59</v>
      </c>
      <c r="G60" s="111">
        <v>246</v>
      </c>
      <c r="H60" s="10">
        <f t="shared" si="20"/>
        <v>0.91788617886174129</v>
      </c>
      <c r="I60" s="104">
        <v>343134.2</v>
      </c>
      <c r="J60" s="106">
        <f>I60-D60</f>
        <v>175</v>
      </c>
      <c r="K60" s="110">
        <v>26693.41</v>
      </c>
      <c r="L60" s="107">
        <f t="shared" si="22"/>
        <v>22.819999999999709</v>
      </c>
      <c r="M60" s="111">
        <v>205</v>
      </c>
      <c r="N60" s="28">
        <f t="shared" si="23"/>
        <v>0.85365853658536583</v>
      </c>
      <c r="O60" s="84">
        <f t="shared" si="24"/>
        <v>400.79999999998836</v>
      </c>
      <c r="P60" s="79">
        <f t="shared" si="25"/>
        <v>451</v>
      </c>
      <c r="Q60" s="34">
        <f t="shared" si="26"/>
        <v>0.8886917960088434</v>
      </c>
      <c r="R60" s="1">
        <v>19</v>
      </c>
      <c r="AA60" s="101"/>
    </row>
    <row r="61" spans="1:27" ht="24" customHeight="1">
      <c r="A61" s="81">
        <v>13</v>
      </c>
      <c r="B61" s="31" t="s">
        <v>58</v>
      </c>
      <c r="C61" s="35">
        <v>300050.90000000002</v>
      </c>
      <c r="D61" s="35">
        <v>300189.40000000002</v>
      </c>
      <c r="E61" s="104">
        <f t="shared" si="19"/>
        <v>138.5</v>
      </c>
      <c r="F61" s="110">
        <v>26663.24</v>
      </c>
      <c r="G61" s="111">
        <v>237</v>
      </c>
      <c r="H61" s="10">
        <f t="shared" si="20"/>
        <v>0.58438818565400841</v>
      </c>
      <c r="I61" s="35">
        <v>300189.40000000002</v>
      </c>
      <c r="J61" s="106">
        <f t="shared" si="21"/>
        <v>0</v>
      </c>
      <c r="K61" s="110">
        <v>26676.37</v>
      </c>
      <c r="L61" s="107">
        <f t="shared" si="22"/>
        <v>13.129999999997381</v>
      </c>
      <c r="M61" s="112">
        <v>0</v>
      </c>
      <c r="N61" s="28">
        <f>IFERROR(J61/M61,0)</f>
        <v>0</v>
      </c>
      <c r="O61" s="84">
        <f t="shared" si="24"/>
        <v>138.5</v>
      </c>
      <c r="P61" s="79">
        <f t="shared" si="25"/>
        <v>237</v>
      </c>
      <c r="Q61" s="34">
        <f t="shared" si="26"/>
        <v>0.58438818565400841</v>
      </c>
      <c r="R61" s="1">
        <v>14</v>
      </c>
      <c r="U61" s="113"/>
    </row>
    <row r="62" spans="1:27" ht="24" customHeight="1">
      <c r="A62" s="81">
        <v>14</v>
      </c>
      <c r="B62" s="31" t="s">
        <v>59</v>
      </c>
      <c r="C62" s="35">
        <v>271894.40000000002</v>
      </c>
      <c r="D62" s="35">
        <v>272040.2</v>
      </c>
      <c r="E62" s="104">
        <f t="shared" si="19"/>
        <v>145.79999999998836</v>
      </c>
      <c r="F62" s="110">
        <v>25418.23</v>
      </c>
      <c r="G62" s="111">
        <v>231</v>
      </c>
      <c r="H62" s="10">
        <f t="shared" si="20"/>
        <v>0.63116883116878075</v>
      </c>
      <c r="I62" s="35">
        <v>272165</v>
      </c>
      <c r="J62" s="106">
        <f>I62-D62</f>
        <v>124.79999999998836</v>
      </c>
      <c r="K62" s="110">
        <v>25439.35</v>
      </c>
      <c r="L62" s="107">
        <f t="shared" si="22"/>
        <v>21.119999999998981</v>
      </c>
      <c r="M62" s="111">
        <v>202</v>
      </c>
      <c r="N62" s="28">
        <f>IFERROR(J62/M62,0)</f>
        <v>0.61782178217816019</v>
      </c>
      <c r="O62" s="84">
        <f t="shared" si="24"/>
        <v>270.59999999997672</v>
      </c>
      <c r="P62" s="79">
        <f t="shared" si="25"/>
        <v>433</v>
      </c>
      <c r="Q62" s="34">
        <f t="shared" si="26"/>
        <v>0.62494226327939195</v>
      </c>
      <c r="R62" s="1">
        <v>19</v>
      </c>
      <c r="X62" t="s">
        <v>60</v>
      </c>
    </row>
    <row r="63" spans="1:27" ht="24" customHeight="1">
      <c r="A63" s="81">
        <v>15</v>
      </c>
      <c r="B63" s="31" t="s">
        <v>61</v>
      </c>
      <c r="C63" s="104">
        <v>285086.2</v>
      </c>
      <c r="D63" s="104">
        <v>285206.5</v>
      </c>
      <c r="E63" s="104">
        <f t="shared" si="19"/>
        <v>120.29999999998836</v>
      </c>
      <c r="F63" s="110">
        <v>26584.51</v>
      </c>
      <c r="G63" s="111">
        <v>225</v>
      </c>
      <c r="H63" s="10">
        <f t="shared" si="20"/>
        <v>0.53466666666661489</v>
      </c>
      <c r="I63" s="104">
        <v>285315.5</v>
      </c>
      <c r="J63" s="106">
        <f>I63-D63</f>
        <v>109</v>
      </c>
      <c r="K63" s="110">
        <v>26625.32</v>
      </c>
      <c r="L63" s="107">
        <f t="shared" si="22"/>
        <v>40.81000000000131</v>
      </c>
      <c r="M63" s="112">
        <v>203</v>
      </c>
      <c r="N63" s="28">
        <f t="shared" si="23"/>
        <v>0.53694581280788178</v>
      </c>
      <c r="O63" s="84">
        <f t="shared" si="24"/>
        <v>229.29999999998836</v>
      </c>
      <c r="P63" s="79">
        <f t="shared" si="25"/>
        <v>428</v>
      </c>
      <c r="Q63" s="34">
        <f t="shared" si="26"/>
        <v>0.53574766355137471</v>
      </c>
      <c r="R63" s="1">
        <v>15</v>
      </c>
    </row>
    <row r="64" spans="1:27" ht="24" customHeight="1">
      <c r="A64" s="81">
        <v>16</v>
      </c>
      <c r="B64" s="31" t="s">
        <v>62</v>
      </c>
      <c r="C64" s="35">
        <v>303203.59999999998</v>
      </c>
      <c r="D64" s="35">
        <v>303333</v>
      </c>
      <c r="E64" s="104">
        <f t="shared" si="19"/>
        <v>129.40000000002328</v>
      </c>
      <c r="F64" s="110">
        <v>27276.43</v>
      </c>
      <c r="G64" s="111">
        <v>214.32</v>
      </c>
      <c r="H64" s="10">
        <f t="shared" si="20"/>
        <v>0.60377006345662232</v>
      </c>
      <c r="I64" s="35">
        <v>303386.40000000002</v>
      </c>
      <c r="J64" s="106">
        <f t="shared" si="21"/>
        <v>53.400000000023283</v>
      </c>
      <c r="K64" s="110">
        <v>27293.48</v>
      </c>
      <c r="L64" s="107">
        <f t="shared" si="22"/>
        <v>17.049999999999272</v>
      </c>
      <c r="M64" s="112">
        <v>106</v>
      </c>
      <c r="N64" s="28">
        <f t="shared" si="23"/>
        <v>0.50377358490587998</v>
      </c>
      <c r="O64" s="84">
        <f t="shared" si="24"/>
        <v>182.80000000004657</v>
      </c>
      <c r="P64" s="79">
        <f t="shared" si="25"/>
        <v>320.32</v>
      </c>
      <c r="Q64" s="34">
        <f t="shared" si="26"/>
        <v>0.57067932067946603</v>
      </c>
      <c r="R64" s="1">
        <v>2</v>
      </c>
    </row>
    <row r="65" spans="1:18" ht="24" customHeight="1">
      <c r="A65" s="81">
        <v>17</v>
      </c>
      <c r="B65" s="31" t="s">
        <v>158</v>
      </c>
      <c r="C65" s="17">
        <v>274791</v>
      </c>
      <c r="D65" s="17">
        <v>274791</v>
      </c>
      <c r="E65" s="104">
        <f t="shared" si="19"/>
        <v>0</v>
      </c>
      <c r="F65" s="110">
        <v>25063</v>
      </c>
      <c r="G65" s="111">
        <v>0</v>
      </c>
      <c r="H65" s="10">
        <f t="shared" si="20"/>
        <v>0</v>
      </c>
      <c r="I65" s="17">
        <v>303333</v>
      </c>
      <c r="J65" s="106">
        <f t="shared" si="21"/>
        <v>28542</v>
      </c>
      <c r="K65" s="110">
        <v>25063</v>
      </c>
      <c r="L65" s="107">
        <f t="shared" si="22"/>
        <v>0</v>
      </c>
      <c r="M65" s="111">
        <v>0</v>
      </c>
      <c r="N65" s="28">
        <f t="shared" si="23"/>
        <v>0</v>
      </c>
      <c r="O65" s="84">
        <f t="shared" si="24"/>
        <v>28542</v>
      </c>
      <c r="P65" s="79">
        <f t="shared" si="25"/>
        <v>0</v>
      </c>
      <c r="Q65" s="34">
        <f t="shared" si="26"/>
        <v>0</v>
      </c>
      <c r="R65" s="1">
        <v>0</v>
      </c>
    </row>
    <row r="66" spans="1:18" ht="24" customHeight="1">
      <c r="A66" s="81">
        <v>18</v>
      </c>
      <c r="B66" s="31" t="s">
        <v>159</v>
      </c>
      <c r="C66" s="17">
        <v>277907</v>
      </c>
      <c r="D66" s="17">
        <v>277907</v>
      </c>
      <c r="E66" s="104">
        <f t="shared" si="19"/>
        <v>0</v>
      </c>
      <c r="F66" s="110">
        <v>25896</v>
      </c>
      <c r="G66" s="111">
        <v>0</v>
      </c>
      <c r="H66" s="10">
        <f t="shared" si="20"/>
        <v>0</v>
      </c>
      <c r="I66" s="17">
        <v>278005</v>
      </c>
      <c r="J66" s="106">
        <f t="shared" si="21"/>
        <v>98</v>
      </c>
      <c r="K66" s="110">
        <v>25913</v>
      </c>
      <c r="L66" s="107">
        <f t="shared" si="22"/>
        <v>17</v>
      </c>
      <c r="M66" s="111">
        <v>129</v>
      </c>
      <c r="N66" s="28">
        <f t="shared" si="23"/>
        <v>0.75968992248062017</v>
      </c>
      <c r="O66" s="84">
        <f t="shared" si="24"/>
        <v>98</v>
      </c>
      <c r="P66" s="79">
        <f t="shared" si="25"/>
        <v>129</v>
      </c>
      <c r="Q66" s="34">
        <f t="shared" si="26"/>
        <v>0.75968992248062017</v>
      </c>
      <c r="R66" s="1">
        <v>10</v>
      </c>
    </row>
    <row r="67" spans="1:18" ht="24" customHeight="1">
      <c r="A67" s="81">
        <v>19</v>
      </c>
      <c r="B67" s="31" t="s">
        <v>160</v>
      </c>
      <c r="C67" s="17">
        <v>305292</v>
      </c>
      <c r="D67" s="17">
        <v>305292</v>
      </c>
      <c r="E67" s="104">
        <f t="shared" si="19"/>
        <v>0</v>
      </c>
      <c r="F67" s="110">
        <v>25118</v>
      </c>
      <c r="G67" s="111">
        <v>0</v>
      </c>
      <c r="H67" s="10">
        <f t="shared" si="20"/>
        <v>0</v>
      </c>
      <c r="I67" s="17">
        <v>305329</v>
      </c>
      <c r="J67" s="106">
        <f t="shared" si="21"/>
        <v>37</v>
      </c>
      <c r="K67" s="110">
        <v>25121</v>
      </c>
      <c r="L67" s="107">
        <f t="shared" si="22"/>
        <v>3</v>
      </c>
      <c r="M67" s="111">
        <v>49</v>
      </c>
      <c r="N67" s="28">
        <f t="shared" si="23"/>
        <v>0.75510204081632648</v>
      </c>
      <c r="O67" s="84">
        <f t="shared" si="24"/>
        <v>37</v>
      </c>
      <c r="P67" s="79">
        <f t="shared" si="25"/>
        <v>49</v>
      </c>
      <c r="Q67" s="34">
        <f t="shared" si="26"/>
        <v>0.75510204081632648</v>
      </c>
      <c r="R67" s="1">
        <v>0</v>
      </c>
    </row>
    <row r="68" spans="1:18" ht="24" customHeight="1">
      <c r="A68" s="81">
        <v>20</v>
      </c>
      <c r="B68" s="31" t="s">
        <v>161</v>
      </c>
      <c r="C68" s="17">
        <v>303566</v>
      </c>
      <c r="D68" s="17">
        <v>303693</v>
      </c>
      <c r="E68" s="104">
        <f t="shared" si="19"/>
        <v>127</v>
      </c>
      <c r="F68" s="110">
        <v>25366</v>
      </c>
      <c r="G68" s="116">
        <v>210.76</v>
      </c>
      <c r="H68" s="10">
        <f t="shared" si="20"/>
        <v>0.60258113494021637</v>
      </c>
      <c r="I68" s="17">
        <v>303807</v>
      </c>
      <c r="J68" s="106">
        <f t="shared" si="21"/>
        <v>114</v>
      </c>
      <c r="K68" s="110">
        <v>25385</v>
      </c>
      <c r="L68" s="107">
        <f t="shared" si="22"/>
        <v>19</v>
      </c>
      <c r="M68" s="111">
        <v>203</v>
      </c>
      <c r="N68" s="28">
        <f t="shared" si="23"/>
        <v>0.56157635467980294</v>
      </c>
      <c r="O68" s="84">
        <f t="shared" si="24"/>
        <v>241</v>
      </c>
      <c r="P68" s="79">
        <f t="shared" si="25"/>
        <v>413.76</v>
      </c>
      <c r="Q68" s="34">
        <f t="shared" si="26"/>
        <v>0.58246326372776491</v>
      </c>
      <c r="R68" s="1">
        <v>31</v>
      </c>
    </row>
    <row r="69" spans="1:18" ht="24" customHeight="1">
      <c r="A69" s="81">
        <v>21</v>
      </c>
      <c r="B69" s="31" t="s">
        <v>162</v>
      </c>
      <c r="C69" s="17">
        <v>320305</v>
      </c>
      <c r="D69" s="17">
        <v>320455</v>
      </c>
      <c r="E69" s="104">
        <f t="shared" si="19"/>
        <v>150</v>
      </c>
      <c r="F69" s="110">
        <v>26561</v>
      </c>
      <c r="G69" s="111">
        <v>252</v>
      </c>
      <c r="H69" s="10">
        <f t="shared" si="20"/>
        <v>0.59523809523809523</v>
      </c>
      <c r="I69" s="17">
        <v>320580</v>
      </c>
      <c r="J69" s="106">
        <f t="shared" si="21"/>
        <v>125</v>
      </c>
      <c r="K69" s="110">
        <v>26582</v>
      </c>
      <c r="L69" s="107">
        <f t="shared" si="22"/>
        <v>21</v>
      </c>
      <c r="M69" s="111">
        <v>160</v>
      </c>
      <c r="N69" s="28">
        <f t="shared" si="23"/>
        <v>0.78125</v>
      </c>
      <c r="O69" s="84">
        <f t="shared" si="24"/>
        <v>275</v>
      </c>
      <c r="P69" s="79">
        <f t="shared" si="25"/>
        <v>412</v>
      </c>
      <c r="Q69" s="34">
        <f t="shared" si="26"/>
        <v>0.66747572815533984</v>
      </c>
      <c r="R69" s="1">
        <v>29</v>
      </c>
    </row>
    <row r="70" spans="1:18" ht="24" customHeight="1">
      <c r="A70" s="81">
        <v>22</v>
      </c>
      <c r="B70" s="31" t="s">
        <v>68</v>
      </c>
      <c r="C70" s="17">
        <v>276011.40000000002</v>
      </c>
      <c r="D70" s="17">
        <v>276140.2</v>
      </c>
      <c r="E70" s="104">
        <f t="shared" si="19"/>
        <v>128.79999999998836</v>
      </c>
      <c r="F70" s="110">
        <v>22403</v>
      </c>
      <c r="G70" s="111">
        <v>226</v>
      </c>
      <c r="H70" s="10">
        <f t="shared" si="20"/>
        <v>0.56991150442472727</v>
      </c>
      <c r="I70" s="17">
        <v>276264</v>
      </c>
      <c r="J70" s="106">
        <f t="shared" si="21"/>
        <v>123.79999999998836</v>
      </c>
      <c r="K70" s="110">
        <v>22423</v>
      </c>
      <c r="L70" s="107">
        <f t="shared" si="22"/>
        <v>20</v>
      </c>
      <c r="M70" s="112">
        <v>192</v>
      </c>
      <c r="N70" s="28">
        <f t="shared" si="23"/>
        <v>0.64479166666660603</v>
      </c>
      <c r="O70" s="84">
        <f t="shared" si="24"/>
        <v>252.59999999997672</v>
      </c>
      <c r="P70" s="79">
        <f t="shared" si="25"/>
        <v>418</v>
      </c>
      <c r="Q70" s="34">
        <f t="shared" si="26"/>
        <v>0.60430622009563806</v>
      </c>
      <c r="R70" s="1">
        <v>25</v>
      </c>
    </row>
    <row r="71" spans="1:18" ht="24" customHeight="1">
      <c r="A71" s="81">
        <v>23</v>
      </c>
      <c r="B71" s="31" t="s">
        <v>69</v>
      </c>
      <c r="C71" s="17">
        <v>258140.7</v>
      </c>
      <c r="D71" s="17">
        <v>258140.7</v>
      </c>
      <c r="E71" s="104">
        <f t="shared" si="19"/>
        <v>0</v>
      </c>
      <c r="F71" s="110">
        <v>19781</v>
      </c>
      <c r="G71" s="111">
        <v>0</v>
      </c>
      <c r="H71" s="10">
        <f t="shared" si="20"/>
        <v>0</v>
      </c>
      <c r="I71" s="17">
        <v>258219</v>
      </c>
      <c r="J71" s="106">
        <f t="shared" si="21"/>
        <v>78.299999999988358</v>
      </c>
      <c r="K71" s="110">
        <v>19787</v>
      </c>
      <c r="L71" s="107">
        <f t="shared" si="22"/>
        <v>6</v>
      </c>
      <c r="M71" s="112">
        <v>102</v>
      </c>
      <c r="N71" s="28">
        <f t="shared" si="23"/>
        <v>0.76764705882341533</v>
      </c>
      <c r="O71" s="84">
        <f t="shared" si="24"/>
        <v>78.299999999988358</v>
      </c>
      <c r="P71" s="79">
        <f t="shared" si="25"/>
        <v>102</v>
      </c>
      <c r="Q71" s="34">
        <f t="shared" si="26"/>
        <v>0.76764705882341533</v>
      </c>
      <c r="R71" s="1">
        <v>15</v>
      </c>
    </row>
    <row r="72" spans="1:18" ht="24" customHeight="1">
      <c r="A72" s="81">
        <v>24</v>
      </c>
      <c r="B72" s="31" t="s">
        <v>70</v>
      </c>
      <c r="C72" s="104">
        <v>302486.40000000002</v>
      </c>
      <c r="D72" s="104">
        <v>302486.40000000002</v>
      </c>
      <c r="E72" s="104">
        <f t="shared" si="19"/>
        <v>0</v>
      </c>
      <c r="F72" s="110">
        <v>4947</v>
      </c>
      <c r="G72" s="111">
        <v>0</v>
      </c>
      <c r="H72" s="10">
        <f t="shared" si="20"/>
        <v>0</v>
      </c>
      <c r="I72" s="104">
        <v>302552.2</v>
      </c>
      <c r="J72" s="106">
        <f t="shared" si="21"/>
        <v>65.799999999988358</v>
      </c>
      <c r="K72" s="110">
        <v>4952</v>
      </c>
      <c r="L72" s="107">
        <f t="shared" si="22"/>
        <v>5</v>
      </c>
      <c r="M72" s="111">
        <v>87</v>
      </c>
      <c r="N72" s="28">
        <f t="shared" si="23"/>
        <v>0.75632183908032591</v>
      </c>
      <c r="O72" s="84">
        <f t="shared" si="24"/>
        <v>65.799999999988358</v>
      </c>
      <c r="P72" s="79">
        <f t="shared" si="25"/>
        <v>87</v>
      </c>
      <c r="Q72" s="34">
        <f t="shared" si="26"/>
        <v>0.75632183908032591</v>
      </c>
      <c r="R72" s="1">
        <v>14</v>
      </c>
    </row>
    <row r="73" spans="1:18" ht="24" customHeight="1">
      <c r="A73" s="81">
        <v>25</v>
      </c>
      <c r="B73" s="31" t="s">
        <v>71</v>
      </c>
      <c r="C73" s="35">
        <v>312709.3</v>
      </c>
      <c r="D73" s="35">
        <v>312833.2</v>
      </c>
      <c r="E73" s="104">
        <f t="shared" si="19"/>
        <v>123.90000000002328</v>
      </c>
      <c r="F73" s="110">
        <v>22858</v>
      </c>
      <c r="G73" s="111">
        <v>170</v>
      </c>
      <c r="H73" s="10">
        <f t="shared" si="20"/>
        <v>0.72882352941190165</v>
      </c>
      <c r="I73" s="35">
        <v>312903.09999999998</v>
      </c>
      <c r="J73" s="106">
        <f t="shared" si="21"/>
        <v>69.899999999965075</v>
      </c>
      <c r="K73" s="110">
        <v>22876</v>
      </c>
      <c r="L73" s="107">
        <f t="shared" si="22"/>
        <v>18</v>
      </c>
      <c r="M73" s="111">
        <v>125.74</v>
      </c>
      <c r="N73" s="28">
        <f>IFERROR(J73/M73,0)</f>
        <v>0.55590901860955211</v>
      </c>
      <c r="O73" s="84">
        <f t="shared" si="24"/>
        <v>193.79999999998836</v>
      </c>
      <c r="P73" s="79">
        <f>G73+M73</f>
        <v>295.74</v>
      </c>
      <c r="Q73" s="34">
        <f t="shared" si="26"/>
        <v>0.65530533576786487</v>
      </c>
      <c r="R73" s="1">
        <v>31</v>
      </c>
    </row>
    <row r="74" spans="1:18" ht="24" customHeight="1">
      <c r="A74" s="81">
        <v>26</v>
      </c>
      <c r="B74" s="31" t="s">
        <v>72</v>
      </c>
      <c r="C74" s="35">
        <v>283055.3</v>
      </c>
      <c r="D74" s="35">
        <v>283163.59999999998</v>
      </c>
      <c r="E74" s="104">
        <f t="shared" si="19"/>
        <v>108.29999999998836</v>
      </c>
      <c r="F74" s="110">
        <v>20463</v>
      </c>
      <c r="G74" s="111">
        <v>220</v>
      </c>
      <c r="H74" s="10">
        <f t="shared" si="20"/>
        <v>0.49227272727267435</v>
      </c>
      <c r="I74" s="35">
        <v>283244.3</v>
      </c>
      <c r="J74" s="106">
        <f t="shared" si="21"/>
        <v>80.700000000011642</v>
      </c>
      <c r="K74" s="110">
        <v>20481</v>
      </c>
      <c r="L74" s="107">
        <f t="shared" si="22"/>
        <v>18</v>
      </c>
      <c r="M74" s="112">
        <v>165</v>
      </c>
      <c r="N74" s="28">
        <f t="shared" si="23"/>
        <v>0.48909090909097963</v>
      </c>
      <c r="O74" s="84">
        <f t="shared" si="24"/>
        <v>189</v>
      </c>
      <c r="P74" s="79">
        <f t="shared" si="25"/>
        <v>385</v>
      </c>
      <c r="Q74" s="34">
        <f t="shared" si="26"/>
        <v>0.49090909090909091</v>
      </c>
      <c r="R74" s="1">
        <v>29</v>
      </c>
    </row>
    <row r="75" spans="1:18" ht="24" customHeight="1">
      <c r="A75" s="81">
        <v>27</v>
      </c>
      <c r="B75" s="31" t="s">
        <v>73</v>
      </c>
      <c r="C75" s="104">
        <v>311115.8</v>
      </c>
      <c r="D75" s="104">
        <v>311263.3</v>
      </c>
      <c r="E75" s="104">
        <f t="shared" si="19"/>
        <v>147.5</v>
      </c>
      <c r="F75" s="110">
        <v>22577</v>
      </c>
      <c r="G75" s="111">
        <v>240.95</v>
      </c>
      <c r="H75" s="10">
        <f t="shared" si="20"/>
        <v>0.6121601992114547</v>
      </c>
      <c r="I75" s="104">
        <v>311348.3</v>
      </c>
      <c r="J75" s="106">
        <f t="shared" si="21"/>
        <v>85</v>
      </c>
      <c r="K75" s="110">
        <v>22594</v>
      </c>
      <c r="L75" s="107">
        <f t="shared" si="22"/>
        <v>17</v>
      </c>
      <c r="M75" s="112">
        <v>152</v>
      </c>
      <c r="N75" s="28">
        <f t="shared" si="23"/>
        <v>0.55921052631578949</v>
      </c>
      <c r="O75" s="84">
        <f t="shared" si="24"/>
        <v>232.5</v>
      </c>
      <c r="P75" s="79">
        <f t="shared" si="25"/>
        <v>392.95</v>
      </c>
      <c r="Q75" s="34">
        <f t="shared" si="26"/>
        <v>0.59167833057640928</v>
      </c>
      <c r="R75" s="1">
        <v>26</v>
      </c>
    </row>
    <row r="76" spans="1:18" ht="24" customHeight="1">
      <c r="A76" s="81">
        <v>28</v>
      </c>
      <c r="B76" s="31" t="s">
        <v>74</v>
      </c>
      <c r="C76" s="35">
        <v>281496</v>
      </c>
      <c r="D76" s="35">
        <v>281613.90000000002</v>
      </c>
      <c r="E76" s="104">
        <f t="shared" si="19"/>
        <v>117.90000000002328</v>
      </c>
      <c r="F76" s="110">
        <v>4107</v>
      </c>
      <c r="G76" s="111">
        <v>204.92</v>
      </c>
      <c r="H76" s="10">
        <f t="shared" si="20"/>
        <v>0.57534647667393757</v>
      </c>
      <c r="I76" s="35">
        <v>281720.09999999998</v>
      </c>
      <c r="J76" s="106">
        <f t="shared" si="21"/>
        <v>106.19999999995343</v>
      </c>
      <c r="K76" s="110">
        <v>4125</v>
      </c>
      <c r="L76" s="107">
        <f>K76-F76</f>
        <v>18</v>
      </c>
      <c r="M76" s="111">
        <v>148</v>
      </c>
      <c r="N76" s="28">
        <f t="shared" si="23"/>
        <v>0.71756756756725293</v>
      </c>
      <c r="O76" s="84">
        <f t="shared" si="24"/>
        <v>224.09999999997672</v>
      </c>
      <c r="P76" s="79">
        <f t="shared" si="25"/>
        <v>352.91999999999996</v>
      </c>
      <c r="Q76" s="34">
        <f t="shared" si="26"/>
        <v>0.63498809928589128</v>
      </c>
      <c r="R76" s="1">
        <v>23</v>
      </c>
    </row>
    <row r="77" spans="1:18" ht="24" customHeight="1">
      <c r="A77" s="81">
        <v>29</v>
      </c>
      <c r="B77" s="31" t="s">
        <v>75</v>
      </c>
      <c r="C77" s="104">
        <v>299285.8</v>
      </c>
      <c r="D77" s="104">
        <v>299411.8</v>
      </c>
      <c r="E77" s="104">
        <f t="shared" si="19"/>
        <v>126</v>
      </c>
      <c r="F77" s="110">
        <v>21528</v>
      </c>
      <c r="G77" s="111">
        <v>204.82</v>
      </c>
      <c r="H77" s="10">
        <f t="shared" si="20"/>
        <v>0.61517429938482571</v>
      </c>
      <c r="I77" s="104">
        <v>299534.09999999998</v>
      </c>
      <c r="J77" s="106">
        <f t="shared" si="21"/>
        <v>122.29999999998836</v>
      </c>
      <c r="K77" s="110">
        <v>21547</v>
      </c>
      <c r="L77" s="107">
        <f t="shared" si="22"/>
        <v>19</v>
      </c>
      <c r="M77" s="112">
        <v>192</v>
      </c>
      <c r="N77" s="28">
        <f t="shared" si="23"/>
        <v>0.63697916666660603</v>
      </c>
      <c r="O77" s="84">
        <f t="shared" si="24"/>
        <v>248.29999999998836</v>
      </c>
      <c r="P77" s="79">
        <f t="shared" si="25"/>
        <v>396.82</v>
      </c>
      <c r="Q77" s="34">
        <f t="shared" si="26"/>
        <v>0.62572450985330463</v>
      </c>
      <c r="R77" s="1">
        <v>16</v>
      </c>
    </row>
    <row r="78" spans="1:18" ht="24" customHeight="1">
      <c r="A78" s="81">
        <v>30</v>
      </c>
      <c r="B78" s="31" t="s">
        <v>76</v>
      </c>
      <c r="C78" s="104">
        <v>264103.5</v>
      </c>
      <c r="D78" s="104">
        <v>264223.7</v>
      </c>
      <c r="E78" s="104">
        <f t="shared" si="19"/>
        <v>120.20000000001164</v>
      </c>
      <c r="F78" s="110">
        <v>19473</v>
      </c>
      <c r="G78" s="111">
        <v>196.72</v>
      </c>
      <c r="H78" s="10">
        <f t="shared" si="20"/>
        <v>0.61102074013832675</v>
      </c>
      <c r="I78" s="104">
        <v>264223.7</v>
      </c>
      <c r="J78" s="106">
        <f t="shared" si="21"/>
        <v>0</v>
      </c>
      <c r="K78" s="110">
        <v>19484</v>
      </c>
      <c r="L78" s="107">
        <f t="shared" si="22"/>
        <v>11</v>
      </c>
      <c r="M78" s="111">
        <v>0</v>
      </c>
      <c r="N78" s="28">
        <f t="shared" si="23"/>
        <v>0</v>
      </c>
      <c r="O78" s="84">
        <f t="shared" si="24"/>
        <v>120.20000000001164</v>
      </c>
      <c r="P78" s="79">
        <f t="shared" si="25"/>
        <v>196.72</v>
      </c>
      <c r="Q78" s="34">
        <f t="shared" si="26"/>
        <v>0.61102074013832675</v>
      </c>
      <c r="R78" s="1">
        <v>15</v>
      </c>
    </row>
    <row r="79" spans="1:18" ht="24" customHeight="1">
      <c r="A79" s="81">
        <v>31</v>
      </c>
      <c r="B79" s="31" t="s">
        <v>77</v>
      </c>
      <c r="C79" s="83">
        <v>262195.3</v>
      </c>
      <c r="D79" s="83">
        <v>262339.20000000001</v>
      </c>
      <c r="E79" s="104">
        <f t="shared" si="19"/>
        <v>143.90000000002328</v>
      </c>
      <c r="F79" s="110">
        <v>19177</v>
      </c>
      <c r="G79" s="111">
        <v>235</v>
      </c>
      <c r="H79" s="10">
        <f t="shared" si="20"/>
        <v>0.61234042553201395</v>
      </c>
      <c r="I79" s="83">
        <v>262435.7</v>
      </c>
      <c r="J79" s="106">
        <f t="shared" si="21"/>
        <v>96.5</v>
      </c>
      <c r="K79" s="110">
        <v>19198</v>
      </c>
      <c r="L79" s="107">
        <f>K79-F79</f>
        <v>21</v>
      </c>
      <c r="M79" s="111">
        <v>178</v>
      </c>
      <c r="N79" s="28">
        <f t="shared" si="23"/>
        <v>0.5421348314606742</v>
      </c>
      <c r="O79" s="84">
        <f t="shared" si="24"/>
        <v>240.40000000002328</v>
      </c>
      <c r="P79" s="79">
        <f t="shared" si="25"/>
        <v>413</v>
      </c>
      <c r="Q79" s="34">
        <f t="shared" si="26"/>
        <v>0.5820823244552622</v>
      </c>
      <c r="R79" s="1">
        <v>21</v>
      </c>
    </row>
    <row r="80" spans="1:18" ht="24" customHeight="1">
      <c r="A80" s="81">
        <v>32</v>
      </c>
      <c r="B80" s="31" t="s">
        <v>78</v>
      </c>
      <c r="C80" s="104">
        <v>287956.90000000002</v>
      </c>
      <c r="D80" s="104">
        <v>288103.3</v>
      </c>
      <c r="E80" s="104">
        <f t="shared" si="19"/>
        <v>146.39999999996508</v>
      </c>
      <c r="F80" s="110">
        <v>20770</v>
      </c>
      <c r="G80" s="111">
        <v>173</v>
      </c>
      <c r="H80" s="10">
        <f t="shared" si="20"/>
        <v>0.84624277456627206</v>
      </c>
      <c r="I80" s="104">
        <v>288219.5</v>
      </c>
      <c r="J80" s="106">
        <f t="shared" si="21"/>
        <v>116.20000000001164</v>
      </c>
      <c r="K80" s="110">
        <v>20790</v>
      </c>
      <c r="L80" s="107">
        <f t="shared" si="22"/>
        <v>20</v>
      </c>
      <c r="M80" s="111">
        <v>166</v>
      </c>
      <c r="N80" s="28">
        <f t="shared" si="23"/>
        <v>0.70000000000007012</v>
      </c>
      <c r="O80" s="84">
        <f t="shared" si="24"/>
        <v>262.59999999997672</v>
      </c>
      <c r="P80" s="79">
        <f t="shared" si="25"/>
        <v>339</v>
      </c>
      <c r="Q80" s="34">
        <f t="shared" si="26"/>
        <v>0.77463126843650953</v>
      </c>
      <c r="R80" s="1">
        <v>22</v>
      </c>
    </row>
    <row r="81" spans="1:19" ht="24" customHeight="1">
      <c r="A81" s="81">
        <v>33</v>
      </c>
      <c r="B81" s="31" t="s">
        <v>79</v>
      </c>
      <c r="C81" s="104">
        <v>302686.7</v>
      </c>
      <c r="D81" s="104">
        <v>302805.8</v>
      </c>
      <c r="E81" s="104">
        <f t="shared" si="19"/>
        <v>119.09999999997672</v>
      </c>
      <c r="F81" s="110">
        <v>21502</v>
      </c>
      <c r="G81" s="111">
        <v>182</v>
      </c>
      <c r="H81" s="10">
        <f t="shared" si="20"/>
        <v>0.6543956043954765</v>
      </c>
      <c r="I81" s="104">
        <v>302925.8</v>
      </c>
      <c r="J81" s="106">
        <f t="shared" si="21"/>
        <v>120</v>
      </c>
      <c r="K81" s="110">
        <v>21520</v>
      </c>
      <c r="L81" s="107">
        <f t="shared" si="22"/>
        <v>18</v>
      </c>
      <c r="M81" s="111">
        <v>194</v>
      </c>
      <c r="N81" s="28">
        <f t="shared" si="23"/>
        <v>0.61855670103092786</v>
      </c>
      <c r="O81" s="84">
        <f t="shared" si="24"/>
        <v>239.09999999997672</v>
      </c>
      <c r="P81" s="79">
        <f t="shared" si="25"/>
        <v>376</v>
      </c>
      <c r="Q81" s="34">
        <f t="shared" si="26"/>
        <v>0.63590425531908701</v>
      </c>
      <c r="R81" s="1">
        <v>26</v>
      </c>
    </row>
    <row r="82" spans="1:19" ht="24" customHeight="1">
      <c r="A82" s="81">
        <v>34</v>
      </c>
      <c r="B82" s="31" t="s">
        <v>163</v>
      </c>
      <c r="C82" s="104">
        <v>243515.1</v>
      </c>
      <c r="D82" s="104">
        <v>243659</v>
      </c>
      <c r="E82" s="104">
        <f t="shared" si="19"/>
        <v>143.89999999999418</v>
      </c>
      <c r="F82" s="110">
        <v>18178</v>
      </c>
      <c r="G82" s="111">
        <v>207</v>
      </c>
      <c r="H82" s="10">
        <f t="shared" si="20"/>
        <v>0.69516908212557571</v>
      </c>
      <c r="I82" s="104">
        <v>243783.3</v>
      </c>
      <c r="J82" s="106">
        <f t="shared" si="21"/>
        <v>124.29999999998836</v>
      </c>
      <c r="K82" s="110">
        <v>18198</v>
      </c>
      <c r="L82" s="107">
        <f t="shared" si="22"/>
        <v>20</v>
      </c>
      <c r="M82" s="111">
        <v>170</v>
      </c>
      <c r="N82" s="28">
        <f t="shared" si="23"/>
        <v>0.73117647058816682</v>
      </c>
      <c r="O82" s="84">
        <f t="shared" si="24"/>
        <v>268.19999999998254</v>
      </c>
      <c r="P82" s="79">
        <f t="shared" si="25"/>
        <v>377</v>
      </c>
      <c r="Q82" s="34">
        <f t="shared" si="26"/>
        <v>0.71140583554372028</v>
      </c>
      <c r="R82" s="1">
        <v>23</v>
      </c>
    </row>
    <row r="83" spans="1:19" ht="24" customHeight="1">
      <c r="A83" s="81">
        <v>35</v>
      </c>
      <c r="B83" s="31" t="s">
        <v>164</v>
      </c>
      <c r="C83" s="104">
        <v>243086.3</v>
      </c>
      <c r="D83" s="104">
        <v>243211.8</v>
      </c>
      <c r="E83" s="104">
        <f t="shared" si="19"/>
        <v>125.5</v>
      </c>
      <c r="F83" s="110">
        <v>18155</v>
      </c>
      <c r="G83" s="111">
        <v>200.68</v>
      </c>
      <c r="H83" s="10">
        <f t="shared" si="20"/>
        <v>0.62537372932031088</v>
      </c>
      <c r="I83" s="104">
        <v>243329.5</v>
      </c>
      <c r="J83" s="106">
        <f t="shared" si="21"/>
        <v>117.70000000001164</v>
      </c>
      <c r="K83" s="110">
        <v>18175</v>
      </c>
      <c r="L83" s="107">
        <f t="shared" si="22"/>
        <v>20</v>
      </c>
      <c r="M83" s="111">
        <v>195</v>
      </c>
      <c r="N83" s="28">
        <f t="shared" si="23"/>
        <v>0.60358974358980333</v>
      </c>
      <c r="O83" s="84">
        <f t="shared" si="24"/>
        <v>243.20000000001164</v>
      </c>
      <c r="P83" s="79">
        <f t="shared" si="25"/>
        <v>395.68</v>
      </c>
      <c r="Q83" s="34">
        <f t="shared" si="26"/>
        <v>0.61463809138700876</v>
      </c>
      <c r="R83" s="1">
        <v>28</v>
      </c>
    </row>
    <row r="84" spans="1:19" ht="24" customHeight="1">
      <c r="A84" s="81">
        <v>36</v>
      </c>
      <c r="B84" s="31" t="s">
        <v>165</v>
      </c>
      <c r="C84" s="104">
        <v>249902.7</v>
      </c>
      <c r="D84" s="104">
        <v>250040.6</v>
      </c>
      <c r="E84" s="104">
        <f t="shared" si="19"/>
        <v>137.89999999999418</v>
      </c>
      <c r="F84" s="110">
        <v>17784</v>
      </c>
      <c r="G84" s="111">
        <v>226</v>
      </c>
      <c r="H84" s="10">
        <f t="shared" si="20"/>
        <v>0.61017699115041668</v>
      </c>
      <c r="I84" s="104">
        <v>250175.5</v>
      </c>
      <c r="J84" s="106">
        <f t="shared" si="21"/>
        <v>134.89999999999418</v>
      </c>
      <c r="K84" s="110">
        <v>17806</v>
      </c>
      <c r="L84" s="107">
        <f t="shared" si="22"/>
        <v>22</v>
      </c>
      <c r="M84" s="112">
        <v>202</v>
      </c>
      <c r="N84" s="28">
        <f t="shared" si="23"/>
        <v>0.66782178217818899</v>
      </c>
      <c r="O84" s="84">
        <f t="shared" si="24"/>
        <v>272.79999999998836</v>
      </c>
      <c r="P84" s="79">
        <f t="shared" si="25"/>
        <v>428</v>
      </c>
      <c r="Q84" s="34">
        <f t="shared" si="26"/>
        <v>0.63738317757006624</v>
      </c>
      <c r="R84" s="1">
        <v>30</v>
      </c>
    </row>
    <row r="85" spans="1:19" ht="24" customHeight="1">
      <c r="A85" s="81">
        <v>37</v>
      </c>
      <c r="B85" s="31" t="s">
        <v>83</v>
      </c>
      <c r="C85" s="104">
        <v>258458.4</v>
      </c>
      <c r="D85" s="104">
        <v>258605.4</v>
      </c>
      <c r="E85" s="104">
        <f t="shared" si="19"/>
        <v>147</v>
      </c>
      <c r="F85" s="110">
        <v>18316</v>
      </c>
      <c r="G85" s="111">
        <v>212</v>
      </c>
      <c r="H85" s="10">
        <f t="shared" si="20"/>
        <v>0.69339622641509435</v>
      </c>
      <c r="I85" s="104">
        <v>258749.7</v>
      </c>
      <c r="J85" s="106">
        <f t="shared" si="21"/>
        <v>144.30000000001746</v>
      </c>
      <c r="K85" s="110">
        <v>18338</v>
      </c>
      <c r="L85" s="107">
        <f t="shared" si="22"/>
        <v>22</v>
      </c>
      <c r="M85" s="112">
        <v>204</v>
      </c>
      <c r="N85" s="28">
        <f t="shared" si="23"/>
        <v>0.70735294117655623</v>
      </c>
      <c r="O85" s="84">
        <f t="shared" si="24"/>
        <v>291.30000000001746</v>
      </c>
      <c r="P85" s="79">
        <f t="shared" si="25"/>
        <v>416</v>
      </c>
      <c r="Q85" s="34">
        <f t="shared" si="26"/>
        <v>0.70024038461542659</v>
      </c>
      <c r="R85" s="1">
        <v>31</v>
      </c>
    </row>
    <row r="86" spans="1:19" ht="24" customHeight="1">
      <c r="A86" s="81">
        <v>38</v>
      </c>
      <c r="B86" s="31" t="s">
        <v>84</v>
      </c>
      <c r="C86" s="104">
        <v>269785.40000000002</v>
      </c>
      <c r="D86" s="104">
        <v>269954.90000000002</v>
      </c>
      <c r="E86" s="104">
        <f t="shared" si="19"/>
        <v>169.5</v>
      </c>
      <c r="F86" s="110">
        <v>17676</v>
      </c>
      <c r="G86" s="111">
        <v>246.26</v>
      </c>
      <c r="H86" s="10">
        <f t="shared" si="20"/>
        <v>0.6882969219524081</v>
      </c>
      <c r="I86" s="104">
        <v>270075.8</v>
      </c>
      <c r="J86" s="106">
        <f t="shared" si="21"/>
        <v>120.89999999996508</v>
      </c>
      <c r="K86" s="110">
        <v>17697</v>
      </c>
      <c r="L86" s="107">
        <f t="shared" si="22"/>
        <v>21</v>
      </c>
      <c r="M86" s="112">
        <v>190</v>
      </c>
      <c r="N86" s="28">
        <f t="shared" si="23"/>
        <v>0.63631578947350043</v>
      </c>
      <c r="O86" s="84">
        <f t="shared" si="24"/>
        <v>290.39999999996508</v>
      </c>
      <c r="P86" s="79">
        <f t="shared" si="25"/>
        <v>436.26</v>
      </c>
      <c r="Q86" s="34">
        <f t="shared" si="26"/>
        <v>0.66565809379719676</v>
      </c>
      <c r="R86" s="1">
        <v>29</v>
      </c>
    </row>
    <row r="87" spans="1:19" ht="24" customHeight="1">
      <c r="A87" s="81">
        <v>39</v>
      </c>
      <c r="B87" s="31" t="s">
        <v>85</v>
      </c>
      <c r="C87" s="35">
        <v>277934.5</v>
      </c>
      <c r="D87" s="35">
        <v>278062.40000000002</v>
      </c>
      <c r="E87" s="104">
        <f t="shared" si="19"/>
        <v>127.90000000002328</v>
      </c>
      <c r="F87" s="110">
        <v>19596</v>
      </c>
      <c r="G87" s="111">
        <v>188</v>
      </c>
      <c r="H87" s="10">
        <f t="shared" si="20"/>
        <v>0.68031914893629408</v>
      </c>
      <c r="I87" s="35">
        <v>278197.40000000002</v>
      </c>
      <c r="J87" s="106">
        <f t="shared" si="21"/>
        <v>135</v>
      </c>
      <c r="K87" s="110">
        <v>19619</v>
      </c>
      <c r="L87" s="107">
        <f t="shared" si="22"/>
        <v>23</v>
      </c>
      <c r="M87" s="112">
        <v>201.98</v>
      </c>
      <c r="N87" s="28">
        <f t="shared" si="23"/>
        <v>0.6683830082186355</v>
      </c>
      <c r="O87" s="84">
        <f t="shared" si="24"/>
        <v>262.90000000002328</v>
      </c>
      <c r="P87" s="79">
        <f t="shared" si="25"/>
        <v>389.98</v>
      </c>
      <c r="Q87" s="34">
        <f t="shared" si="26"/>
        <v>0.6741371352377642</v>
      </c>
      <c r="R87" s="1">
        <v>33</v>
      </c>
    </row>
    <row r="88" spans="1:19" ht="24" customHeight="1">
      <c r="A88" s="81">
        <v>40</v>
      </c>
      <c r="B88" s="31" t="s">
        <v>86</v>
      </c>
      <c r="C88" s="104">
        <v>248861.7</v>
      </c>
      <c r="D88" s="104">
        <v>248991.8</v>
      </c>
      <c r="E88" s="104">
        <f t="shared" si="19"/>
        <v>130.09999999997672</v>
      </c>
      <c r="F88" s="110">
        <v>17667</v>
      </c>
      <c r="G88" s="111">
        <v>217.81</v>
      </c>
      <c r="H88" s="10">
        <f t="shared" si="20"/>
        <v>0.59730958174545112</v>
      </c>
      <c r="I88" s="104">
        <v>249117.6</v>
      </c>
      <c r="J88" s="106">
        <f t="shared" si="21"/>
        <v>125.80000000001746</v>
      </c>
      <c r="K88" s="110">
        <v>17687</v>
      </c>
      <c r="L88" s="107">
        <f t="shared" si="22"/>
        <v>20</v>
      </c>
      <c r="M88" s="112">
        <v>214</v>
      </c>
      <c r="N88" s="28">
        <f t="shared" si="23"/>
        <v>0.58785046728980117</v>
      </c>
      <c r="O88" s="84">
        <f t="shared" si="24"/>
        <v>255.89999999999418</v>
      </c>
      <c r="P88" s="79">
        <f t="shared" si="25"/>
        <v>431.81</v>
      </c>
      <c r="Q88" s="34">
        <f t="shared" si="26"/>
        <v>0.59262175493850111</v>
      </c>
      <c r="R88" s="1">
        <v>30</v>
      </c>
    </row>
    <row r="89" spans="1:19" ht="24" customHeight="1">
      <c r="A89" s="81">
        <v>41</v>
      </c>
      <c r="B89" s="31" t="s">
        <v>87</v>
      </c>
      <c r="C89" s="104">
        <v>277586.5</v>
      </c>
      <c r="D89" s="104">
        <v>277730.59999999998</v>
      </c>
      <c r="E89" s="104">
        <f t="shared" si="19"/>
        <v>144.09999999997672</v>
      </c>
      <c r="F89" s="110">
        <v>19155</v>
      </c>
      <c r="G89" s="111">
        <v>206</v>
      </c>
      <c r="H89" s="10">
        <f t="shared" si="20"/>
        <v>0.69951456310668314</v>
      </c>
      <c r="I89" s="104">
        <v>277846.7</v>
      </c>
      <c r="J89" s="106">
        <f t="shared" si="21"/>
        <v>116.10000000003492</v>
      </c>
      <c r="K89" s="110">
        <v>19176</v>
      </c>
      <c r="L89" s="107">
        <f t="shared" si="22"/>
        <v>21</v>
      </c>
      <c r="M89" s="111">
        <v>182</v>
      </c>
      <c r="N89" s="28">
        <f t="shared" si="23"/>
        <v>0.63791208791227982</v>
      </c>
      <c r="O89" s="84">
        <f t="shared" si="24"/>
        <v>260.20000000001164</v>
      </c>
      <c r="P89" s="79">
        <f t="shared" si="25"/>
        <v>388</v>
      </c>
      <c r="Q89" s="34">
        <f t="shared" si="26"/>
        <v>0.67061855670106096</v>
      </c>
      <c r="R89" s="1">
        <v>28</v>
      </c>
    </row>
    <row r="90" spans="1:19" ht="24" customHeight="1">
      <c r="A90" s="81">
        <v>42</v>
      </c>
      <c r="B90" s="31" t="s">
        <v>88</v>
      </c>
      <c r="C90" s="104">
        <v>273519</v>
      </c>
      <c r="D90" s="104">
        <v>273675.59999999998</v>
      </c>
      <c r="E90" s="104">
        <f t="shared" si="19"/>
        <v>156.59999999997672</v>
      </c>
      <c r="F90" s="110">
        <v>18540</v>
      </c>
      <c r="G90" s="111">
        <v>220</v>
      </c>
      <c r="H90" s="10">
        <f t="shared" si="20"/>
        <v>0.71181818181807599</v>
      </c>
      <c r="I90" s="104">
        <v>273765.7</v>
      </c>
      <c r="J90" s="106">
        <f t="shared" si="21"/>
        <v>90.100000000034925</v>
      </c>
      <c r="K90" s="110">
        <v>18561</v>
      </c>
      <c r="L90" s="107">
        <f t="shared" si="22"/>
        <v>21</v>
      </c>
      <c r="M90" s="111">
        <v>157</v>
      </c>
      <c r="N90" s="28">
        <f t="shared" si="23"/>
        <v>0.57388535031869381</v>
      </c>
      <c r="O90" s="84">
        <f t="shared" si="24"/>
        <v>246.70000000001164</v>
      </c>
      <c r="P90" s="79">
        <f t="shared" si="25"/>
        <v>377</v>
      </c>
      <c r="Q90" s="34">
        <f t="shared" si="26"/>
        <v>0.65437665782496457</v>
      </c>
      <c r="R90" s="1">
        <v>25</v>
      </c>
    </row>
    <row r="91" spans="1:19" ht="24" customHeight="1">
      <c r="A91" s="81">
        <v>43</v>
      </c>
      <c r="B91" s="31" t="s">
        <v>89</v>
      </c>
      <c r="C91" s="35">
        <v>265918.8</v>
      </c>
      <c r="D91" s="35">
        <v>266040.90000000002</v>
      </c>
      <c r="E91" s="104">
        <f t="shared" si="19"/>
        <v>122.10000000003492</v>
      </c>
      <c r="F91" s="110">
        <v>18205</v>
      </c>
      <c r="G91" s="111">
        <v>156.91</v>
      </c>
      <c r="H91" s="10">
        <f t="shared" si="20"/>
        <v>0.7781530813844556</v>
      </c>
      <c r="I91" s="35">
        <v>266164.2</v>
      </c>
      <c r="J91" s="106">
        <f t="shared" si="21"/>
        <v>123.29999999998836</v>
      </c>
      <c r="K91" s="110">
        <v>18223</v>
      </c>
      <c r="L91" s="107">
        <f t="shared" si="22"/>
        <v>18</v>
      </c>
      <c r="M91" s="111">
        <v>210</v>
      </c>
      <c r="N91" s="28">
        <f t="shared" si="23"/>
        <v>0.58714285714280168</v>
      </c>
      <c r="O91" s="84">
        <f t="shared" si="24"/>
        <v>245.40000000002328</v>
      </c>
      <c r="P91" s="79">
        <f t="shared" si="25"/>
        <v>366.90999999999997</v>
      </c>
      <c r="Q91" s="34">
        <f t="shared" si="26"/>
        <v>0.66882886811486009</v>
      </c>
      <c r="R91" s="1">
        <v>22</v>
      </c>
    </row>
    <row r="92" spans="1:19" ht="24" customHeight="1">
      <c r="A92" s="81">
        <v>44</v>
      </c>
      <c r="B92" s="31" t="s">
        <v>90</v>
      </c>
      <c r="C92" s="104">
        <v>243332</v>
      </c>
      <c r="D92" s="104">
        <v>243444.8</v>
      </c>
      <c r="E92" s="104">
        <f t="shared" si="19"/>
        <v>112.79999999998836</v>
      </c>
      <c r="F92" s="110">
        <v>17528</v>
      </c>
      <c r="G92" s="111">
        <v>170</v>
      </c>
      <c r="H92" s="10">
        <f>IFERROR(E92/G92,0)</f>
        <v>0.66352941176463742</v>
      </c>
      <c r="I92" s="104">
        <v>243550.8</v>
      </c>
      <c r="J92" s="106">
        <f t="shared" si="21"/>
        <v>106</v>
      </c>
      <c r="K92" s="110">
        <v>17546</v>
      </c>
      <c r="L92" s="107">
        <f t="shared" si="22"/>
        <v>18</v>
      </c>
      <c r="M92" s="111">
        <v>168</v>
      </c>
      <c r="N92" s="28">
        <f t="shared" si="23"/>
        <v>0.63095238095238093</v>
      </c>
      <c r="O92" s="84">
        <f t="shared" si="24"/>
        <v>218.79999999998836</v>
      </c>
      <c r="P92" s="79">
        <f t="shared" si="25"/>
        <v>338</v>
      </c>
      <c r="Q92" s="34">
        <f t="shared" si="26"/>
        <v>0.64733727810647446</v>
      </c>
      <c r="R92" s="1">
        <v>23</v>
      </c>
    </row>
    <row r="93" spans="1:19" ht="24" customHeight="1">
      <c r="A93" s="81">
        <v>45</v>
      </c>
      <c r="B93" s="31" t="s">
        <v>91</v>
      </c>
      <c r="C93" s="104">
        <v>254153.9</v>
      </c>
      <c r="D93" s="104">
        <v>254153.9</v>
      </c>
      <c r="E93" s="104">
        <f t="shared" si="19"/>
        <v>0</v>
      </c>
      <c r="F93" s="110">
        <v>17731</v>
      </c>
      <c r="G93" s="111">
        <v>0</v>
      </c>
      <c r="H93" s="10">
        <f t="shared" si="20"/>
        <v>0</v>
      </c>
      <c r="I93" s="104">
        <v>254153.9</v>
      </c>
      <c r="J93" s="106">
        <f t="shared" si="21"/>
        <v>0</v>
      </c>
      <c r="K93" s="110">
        <v>17731</v>
      </c>
      <c r="L93" s="107">
        <f t="shared" si="22"/>
        <v>0</v>
      </c>
      <c r="M93" s="111">
        <v>0</v>
      </c>
      <c r="N93" s="28">
        <f t="shared" si="23"/>
        <v>0</v>
      </c>
      <c r="O93" s="84">
        <f t="shared" si="24"/>
        <v>0</v>
      </c>
      <c r="P93" s="79">
        <f t="shared" si="25"/>
        <v>0</v>
      </c>
      <c r="Q93" s="34">
        <f t="shared" si="26"/>
        <v>0</v>
      </c>
      <c r="R93" s="1">
        <v>0</v>
      </c>
    </row>
    <row r="94" spans="1:19" ht="24" customHeight="1">
      <c r="A94" s="81">
        <v>46</v>
      </c>
      <c r="B94" s="31" t="s">
        <v>92</v>
      </c>
      <c r="C94" s="35">
        <v>237289.2</v>
      </c>
      <c r="D94" s="35">
        <v>237427.8</v>
      </c>
      <c r="E94" s="104">
        <f>D94-C94</f>
        <v>138.59999999997672</v>
      </c>
      <c r="F94" s="110">
        <v>17166</v>
      </c>
      <c r="G94" s="111">
        <v>208.89</v>
      </c>
      <c r="H94" s="10">
        <f t="shared" si="20"/>
        <v>0.66350710900462795</v>
      </c>
      <c r="I94" s="35">
        <v>237553</v>
      </c>
      <c r="J94" s="106">
        <f>I94-D94</f>
        <v>125.20000000001164</v>
      </c>
      <c r="K94" s="110">
        <v>17187</v>
      </c>
      <c r="L94" s="107">
        <f t="shared" si="22"/>
        <v>21</v>
      </c>
      <c r="M94" s="111">
        <v>180</v>
      </c>
      <c r="N94" s="28">
        <f t="shared" si="23"/>
        <v>0.69555555555562021</v>
      </c>
      <c r="O94" s="84">
        <f t="shared" si="24"/>
        <v>263.79999999998836</v>
      </c>
      <c r="P94" s="79">
        <f>G94+M94</f>
        <v>388.89</v>
      </c>
      <c r="Q94" s="34">
        <f t="shared" si="26"/>
        <v>0.67834091902591576</v>
      </c>
      <c r="R94" s="1">
        <v>30</v>
      </c>
    </row>
    <row r="95" spans="1:19" ht="24" customHeight="1">
      <c r="A95" s="81">
        <v>47</v>
      </c>
      <c r="B95" s="31" t="s">
        <v>93</v>
      </c>
      <c r="C95" s="104">
        <v>245616.6</v>
      </c>
      <c r="D95" s="104">
        <v>245762.4</v>
      </c>
      <c r="E95" s="104">
        <f>D95-C95</f>
        <v>145.79999999998836</v>
      </c>
      <c r="F95" s="110">
        <v>16650</v>
      </c>
      <c r="G95" s="111">
        <v>228</v>
      </c>
      <c r="H95" s="10">
        <f t="shared" si="20"/>
        <v>0.63947368421047524</v>
      </c>
      <c r="I95" s="104">
        <v>245847.5</v>
      </c>
      <c r="J95" s="106">
        <f>I95-D95</f>
        <v>85.100000000005821</v>
      </c>
      <c r="K95" s="110">
        <v>16667</v>
      </c>
      <c r="L95" s="107">
        <f t="shared" si="22"/>
        <v>17</v>
      </c>
      <c r="M95" s="111">
        <v>138</v>
      </c>
      <c r="N95" s="28">
        <f t="shared" si="23"/>
        <v>0.61666666666670888</v>
      </c>
      <c r="O95" s="84">
        <f t="shared" si="24"/>
        <v>230.89999999999418</v>
      </c>
      <c r="P95" s="79">
        <f t="shared" si="25"/>
        <v>366</v>
      </c>
      <c r="Q95" s="34">
        <f t="shared" si="26"/>
        <v>0.63087431693987484</v>
      </c>
      <c r="R95" s="1">
        <v>23</v>
      </c>
      <c r="S95" t="s">
        <v>94</v>
      </c>
    </row>
    <row r="96" spans="1:19" ht="24" customHeight="1">
      <c r="A96" s="81">
        <v>48</v>
      </c>
      <c r="B96" s="31" t="s">
        <v>95</v>
      </c>
      <c r="C96" s="104">
        <v>242675.5</v>
      </c>
      <c r="D96" s="104">
        <v>242840.4</v>
      </c>
      <c r="E96" s="104">
        <f t="shared" si="19"/>
        <v>164.89999999999418</v>
      </c>
      <c r="F96" s="110">
        <v>18087</v>
      </c>
      <c r="G96" s="111">
        <v>238</v>
      </c>
      <c r="H96" s="10">
        <f t="shared" si="20"/>
        <v>0.69285714285711841</v>
      </c>
      <c r="I96" s="104">
        <v>242992.6</v>
      </c>
      <c r="J96" s="106">
        <f t="shared" si="21"/>
        <v>152.20000000001164</v>
      </c>
      <c r="K96" s="110">
        <v>18110</v>
      </c>
      <c r="L96" s="107">
        <f t="shared" si="22"/>
        <v>23</v>
      </c>
      <c r="M96" s="111">
        <v>217</v>
      </c>
      <c r="N96" s="28">
        <f t="shared" si="23"/>
        <v>0.70138248847931628</v>
      </c>
      <c r="O96" s="84">
        <f t="shared" si="24"/>
        <v>317.10000000000582</v>
      </c>
      <c r="P96" s="79">
        <f t="shared" si="25"/>
        <v>455</v>
      </c>
      <c r="Q96" s="34">
        <f t="shared" si="26"/>
        <v>0.69692307692308975</v>
      </c>
      <c r="R96" s="1">
        <v>33</v>
      </c>
    </row>
    <row r="97" spans="1:18" ht="24" customHeight="1">
      <c r="A97" s="81">
        <v>49</v>
      </c>
      <c r="B97" s="31" t="s">
        <v>96</v>
      </c>
      <c r="C97" s="35">
        <v>247277.7</v>
      </c>
      <c r="D97" s="35">
        <v>247427.9</v>
      </c>
      <c r="E97" s="104">
        <f t="shared" si="19"/>
        <v>150.19999999998254</v>
      </c>
      <c r="F97" s="110">
        <v>17767</v>
      </c>
      <c r="G97" s="111">
        <v>217.59</v>
      </c>
      <c r="H97" s="10">
        <f>IFERROR(E97/G97,0)</f>
        <v>0.69028907578465248</v>
      </c>
      <c r="I97" s="35">
        <v>247553.8</v>
      </c>
      <c r="J97" s="106">
        <f t="shared" si="21"/>
        <v>125.89999999999418</v>
      </c>
      <c r="K97" s="110">
        <v>17788</v>
      </c>
      <c r="L97" s="107">
        <f t="shared" si="22"/>
        <v>21</v>
      </c>
      <c r="M97" s="111">
        <v>198</v>
      </c>
      <c r="N97" s="28">
        <f t="shared" si="23"/>
        <v>0.63585858585855648</v>
      </c>
      <c r="O97" s="84">
        <f t="shared" si="24"/>
        <v>276.09999999997672</v>
      </c>
      <c r="P97" s="79">
        <f t="shared" si="25"/>
        <v>415.59000000000003</v>
      </c>
      <c r="Q97" s="34">
        <f t="shared" si="26"/>
        <v>0.66435669770681849</v>
      </c>
      <c r="R97" s="1">
        <v>28</v>
      </c>
    </row>
    <row r="98" spans="1:18" ht="24" customHeight="1">
      <c r="A98" s="81">
        <v>50</v>
      </c>
      <c r="B98" s="31" t="s">
        <v>97</v>
      </c>
      <c r="C98" s="104">
        <v>235744.9</v>
      </c>
      <c r="D98" s="104">
        <v>235873.3</v>
      </c>
      <c r="E98" s="104">
        <f t="shared" si="19"/>
        <v>128.39999999999418</v>
      </c>
      <c r="F98" s="110">
        <v>16285</v>
      </c>
      <c r="G98" s="111">
        <v>175</v>
      </c>
      <c r="H98" s="10">
        <f t="shared" si="20"/>
        <v>0.73371428571425246</v>
      </c>
      <c r="I98" s="104">
        <v>236010.5</v>
      </c>
      <c r="J98" s="106">
        <f t="shared" si="21"/>
        <v>137.20000000001164</v>
      </c>
      <c r="K98" s="110">
        <v>16303</v>
      </c>
      <c r="L98" s="107">
        <f t="shared" si="22"/>
        <v>18</v>
      </c>
      <c r="M98" s="111">
        <v>215</v>
      </c>
      <c r="N98" s="28">
        <f t="shared" si="23"/>
        <v>0.63813953488377506</v>
      </c>
      <c r="O98" s="84">
        <f t="shared" si="24"/>
        <v>265.60000000000582</v>
      </c>
      <c r="P98" s="79">
        <f t="shared" si="25"/>
        <v>390</v>
      </c>
      <c r="Q98" s="34">
        <f t="shared" si="26"/>
        <v>0.68102564102565599</v>
      </c>
      <c r="R98" s="1">
        <v>28</v>
      </c>
    </row>
    <row r="99" spans="1:18" ht="24" customHeight="1">
      <c r="A99" s="81">
        <v>51</v>
      </c>
      <c r="B99" s="121" t="s">
        <v>166</v>
      </c>
      <c r="C99" s="104">
        <v>204670</v>
      </c>
      <c r="D99" s="104">
        <v>204670</v>
      </c>
      <c r="E99" s="118">
        <f t="shared" si="19"/>
        <v>0</v>
      </c>
      <c r="F99" s="110">
        <v>17434</v>
      </c>
      <c r="G99" s="111">
        <v>0</v>
      </c>
      <c r="H99" s="55">
        <f t="shared" si="20"/>
        <v>0</v>
      </c>
      <c r="I99" s="104">
        <v>204670</v>
      </c>
      <c r="J99" s="119">
        <f t="shared" si="21"/>
        <v>0</v>
      </c>
      <c r="K99" s="110">
        <v>17434</v>
      </c>
      <c r="L99" s="120">
        <f t="shared" si="22"/>
        <v>0</v>
      </c>
      <c r="M99" s="111">
        <v>0</v>
      </c>
      <c r="N99" s="28">
        <f t="shared" si="23"/>
        <v>0</v>
      </c>
      <c r="O99" s="58">
        <f t="shared" si="24"/>
        <v>0</v>
      </c>
      <c r="P99" s="79">
        <f t="shared" si="25"/>
        <v>0</v>
      </c>
      <c r="Q99" s="34">
        <f t="shared" si="26"/>
        <v>0</v>
      </c>
      <c r="R99" s="1">
        <v>0</v>
      </c>
    </row>
    <row r="100" spans="1:18" ht="24" customHeight="1">
      <c r="A100" s="81">
        <v>52</v>
      </c>
      <c r="B100" s="121" t="s">
        <v>167</v>
      </c>
      <c r="C100" s="104">
        <v>186406</v>
      </c>
      <c r="D100" s="104">
        <v>186406</v>
      </c>
      <c r="E100" s="118">
        <f t="shared" si="19"/>
        <v>0</v>
      </c>
      <c r="F100" s="110">
        <v>16317</v>
      </c>
      <c r="G100" s="111">
        <v>0</v>
      </c>
      <c r="H100" s="55">
        <f t="shared" si="20"/>
        <v>0</v>
      </c>
      <c r="I100" s="104">
        <v>186406</v>
      </c>
      <c r="J100" s="119">
        <f t="shared" si="21"/>
        <v>0</v>
      </c>
      <c r="K100" s="110">
        <v>16317</v>
      </c>
      <c r="L100" s="120">
        <f t="shared" si="22"/>
        <v>0</v>
      </c>
      <c r="M100" s="111">
        <v>0</v>
      </c>
      <c r="N100" s="28">
        <f t="shared" si="23"/>
        <v>0</v>
      </c>
      <c r="O100" s="58">
        <f t="shared" si="24"/>
        <v>0</v>
      </c>
      <c r="P100" s="79">
        <f t="shared" si="25"/>
        <v>0</v>
      </c>
      <c r="Q100" s="34">
        <f t="shared" si="26"/>
        <v>0</v>
      </c>
      <c r="R100" s="1">
        <v>0</v>
      </c>
    </row>
    <row r="101" spans="1:18" ht="24" customHeight="1">
      <c r="A101" s="81">
        <v>53</v>
      </c>
      <c r="B101" s="121" t="s">
        <v>168</v>
      </c>
      <c r="C101" s="104">
        <v>190757</v>
      </c>
      <c r="D101" s="104">
        <v>190907</v>
      </c>
      <c r="E101" s="118">
        <f t="shared" si="19"/>
        <v>150</v>
      </c>
      <c r="F101" s="110">
        <v>17041</v>
      </c>
      <c r="G101" s="111">
        <v>208</v>
      </c>
      <c r="H101" s="55">
        <f t="shared" si="20"/>
        <v>0.72115384615384615</v>
      </c>
      <c r="I101" s="104">
        <v>191027</v>
      </c>
      <c r="J101" s="119">
        <f t="shared" si="21"/>
        <v>120</v>
      </c>
      <c r="K101" s="110">
        <v>17059</v>
      </c>
      <c r="L101" s="120">
        <f t="shared" si="22"/>
        <v>18</v>
      </c>
      <c r="M101" s="111">
        <v>187</v>
      </c>
      <c r="N101" s="28">
        <f t="shared" si="23"/>
        <v>0.64171122994652408</v>
      </c>
      <c r="O101" s="58">
        <f t="shared" si="24"/>
        <v>270</v>
      </c>
      <c r="P101" s="79">
        <f t="shared" si="25"/>
        <v>395</v>
      </c>
      <c r="Q101" s="34">
        <f t="shared" si="26"/>
        <v>0.68354430379746833</v>
      </c>
      <c r="R101" s="1">
        <v>26</v>
      </c>
    </row>
    <row r="102" spans="1:18" ht="24" customHeight="1">
      <c r="A102" s="81">
        <v>54</v>
      </c>
      <c r="B102" s="121" t="s">
        <v>169</v>
      </c>
      <c r="C102" s="104">
        <v>194926</v>
      </c>
      <c r="D102" s="104">
        <v>195094</v>
      </c>
      <c r="E102" s="118">
        <f t="shared" si="19"/>
        <v>168</v>
      </c>
      <c r="F102" s="110">
        <v>16522</v>
      </c>
      <c r="G102" s="111">
        <v>271</v>
      </c>
      <c r="H102" s="55">
        <f t="shared" si="20"/>
        <v>0.61992619926199266</v>
      </c>
      <c r="I102" s="104">
        <v>195232</v>
      </c>
      <c r="J102" s="119">
        <f t="shared" si="21"/>
        <v>138</v>
      </c>
      <c r="K102" s="110">
        <v>16544</v>
      </c>
      <c r="L102" s="120">
        <f t="shared" si="22"/>
        <v>22</v>
      </c>
      <c r="M102" s="111">
        <v>216</v>
      </c>
      <c r="N102" s="28">
        <f t="shared" si="23"/>
        <v>0.63888888888888884</v>
      </c>
      <c r="O102" s="58">
        <f t="shared" si="24"/>
        <v>306</v>
      </c>
      <c r="P102" s="79">
        <f t="shared" si="25"/>
        <v>487</v>
      </c>
      <c r="Q102" s="34">
        <f t="shared" si="26"/>
        <v>0.62833675564681724</v>
      </c>
      <c r="R102" s="1">
        <v>26</v>
      </c>
    </row>
    <row r="103" spans="1:18" ht="24" customHeight="1">
      <c r="A103" s="81">
        <v>55</v>
      </c>
      <c r="B103" s="121" t="s">
        <v>104</v>
      </c>
      <c r="C103" s="104">
        <v>69821.600000000006</v>
      </c>
      <c r="D103" s="104">
        <v>69996.600000000006</v>
      </c>
      <c r="E103" s="122">
        <f t="shared" si="19"/>
        <v>175</v>
      </c>
      <c r="F103" s="110">
        <v>4721</v>
      </c>
      <c r="G103" s="111">
        <v>260</v>
      </c>
      <c r="H103" s="78">
        <f t="shared" si="20"/>
        <v>0.67307692307692313</v>
      </c>
      <c r="I103" s="104">
        <v>70131.8</v>
      </c>
      <c r="J103" s="112">
        <f t="shared" si="21"/>
        <v>135.19999999999709</v>
      </c>
      <c r="K103" s="110">
        <v>4743</v>
      </c>
      <c r="L103" s="107">
        <f t="shared" si="22"/>
        <v>22</v>
      </c>
      <c r="M103" s="111">
        <v>192</v>
      </c>
      <c r="N103" s="28">
        <f t="shared" si="23"/>
        <v>0.70416666666665151</v>
      </c>
      <c r="O103" s="58">
        <f t="shared" si="24"/>
        <v>310.19999999999709</v>
      </c>
      <c r="P103" s="79">
        <f t="shared" si="25"/>
        <v>452</v>
      </c>
      <c r="Q103" s="34">
        <f t="shared" si="26"/>
        <v>0.68628318584070147</v>
      </c>
      <c r="R103" s="1">
        <v>20</v>
      </c>
    </row>
    <row r="104" spans="1:18" ht="24" customHeight="1">
      <c r="A104" s="81">
        <v>56</v>
      </c>
      <c r="B104" s="121" t="s">
        <v>105</v>
      </c>
      <c r="C104" s="35">
        <v>68477.8</v>
      </c>
      <c r="D104" s="35">
        <v>68651.5</v>
      </c>
      <c r="E104" s="122">
        <f t="shared" si="19"/>
        <v>173.69999999999709</v>
      </c>
      <c r="F104" s="110">
        <v>4726</v>
      </c>
      <c r="G104" s="111">
        <v>253.87</v>
      </c>
      <c r="H104" s="78">
        <f t="shared" si="20"/>
        <v>0.6842084531452991</v>
      </c>
      <c r="I104" s="35">
        <v>68794.7</v>
      </c>
      <c r="J104" s="112">
        <f t="shared" si="21"/>
        <v>143.19999999999709</v>
      </c>
      <c r="K104" s="110">
        <v>4748</v>
      </c>
      <c r="L104" s="107">
        <f t="shared" si="22"/>
        <v>22</v>
      </c>
      <c r="M104" s="111">
        <v>205</v>
      </c>
      <c r="N104" s="28">
        <f t="shared" si="23"/>
        <v>0.69853658536583951</v>
      </c>
      <c r="O104" s="58">
        <f t="shared" si="24"/>
        <v>316.89999999999418</v>
      </c>
      <c r="P104" s="79">
        <f t="shared" si="25"/>
        <v>458.87</v>
      </c>
      <c r="Q104" s="34">
        <f t="shared" si="26"/>
        <v>0.69060954082854442</v>
      </c>
      <c r="R104" s="1">
        <v>20</v>
      </c>
    </row>
    <row r="105" spans="1:18" ht="24" customHeight="1">
      <c r="A105" s="81">
        <v>57</v>
      </c>
      <c r="B105" s="121" t="s">
        <v>106</v>
      </c>
      <c r="C105" s="104">
        <v>66477.600000000006</v>
      </c>
      <c r="D105" s="104">
        <v>66622.3</v>
      </c>
      <c r="E105" s="122">
        <f t="shared" si="19"/>
        <v>144.69999999999709</v>
      </c>
      <c r="F105" s="110">
        <v>4752</v>
      </c>
      <c r="G105" s="111">
        <v>210</v>
      </c>
      <c r="H105" s="78">
        <f t="shared" si="20"/>
        <v>0.68904761904760514</v>
      </c>
      <c r="I105" s="104">
        <v>66754.7</v>
      </c>
      <c r="J105" s="112">
        <f t="shared" si="21"/>
        <v>132.39999999999418</v>
      </c>
      <c r="K105" s="110">
        <v>4772</v>
      </c>
      <c r="L105" s="107">
        <f t="shared" si="22"/>
        <v>20</v>
      </c>
      <c r="M105" s="111">
        <v>188</v>
      </c>
      <c r="N105" s="28">
        <f t="shared" si="23"/>
        <v>0.70425531914890516</v>
      </c>
      <c r="O105" s="58">
        <f t="shared" si="24"/>
        <v>277.09999999999127</v>
      </c>
      <c r="P105" s="79">
        <f t="shared" si="25"/>
        <v>398</v>
      </c>
      <c r="Q105" s="34">
        <f t="shared" si="26"/>
        <v>0.69623115577887251</v>
      </c>
      <c r="R105" s="1">
        <v>19</v>
      </c>
    </row>
    <row r="106" spans="1:18" ht="24" customHeight="1">
      <c r="A106" s="81">
        <v>58</v>
      </c>
      <c r="B106" s="121" t="s">
        <v>107</v>
      </c>
      <c r="C106" s="104">
        <v>68697.2</v>
      </c>
      <c r="D106" s="104">
        <v>68851.399999999994</v>
      </c>
      <c r="E106" s="122">
        <f t="shared" si="19"/>
        <v>154.19999999999709</v>
      </c>
      <c r="F106" s="110">
        <v>4749</v>
      </c>
      <c r="G106" s="111">
        <v>248.5</v>
      </c>
      <c r="H106" s="78">
        <f t="shared" si="20"/>
        <v>0.62052313883298627</v>
      </c>
      <c r="I106" s="104">
        <v>69005.7</v>
      </c>
      <c r="J106" s="112">
        <f t="shared" si="21"/>
        <v>154.30000000000291</v>
      </c>
      <c r="K106" s="110">
        <v>4772</v>
      </c>
      <c r="L106" s="107">
        <f t="shared" si="22"/>
        <v>23</v>
      </c>
      <c r="M106" s="111">
        <v>230</v>
      </c>
      <c r="N106" s="28">
        <f t="shared" si="23"/>
        <v>0.67086956521740393</v>
      </c>
      <c r="O106" s="58">
        <f t="shared" si="24"/>
        <v>308.5</v>
      </c>
      <c r="P106" s="79">
        <f t="shared" si="25"/>
        <v>478.5</v>
      </c>
      <c r="Q106" s="34">
        <f t="shared" si="26"/>
        <v>0.64472309299895503</v>
      </c>
      <c r="R106" s="1">
        <v>20</v>
      </c>
    </row>
    <row r="107" spans="1:18" ht="24" customHeight="1">
      <c r="A107" s="81">
        <v>59</v>
      </c>
      <c r="B107" s="121" t="s">
        <v>108</v>
      </c>
      <c r="C107" s="104">
        <v>67743.199999999997</v>
      </c>
      <c r="D107" s="104">
        <v>67878.7</v>
      </c>
      <c r="E107" s="122">
        <f t="shared" si="19"/>
        <v>135.5</v>
      </c>
      <c r="F107" s="110">
        <v>4720</v>
      </c>
      <c r="G107" s="111">
        <v>186.7</v>
      </c>
      <c r="H107" s="78">
        <f t="shared" si="20"/>
        <v>0.72576325656132834</v>
      </c>
      <c r="I107" s="104">
        <v>68028.399999999994</v>
      </c>
      <c r="J107" s="112">
        <f t="shared" si="21"/>
        <v>149.69999999999709</v>
      </c>
      <c r="K107" s="110">
        <v>4740</v>
      </c>
      <c r="L107" s="107">
        <f t="shared" si="22"/>
        <v>20</v>
      </c>
      <c r="M107" s="111">
        <v>220</v>
      </c>
      <c r="N107" s="28">
        <f t="shared" si="23"/>
        <v>0.68045454545453221</v>
      </c>
      <c r="O107" s="58">
        <f t="shared" si="24"/>
        <v>285.19999999999709</v>
      </c>
      <c r="P107" s="79">
        <f t="shared" si="25"/>
        <v>406.7</v>
      </c>
      <c r="Q107" s="34">
        <f t="shared" si="26"/>
        <v>0.70125399557412615</v>
      </c>
      <c r="R107" s="1">
        <v>18</v>
      </c>
    </row>
    <row r="108" spans="1:18" ht="24" customHeight="1">
      <c r="A108" s="81">
        <v>60</v>
      </c>
      <c r="B108" s="121" t="s">
        <v>109</v>
      </c>
      <c r="C108" s="104">
        <v>69666.7</v>
      </c>
      <c r="D108" s="104">
        <v>69804.899999999994</v>
      </c>
      <c r="E108" s="118">
        <f t="shared" si="19"/>
        <v>138.19999999999709</v>
      </c>
      <c r="F108" s="110">
        <v>4817</v>
      </c>
      <c r="G108" s="111">
        <v>199</v>
      </c>
      <c r="H108" s="55">
        <f t="shared" si="20"/>
        <v>0.6944723618090306</v>
      </c>
      <c r="I108" s="104">
        <v>69947.100000000006</v>
      </c>
      <c r="J108" s="119">
        <f t="shared" si="21"/>
        <v>142.20000000001164</v>
      </c>
      <c r="K108" s="110">
        <v>4836</v>
      </c>
      <c r="L108" s="120">
        <f t="shared" si="22"/>
        <v>19</v>
      </c>
      <c r="M108" s="111">
        <v>205</v>
      </c>
      <c r="N108" s="28">
        <f t="shared" si="23"/>
        <v>0.69365853658542265</v>
      </c>
      <c r="O108" s="58">
        <f t="shared" si="24"/>
        <v>280.40000000000873</v>
      </c>
      <c r="P108" s="79">
        <f t="shared" si="25"/>
        <v>404</v>
      </c>
      <c r="Q108" s="34">
        <f t="shared" si="26"/>
        <v>0.69405940594061566</v>
      </c>
      <c r="R108" s="1">
        <v>19</v>
      </c>
    </row>
    <row r="109" spans="1:18" ht="24" customHeight="1">
      <c r="A109" s="81">
        <v>61</v>
      </c>
      <c r="B109" s="121" t="s">
        <v>110</v>
      </c>
      <c r="C109" s="104">
        <v>33599.5</v>
      </c>
      <c r="D109" s="104">
        <v>33763.199999999997</v>
      </c>
      <c r="E109" s="118">
        <f t="shared" si="19"/>
        <v>163.69999999999709</v>
      </c>
      <c r="F109" s="110">
        <v>2725</v>
      </c>
      <c r="G109" s="111">
        <v>231.65</v>
      </c>
      <c r="H109" s="55">
        <f t="shared" si="20"/>
        <v>0.7066695445715393</v>
      </c>
      <c r="I109" s="104">
        <v>33905.599999999999</v>
      </c>
      <c r="J109" s="119">
        <f t="shared" si="21"/>
        <v>142.40000000000146</v>
      </c>
      <c r="K109" s="110">
        <v>2747</v>
      </c>
      <c r="L109" s="120">
        <f t="shared" si="22"/>
        <v>22</v>
      </c>
      <c r="M109" s="111">
        <v>222</v>
      </c>
      <c r="N109" s="28">
        <f t="shared" si="23"/>
        <v>0.64144144144144799</v>
      </c>
      <c r="O109" s="58">
        <f t="shared" si="24"/>
        <v>306.09999999999854</v>
      </c>
      <c r="P109" s="79">
        <f t="shared" si="25"/>
        <v>453.65</v>
      </c>
      <c r="Q109" s="34">
        <f t="shared" si="26"/>
        <v>0.67474925603438451</v>
      </c>
      <c r="R109" s="1">
        <v>26</v>
      </c>
    </row>
    <row r="110" spans="1:18" ht="22.2" customHeight="1">
      <c r="A110" s="123" t="s">
        <v>28</v>
      </c>
      <c r="B110" s="123"/>
      <c r="C110" s="40"/>
      <c r="D110" s="123"/>
      <c r="E110" s="124">
        <f>SUM(E49:E109)</f>
        <v>6768.9999999998399</v>
      </c>
      <c r="F110" s="125"/>
      <c r="G110" s="126">
        <f>SUM(G49:G109)</f>
        <v>10312.430000000002</v>
      </c>
      <c r="H110" s="39"/>
      <c r="I110" s="40"/>
      <c r="J110" s="40">
        <f>SUM(J49:J109)</f>
        <v>34393.200000000019</v>
      </c>
      <c r="K110" s="127"/>
      <c r="L110" s="128">
        <f>SUM(L49:L109)</f>
        <v>1000.6599999999962</v>
      </c>
      <c r="M110" s="128">
        <f>SUM(M49:M109)</f>
        <v>9020.7199999999993</v>
      </c>
      <c r="N110" s="28">
        <f>IFERROR(J110/M110,0)</f>
        <v>3.8126890093030292</v>
      </c>
      <c r="O110" s="129">
        <f>SUM(O49:O109)</f>
        <v>41162.199999999859</v>
      </c>
      <c r="P110" s="79">
        <f>G110+M110</f>
        <v>19333.150000000001</v>
      </c>
      <c r="Q110" s="34">
        <f>IFERROR(O110/P110,0)</f>
        <v>2.129099500081459</v>
      </c>
      <c r="R110" s="130">
        <f>SUM(R49:R109)</f>
        <v>1183</v>
      </c>
    </row>
    <row r="111" spans="1:18" ht="22.2" customHeight="1" thickBot="1">
      <c r="A111" s="206" t="s">
        <v>111</v>
      </c>
      <c r="B111" s="207"/>
      <c r="C111" s="207"/>
      <c r="D111" s="207"/>
      <c r="E111" s="207"/>
      <c r="F111" s="207"/>
      <c r="G111" s="207"/>
      <c r="H111" s="207"/>
      <c r="I111" s="207"/>
      <c r="J111" s="207"/>
      <c r="K111" s="207"/>
      <c r="L111" s="208"/>
      <c r="M111" s="131"/>
      <c r="N111" s="132"/>
      <c r="O111" s="133"/>
    </row>
    <row r="112" spans="1:18" ht="22.2" customHeight="1">
      <c r="A112" s="209" t="s">
        <v>3</v>
      </c>
      <c r="B112" s="211" t="s">
        <v>4</v>
      </c>
      <c r="C112" s="213" t="s">
        <v>5</v>
      </c>
      <c r="D112" s="214"/>
      <c r="E112" s="214"/>
      <c r="F112" s="214"/>
      <c r="G112" s="215"/>
      <c r="H112" s="216" t="s">
        <v>6</v>
      </c>
      <c r="I112" s="217"/>
      <c r="J112" s="217"/>
      <c r="K112" s="218"/>
      <c r="L112" s="48"/>
      <c r="M112" s="219" t="s">
        <v>7</v>
      </c>
      <c r="N112" s="194" t="s">
        <v>8</v>
      </c>
      <c r="O112" s="37"/>
    </row>
    <row r="113" spans="1:17" ht="27.6" customHeight="1" thickBot="1">
      <c r="A113" s="210"/>
      <c r="B113" s="212"/>
      <c r="C113" s="49" t="s">
        <v>11</v>
      </c>
      <c r="D113" s="49" t="s">
        <v>12</v>
      </c>
      <c r="E113" s="49" t="s">
        <v>13</v>
      </c>
      <c r="F113" s="6" t="s">
        <v>14</v>
      </c>
      <c r="G113" s="6" t="s">
        <v>8</v>
      </c>
      <c r="H113" s="49" t="s">
        <v>12</v>
      </c>
      <c r="I113" s="49" t="s">
        <v>13</v>
      </c>
      <c r="J113" s="49" t="s">
        <v>14</v>
      </c>
      <c r="K113" s="7" t="s">
        <v>8</v>
      </c>
      <c r="L113" s="50" t="s">
        <v>15</v>
      </c>
      <c r="M113" s="220"/>
      <c r="N113" s="195"/>
      <c r="O113" s="37"/>
    </row>
    <row r="114" spans="1:17" ht="22.2" customHeight="1">
      <c r="A114" s="76">
        <v>1</v>
      </c>
      <c r="B114" s="31" t="s">
        <v>112</v>
      </c>
      <c r="C114" s="35">
        <v>121832</v>
      </c>
      <c r="D114" s="35">
        <v>121832</v>
      </c>
      <c r="E114" s="17">
        <f>D114-C114</f>
        <v>0</v>
      </c>
      <c r="F114" s="33">
        <v>0</v>
      </c>
      <c r="G114" s="10">
        <f>IFERROR(F114/E114,0)</f>
        <v>0</v>
      </c>
      <c r="H114" s="35">
        <v>121832</v>
      </c>
      <c r="I114" s="19">
        <f>H114-D114</f>
        <v>0</v>
      </c>
      <c r="J114" s="33">
        <v>0</v>
      </c>
      <c r="K114" s="28">
        <f t="shared" ref="K114:K128" si="27">IFERROR(J114/I114,0)</f>
        <v>0</v>
      </c>
      <c r="L114" s="18">
        <f t="shared" ref="L114:M128" si="28">E114+I114</f>
        <v>0</v>
      </c>
      <c r="M114" s="22">
        <f>F114+J114</f>
        <v>0</v>
      </c>
      <c r="N114" s="71">
        <f>IFERROR(L114/M114,0)</f>
        <v>0</v>
      </c>
      <c r="O114" s="37"/>
    </row>
    <row r="115" spans="1:17" ht="22.2" customHeight="1">
      <c r="A115" s="76">
        <v>2</v>
      </c>
      <c r="B115" s="31" t="s">
        <v>113</v>
      </c>
      <c r="C115" s="35">
        <v>4289.53</v>
      </c>
      <c r="D115" s="35">
        <v>4289.53</v>
      </c>
      <c r="E115" s="17">
        <f t="shared" ref="E115:E128" si="29">D115-C115</f>
        <v>0</v>
      </c>
      <c r="F115" s="33">
        <v>0</v>
      </c>
      <c r="G115" s="10">
        <f t="shared" ref="G115:G128" si="30">IFERROR(F115/E115,0)</f>
        <v>0</v>
      </c>
      <c r="H115" s="35">
        <v>4298.33</v>
      </c>
      <c r="I115" s="19">
        <f>H115-D115</f>
        <v>8.8000000000001819</v>
      </c>
      <c r="J115" s="33">
        <v>66.8</v>
      </c>
      <c r="K115" s="28">
        <f t="shared" si="27"/>
        <v>7.5909090909089336</v>
      </c>
      <c r="L115" s="18">
        <f t="shared" si="28"/>
        <v>8.8000000000001819</v>
      </c>
      <c r="M115" s="22">
        <f t="shared" si="28"/>
        <v>66.8</v>
      </c>
      <c r="N115" s="71">
        <f t="shared" ref="N115:N128" si="31">IFERROR(L115/M115,0)</f>
        <v>0.13173652694611052</v>
      </c>
      <c r="O115" s="134"/>
    </row>
    <row r="116" spans="1:17" ht="22.2" customHeight="1">
      <c r="A116" s="76">
        <v>3</v>
      </c>
      <c r="B116" s="31" t="s">
        <v>114</v>
      </c>
      <c r="C116" s="35">
        <v>147.27000000000001</v>
      </c>
      <c r="D116" s="35">
        <v>147.27000000000001</v>
      </c>
      <c r="E116" s="17">
        <f t="shared" si="29"/>
        <v>0</v>
      </c>
      <c r="F116" s="33">
        <v>0</v>
      </c>
      <c r="G116" s="10">
        <f t="shared" si="30"/>
        <v>0</v>
      </c>
      <c r="H116" s="35">
        <v>147.27000000000001</v>
      </c>
      <c r="I116" s="19">
        <f t="shared" ref="I116:I128" si="32">H116-D116</f>
        <v>0</v>
      </c>
      <c r="J116" s="33">
        <v>0</v>
      </c>
      <c r="K116" s="28">
        <f t="shared" si="27"/>
        <v>0</v>
      </c>
      <c r="L116" s="18">
        <f t="shared" si="28"/>
        <v>0</v>
      </c>
      <c r="M116" s="22">
        <f t="shared" si="28"/>
        <v>0</v>
      </c>
      <c r="N116" s="71">
        <f t="shared" si="31"/>
        <v>0</v>
      </c>
      <c r="O116" s="37"/>
    </row>
    <row r="117" spans="1:17" ht="22.2" customHeight="1">
      <c r="A117" s="76">
        <v>4</v>
      </c>
      <c r="B117" s="31" t="s">
        <v>115</v>
      </c>
      <c r="C117" s="136">
        <v>139873</v>
      </c>
      <c r="D117" s="136">
        <v>139873</v>
      </c>
      <c r="E117" s="17">
        <f t="shared" si="29"/>
        <v>0</v>
      </c>
      <c r="F117" s="33">
        <v>0</v>
      </c>
      <c r="G117" s="10">
        <f t="shared" si="30"/>
        <v>0</v>
      </c>
      <c r="H117" s="136">
        <v>140152</v>
      </c>
      <c r="I117" s="19">
        <f t="shared" si="32"/>
        <v>279</v>
      </c>
      <c r="J117" s="33">
        <v>35</v>
      </c>
      <c r="K117" s="28">
        <f t="shared" si="27"/>
        <v>0.12544802867383512</v>
      </c>
      <c r="L117" s="18">
        <f t="shared" si="28"/>
        <v>279</v>
      </c>
      <c r="M117" s="22">
        <f t="shared" si="28"/>
        <v>35</v>
      </c>
      <c r="N117" s="71">
        <f t="shared" si="31"/>
        <v>7.9714285714285715</v>
      </c>
      <c r="O117" s="137"/>
    </row>
    <row r="118" spans="1:17" ht="22.2" customHeight="1">
      <c r="A118" s="76">
        <v>5</v>
      </c>
      <c r="B118" s="31" t="s">
        <v>116</v>
      </c>
      <c r="C118" s="35">
        <v>44558.9</v>
      </c>
      <c r="D118" s="35">
        <v>44558.9</v>
      </c>
      <c r="E118" s="17">
        <f t="shared" si="29"/>
        <v>0</v>
      </c>
      <c r="F118" s="33">
        <v>0</v>
      </c>
      <c r="G118" s="10">
        <f t="shared" si="30"/>
        <v>0</v>
      </c>
      <c r="H118" s="35">
        <v>44558.9</v>
      </c>
      <c r="I118" s="19">
        <f t="shared" si="32"/>
        <v>0</v>
      </c>
      <c r="J118" s="33">
        <v>0</v>
      </c>
      <c r="K118" s="28">
        <f t="shared" si="27"/>
        <v>0</v>
      </c>
      <c r="L118" s="18">
        <f t="shared" si="28"/>
        <v>0</v>
      </c>
      <c r="M118" s="22">
        <f t="shared" si="28"/>
        <v>0</v>
      </c>
      <c r="N118" s="71">
        <f t="shared" si="31"/>
        <v>0</v>
      </c>
      <c r="O118" s="77"/>
    </row>
    <row r="119" spans="1:17" ht="22.2" customHeight="1">
      <c r="A119" s="76">
        <v>6</v>
      </c>
      <c r="B119" s="31" t="s">
        <v>117</v>
      </c>
      <c r="C119" s="35">
        <v>100316.9</v>
      </c>
      <c r="D119" s="35">
        <v>100316.9</v>
      </c>
      <c r="E119" s="17">
        <f t="shared" si="29"/>
        <v>0</v>
      </c>
      <c r="F119" s="33">
        <v>0</v>
      </c>
      <c r="G119" s="10">
        <f t="shared" si="30"/>
        <v>0</v>
      </c>
      <c r="H119" s="35">
        <v>100316.9</v>
      </c>
      <c r="I119" s="19">
        <f t="shared" si="32"/>
        <v>0</v>
      </c>
      <c r="J119" s="33">
        <v>0</v>
      </c>
      <c r="K119" s="28">
        <f t="shared" si="27"/>
        <v>0</v>
      </c>
      <c r="L119" s="18">
        <f t="shared" si="28"/>
        <v>0</v>
      </c>
      <c r="M119" s="22">
        <f t="shared" si="28"/>
        <v>0</v>
      </c>
      <c r="N119" s="71">
        <f t="shared" si="31"/>
        <v>0</v>
      </c>
      <c r="O119" s="37"/>
    </row>
    <row r="120" spans="1:17" ht="22.2" customHeight="1">
      <c r="A120" s="76">
        <v>7</v>
      </c>
      <c r="B120" s="31" t="s">
        <v>118</v>
      </c>
      <c r="C120" s="35">
        <v>152067.5</v>
      </c>
      <c r="D120" s="35">
        <v>152067.5</v>
      </c>
      <c r="E120" s="17">
        <f t="shared" si="29"/>
        <v>0</v>
      </c>
      <c r="F120" s="33">
        <v>0</v>
      </c>
      <c r="G120" s="10">
        <f t="shared" si="30"/>
        <v>0</v>
      </c>
      <c r="H120" s="35">
        <v>152067.5</v>
      </c>
      <c r="I120" s="19">
        <f t="shared" si="32"/>
        <v>0</v>
      </c>
      <c r="J120" s="33">
        <v>0</v>
      </c>
      <c r="K120" s="28">
        <f t="shared" si="27"/>
        <v>0</v>
      </c>
      <c r="L120" s="18">
        <f t="shared" si="28"/>
        <v>0</v>
      </c>
      <c r="M120" s="22">
        <f>F120+J120</f>
        <v>0</v>
      </c>
      <c r="N120" s="71">
        <f t="shared" si="31"/>
        <v>0</v>
      </c>
      <c r="O120" s="37"/>
    </row>
    <row r="121" spans="1:17" ht="22.2" customHeight="1">
      <c r="A121" s="76">
        <v>8</v>
      </c>
      <c r="B121" s="138" t="s">
        <v>119</v>
      </c>
      <c r="C121" s="136">
        <v>40573.199999999997</v>
      </c>
      <c r="D121" s="136">
        <v>40573.199999999997</v>
      </c>
      <c r="E121" s="17">
        <f t="shared" si="29"/>
        <v>0</v>
      </c>
      <c r="F121" s="33">
        <v>0</v>
      </c>
      <c r="G121" s="10">
        <f t="shared" si="30"/>
        <v>0</v>
      </c>
      <c r="H121" s="136">
        <v>40573.199999999997</v>
      </c>
      <c r="I121" s="19">
        <f t="shared" si="32"/>
        <v>0</v>
      </c>
      <c r="J121" s="33">
        <v>0</v>
      </c>
      <c r="K121" s="28">
        <f t="shared" si="27"/>
        <v>0</v>
      </c>
      <c r="L121" s="18">
        <f t="shared" si="28"/>
        <v>0</v>
      </c>
      <c r="M121" s="22">
        <f>F121+J121</f>
        <v>0</v>
      </c>
      <c r="N121" s="71">
        <f t="shared" si="31"/>
        <v>0</v>
      </c>
      <c r="O121" s="37"/>
    </row>
    <row r="122" spans="1:17" ht="22.2" customHeight="1">
      <c r="A122" s="76">
        <v>9</v>
      </c>
      <c r="B122" s="138" t="s">
        <v>120</v>
      </c>
      <c r="C122" s="35">
        <v>33807</v>
      </c>
      <c r="D122" s="35">
        <v>33807</v>
      </c>
      <c r="E122" s="17">
        <f t="shared" si="29"/>
        <v>0</v>
      </c>
      <c r="F122" s="33">
        <v>0</v>
      </c>
      <c r="G122" s="10">
        <f t="shared" si="30"/>
        <v>0</v>
      </c>
      <c r="H122" s="35">
        <v>33807</v>
      </c>
      <c r="I122" s="19">
        <f t="shared" si="32"/>
        <v>0</v>
      </c>
      <c r="J122" s="33">
        <v>0</v>
      </c>
      <c r="K122" s="28">
        <f t="shared" si="27"/>
        <v>0</v>
      </c>
      <c r="L122" s="18">
        <f t="shared" si="28"/>
        <v>0</v>
      </c>
      <c r="M122" s="22">
        <f t="shared" si="28"/>
        <v>0</v>
      </c>
      <c r="N122" s="71">
        <f t="shared" si="31"/>
        <v>0</v>
      </c>
      <c r="O122" s="37"/>
    </row>
    <row r="123" spans="1:17" ht="22.2" customHeight="1">
      <c r="A123" s="76">
        <v>10</v>
      </c>
      <c r="B123" s="31" t="s">
        <v>121</v>
      </c>
      <c r="C123" s="35">
        <v>154569</v>
      </c>
      <c r="D123" s="35">
        <v>154569</v>
      </c>
      <c r="E123" s="17">
        <f t="shared" si="29"/>
        <v>0</v>
      </c>
      <c r="F123" s="33">
        <v>0</v>
      </c>
      <c r="G123" s="10">
        <f t="shared" si="30"/>
        <v>0</v>
      </c>
      <c r="H123" s="35">
        <v>154569</v>
      </c>
      <c r="I123" s="19">
        <f t="shared" si="32"/>
        <v>0</v>
      </c>
      <c r="J123" s="33">
        <v>0</v>
      </c>
      <c r="K123" s="28">
        <f t="shared" si="27"/>
        <v>0</v>
      </c>
      <c r="L123" s="18">
        <f t="shared" si="28"/>
        <v>0</v>
      </c>
      <c r="M123" s="22">
        <f t="shared" si="28"/>
        <v>0</v>
      </c>
      <c r="N123" s="71">
        <f t="shared" si="31"/>
        <v>0</v>
      </c>
      <c r="O123" s="137"/>
    </row>
    <row r="124" spans="1:17" ht="23.4" customHeight="1">
      <c r="A124" s="76">
        <v>11</v>
      </c>
      <c r="B124" s="138" t="s">
        <v>122</v>
      </c>
      <c r="C124" s="35">
        <v>36223</v>
      </c>
      <c r="D124" s="35">
        <v>36223</v>
      </c>
      <c r="E124" s="17">
        <f t="shared" si="29"/>
        <v>0</v>
      </c>
      <c r="F124" s="33">
        <v>0</v>
      </c>
      <c r="G124" s="10">
        <f t="shared" si="30"/>
        <v>0</v>
      </c>
      <c r="H124" s="35">
        <v>36223</v>
      </c>
      <c r="I124" s="19">
        <f t="shared" si="32"/>
        <v>0</v>
      </c>
      <c r="J124" s="33">
        <v>0</v>
      </c>
      <c r="K124" s="28">
        <f t="shared" si="27"/>
        <v>0</v>
      </c>
      <c r="L124" s="18">
        <f t="shared" si="28"/>
        <v>0</v>
      </c>
      <c r="M124" s="22">
        <f t="shared" si="28"/>
        <v>0</v>
      </c>
      <c r="N124" s="71">
        <f t="shared" si="31"/>
        <v>0</v>
      </c>
      <c r="O124" s="37"/>
      <c r="Q124" s="38"/>
    </row>
    <row r="125" spans="1:17" ht="22.2" customHeight="1">
      <c r="A125" s="76">
        <v>12</v>
      </c>
      <c r="B125" s="138" t="s">
        <v>123</v>
      </c>
      <c r="C125" s="35">
        <v>15673</v>
      </c>
      <c r="D125" s="35">
        <v>15673</v>
      </c>
      <c r="E125" s="17">
        <f t="shared" si="29"/>
        <v>0</v>
      </c>
      <c r="F125" s="33">
        <v>0</v>
      </c>
      <c r="G125" s="78">
        <f t="shared" si="30"/>
        <v>0</v>
      </c>
      <c r="H125" s="35">
        <v>15673</v>
      </c>
      <c r="I125" s="19">
        <f t="shared" si="32"/>
        <v>0</v>
      </c>
      <c r="J125" s="33">
        <v>0</v>
      </c>
      <c r="K125" s="28">
        <f t="shared" si="27"/>
        <v>0</v>
      </c>
      <c r="L125" s="18">
        <f t="shared" si="28"/>
        <v>0</v>
      </c>
      <c r="M125" s="79">
        <f t="shared" si="28"/>
        <v>0</v>
      </c>
      <c r="N125" s="71">
        <f t="shared" si="31"/>
        <v>0</v>
      </c>
      <c r="O125" s="37"/>
      <c r="Q125" s="45"/>
    </row>
    <row r="126" spans="1:17" ht="21.6" customHeight="1">
      <c r="A126" s="76">
        <v>13</v>
      </c>
      <c r="B126" s="171" t="s">
        <v>124</v>
      </c>
      <c r="C126" s="35">
        <v>890.2</v>
      </c>
      <c r="D126" s="35">
        <v>890.2</v>
      </c>
      <c r="E126" s="17">
        <f t="shared" si="29"/>
        <v>0</v>
      </c>
      <c r="F126" s="35">
        <v>0</v>
      </c>
      <c r="G126" s="78">
        <f t="shared" si="30"/>
        <v>0</v>
      </c>
      <c r="H126" s="35">
        <v>890.2</v>
      </c>
      <c r="I126" s="19">
        <f t="shared" si="32"/>
        <v>0</v>
      </c>
      <c r="J126" s="35">
        <v>0</v>
      </c>
      <c r="K126" s="28">
        <f t="shared" si="27"/>
        <v>0</v>
      </c>
      <c r="L126" s="18">
        <f t="shared" si="28"/>
        <v>0</v>
      </c>
      <c r="M126" s="79">
        <f t="shared" si="28"/>
        <v>0</v>
      </c>
      <c r="N126" s="71">
        <f t="shared" si="31"/>
        <v>0</v>
      </c>
      <c r="O126" s="37"/>
      <c r="Q126" s="45"/>
    </row>
    <row r="127" spans="1:17" ht="21.6" customHeight="1">
      <c r="A127" s="76">
        <v>14</v>
      </c>
      <c r="B127" s="171" t="s">
        <v>174</v>
      </c>
      <c r="C127" s="35">
        <v>2000</v>
      </c>
      <c r="D127" s="35">
        <v>2401</v>
      </c>
      <c r="E127" s="17">
        <f t="shared" si="29"/>
        <v>401</v>
      </c>
      <c r="F127" s="35">
        <v>44</v>
      </c>
      <c r="G127" s="78">
        <f t="shared" si="30"/>
        <v>0.10972568578553615</v>
      </c>
      <c r="H127" s="35">
        <v>2401</v>
      </c>
      <c r="I127" s="19">
        <f t="shared" si="32"/>
        <v>0</v>
      </c>
      <c r="J127" s="141">
        <v>0</v>
      </c>
      <c r="K127" s="28">
        <f t="shared" si="27"/>
        <v>0</v>
      </c>
      <c r="L127" s="18">
        <f t="shared" si="28"/>
        <v>401</v>
      </c>
      <c r="M127" s="79">
        <f t="shared" si="28"/>
        <v>44</v>
      </c>
      <c r="N127" s="71">
        <f t="shared" si="31"/>
        <v>9.1136363636363633</v>
      </c>
      <c r="O127" s="37"/>
      <c r="Q127" s="45"/>
    </row>
    <row r="128" spans="1:17" ht="25.2" customHeight="1">
      <c r="A128" s="76">
        <v>15</v>
      </c>
      <c r="B128" s="138" t="s">
        <v>127</v>
      </c>
      <c r="C128" s="35">
        <v>0</v>
      </c>
      <c r="D128" s="35">
        <v>0</v>
      </c>
      <c r="E128" s="17">
        <f t="shared" si="29"/>
        <v>0</v>
      </c>
      <c r="F128" s="33">
        <v>0</v>
      </c>
      <c r="G128" s="78">
        <f t="shared" si="30"/>
        <v>0</v>
      </c>
      <c r="H128" s="35">
        <v>0</v>
      </c>
      <c r="I128" s="19">
        <f t="shared" si="32"/>
        <v>0</v>
      </c>
      <c r="J128" s="33">
        <v>0</v>
      </c>
      <c r="K128" s="28">
        <f t="shared" si="27"/>
        <v>0</v>
      </c>
      <c r="L128" s="18">
        <f t="shared" si="28"/>
        <v>0</v>
      </c>
      <c r="M128" s="79">
        <f t="shared" si="28"/>
        <v>0</v>
      </c>
      <c r="N128" s="71">
        <f t="shared" si="31"/>
        <v>0</v>
      </c>
      <c r="O128" s="77"/>
      <c r="Q128" s="45"/>
    </row>
    <row r="129" spans="1:16" ht="18">
      <c r="A129" s="196" t="s">
        <v>28</v>
      </c>
      <c r="B129" s="197"/>
      <c r="C129" s="123"/>
      <c r="D129" s="123"/>
      <c r="E129" s="40">
        <f>SUM(E114:E128)</f>
        <v>401</v>
      </c>
      <c r="F129" s="40">
        <f>SUM(F114:F128)</f>
        <v>44</v>
      </c>
      <c r="G129" s="39"/>
      <c r="H129" s="39"/>
      <c r="I129" s="40">
        <f>SUM(I114:I128)</f>
        <v>287.80000000000018</v>
      </c>
      <c r="J129" s="40">
        <f>SUM(J114:J128)</f>
        <v>101.8</v>
      </c>
      <c r="K129" s="145"/>
      <c r="L129" s="146">
        <f>SUM(L114:L128)</f>
        <v>688.80000000000018</v>
      </c>
      <c r="M129" s="147">
        <f>SUM(M114:M128)</f>
        <v>145.80000000000001</v>
      </c>
      <c r="N129" s="34"/>
      <c r="O129" s="37"/>
      <c r="P129" s="72"/>
    </row>
    <row r="130" spans="1:16" ht="21.6" thickBot="1">
      <c r="A130" s="148"/>
      <c r="B130" s="149"/>
      <c r="C130" s="149"/>
      <c r="D130" s="149"/>
      <c r="E130" s="149" t="s">
        <v>139</v>
      </c>
      <c r="F130" s="150">
        <f>F18+F24+F33+F39+F45+G110+F129</f>
        <v>14538.420000000002</v>
      </c>
      <c r="G130" s="149"/>
      <c r="H130" s="149"/>
      <c r="I130" s="151" t="s">
        <v>140</v>
      </c>
      <c r="J130" s="150">
        <f>J18+J24+J33+J39+J45+M110+J129</f>
        <v>12269.699999999999</v>
      </c>
      <c r="K130" s="198" t="s">
        <v>141</v>
      </c>
      <c r="L130" s="198"/>
      <c r="M130" s="198"/>
      <c r="N130" s="198"/>
      <c r="O130" s="152"/>
    </row>
    <row r="131" spans="1:16" ht="15">
      <c r="B131" s="153"/>
      <c r="C131" s="152"/>
      <c r="D131" s="152"/>
      <c r="E131" s="152"/>
      <c r="F131" s="152"/>
      <c r="G131" s="152"/>
      <c r="H131" s="152"/>
      <c r="I131" s="152"/>
      <c r="J131" s="154"/>
      <c r="K131" s="155" t="s">
        <v>142</v>
      </c>
      <c r="L131" s="199">
        <f>N2</f>
        <v>46211</v>
      </c>
      <c r="M131" s="200"/>
      <c r="N131" s="156"/>
      <c r="O131" s="157">
        <f>M129-N137</f>
        <v>145.80000000000001</v>
      </c>
    </row>
    <row r="132" spans="1:16" ht="18">
      <c r="B132" s="158" t="s">
        <v>143</v>
      </c>
      <c r="C132" s="159">
        <f>F130</f>
        <v>14538.420000000002</v>
      </c>
      <c r="D132" s="160"/>
      <c r="E132" s="160"/>
      <c r="F132" s="159"/>
      <c r="G132" s="160"/>
      <c r="H132" s="160"/>
      <c r="I132" s="160"/>
      <c r="J132" s="45"/>
      <c r="K132" s="188" t="s">
        <v>144</v>
      </c>
      <c r="L132" s="189"/>
      <c r="M132" s="190"/>
      <c r="N132" s="161">
        <f>P110</f>
        <v>19333.150000000001</v>
      </c>
      <c r="O132" s="152"/>
    </row>
    <row r="133" spans="1:16" ht="18">
      <c r="B133" s="158" t="s">
        <v>145</v>
      </c>
      <c r="C133" s="159">
        <f>J130</f>
        <v>12269.699999999999</v>
      </c>
      <c r="D133" s="160"/>
      <c r="E133" s="160"/>
      <c r="F133" s="159"/>
      <c r="G133" s="159"/>
      <c r="H133" s="160"/>
      <c r="I133" s="160"/>
      <c r="J133" s="45"/>
      <c r="K133" s="188" t="s">
        <v>146</v>
      </c>
      <c r="L133" s="189"/>
      <c r="M133" s="190"/>
      <c r="N133" s="161">
        <f>M18</f>
        <v>4687.01</v>
      </c>
      <c r="O133" s="152"/>
    </row>
    <row r="134" spans="1:16" ht="18">
      <c r="B134" s="158" t="s">
        <v>28</v>
      </c>
      <c r="C134" s="159">
        <f>C132+C133</f>
        <v>26808.120000000003</v>
      </c>
      <c r="D134" s="160"/>
      <c r="E134" s="160"/>
      <c r="F134" s="160"/>
      <c r="G134" s="159"/>
      <c r="H134" s="160"/>
      <c r="I134" s="160"/>
      <c r="K134" s="188" t="s">
        <v>147</v>
      </c>
      <c r="L134" s="189"/>
      <c r="M134" s="190"/>
      <c r="N134" s="161">
        <f>M33</f>
        <v>1386.9</v>
      </c>
    </row>
    <row r="135" spans="1:16" ht="18">
      <c r="C135" s="45"/>
      <c r="D135" s="45"/>
      <c r="E135" s="45"/>
      <c r="F135" s="45"/>
      <c r="G135" s="45"/>
      <c r="H135" s="160" t="s">
        <v>94</v>
      </c>
      <c r="I135" s="45"/>
      <c r="K135" s="188" t="s">
        <v>148</v>
      </c>
      <c r="L135" s="189"/>
      <c r="M135" s="190"/>
      <c r="N135" s="161">
        <f>M39</f>
        <v>744.18000000000006</v>
      </c>
    </row>
    <row r="136" spans="1:16" ht="25.2" customHeight="1">
      <c r="B136" s="162" t="s">
        <v>149</v>
      </c>
      <c r="C136" s="193"/>
      <c r="D136" s="193"/>
      <c r="E136" s="193"/>
      <c r="F136" s="193"/>
      <c r="G136" s="193"/>
      <c r="H136" s="193"/>
      <c r="I136" s="193"/>
      <c r="J136" s="193"/>
      <c r="K136" s="188" t="s">
        <v>150</v>
      </c>
      <c r="L136" s="189"/>
      <c r="M136" s="190"/>
      <c r="N136" s="161">
        <f>M45</f>
        <v>0</v>
      </c>
    </row>
    <row r="137" spans="1:16" ht="18">
      <c r="C137" s="45"/>
      <c r="D137" s="45"/>
      <c r="E137" s="26"/>
      <c r="F137" s="26"/>
      <c r="G137" s="45"/>
      <c r="H137" s="160"/>
      <c r="I137" s="45"/>
      <c r="K137" s="188" t="s">
        <v>151</v>
      </c>
      <c r="L137" s="189"/>
      <c r="M137" s="190"/>
      <c r="N137" s="161">
        <f>M118+M119+M120+M121</f>
        <v>0</v>
      </c>
    </row>
    <row r="138" spans="1:16" ht="18">
      <c r="E138" s="38"/>
      <c r="F138" s="45"/>
      <c r="G138" s="45"/>
      <c r="H138" s="160"/>
      <c r="I138" s="45"/>
      <c r="K138" s="188" t="s">
        <v>152</v>
      </c>
      <c r="L138" s="189"/>
      <c r="M138" s="190"/>
      <c r="N138" s="161">
        <f>O131</f>
        <v>145.80000000000001</v>
      </c>
    </row>
    <row r="139" spans="1:16" ht="18.600000000000001" thickBot="1">
      <c r="C139" s="38"/>
      <c r="D139" s="38"/>
      <c r="G139" s="163"/>
      <c r="H139" s="160"/>
      <c r="K139" s="188" t="s">
        <v>153</v>
      </c>
      <c r="L139" s="189"/>
      <c r="M139" s="190"/>
      <c r="N139" s="164">
        <f>M24</f>
        <v>511.08</v>
      </c>
      <c r="P139" s="38"/>
    </row>
    <row r="140" spans="1:16" ht="16.8" thickBot="1">
      <c r="C140" s="38"/>
      <c r="D140" s="38"/>
      <c r="E140" s="38"/>
      <c r="F140" s="38"/>
      <c r="H140" s="38"/>
      <c r="K140" s="191" t="s">
        <v>154</v>
      </c>
      <c r="L140" s="192"/>
      <c r="M140" s="192"/>
      <c r="N140" s="165">
        <f>SUM(N132:N139)</f>
        <v>26808.120000000006</v>
      </c>
    </row>
    <row r="141" spans="1:16">
      <c r="C141" s="38"/>
      <c r="D141" s="38"/>
      <c r="E141" s="159"/>
      <c r="F141" s="159"/>
      <c r="H141" s="38"/>
      <c r="I141" s="38"/>
    </row>
    <row r="142" spans="1:16">
      <c r="C142" s="38"/>
      <c r="D142" s="38"/>
      <c r="E142" s="38"/>
      <c r="F142" s="38"/>
      <c r="H142" s="160"/>
    </row>
    <row r="143" spans="1:16">
      <c r="A143" s="159"/>
      <c r="B143" s="159"/>
      <c r="C143" s="159"/>
      <c r="D143" s="159"/>
      <c r="E143" s="159"/>
      <c r="F143" s="159"/>
      <c r="G143" s="38"/>
      <c r="H143" s="38"/>
      <c r="N143" s="45"/>
    </row>
    <row r="144" spans="1:16">
      <c r="A144" s="159"/>
    </row>
  </sheetData>
  <mergeCells count="72">
    <mergeCell ref="K139:M139"/>
    <mergeCell ref="K140:M140"/>
    <mergeCell ref="K134:M134"/>
    <mergeCell ref="K135:M135"/>
    <mergeCell ref="C136:J136"/>
    <mergeCell ref="K136:M136"/>
    <mergeCell ref="K137:M137"/>
    <mergeCell ref="K138:M138"/>
    <mergeCell ref="K133:M133"/>
    <mergeCell ref="O47:O48"/>
    <mergeCell ref="P47:P48"/>
    <mergeCell ref="Q47:Q48"/>
    <mergeCell ref="R47:R48"/>
    <mergeCell ref="A111:L111"/>
    <mergeCell ref="A112:A113"/>
    <mergeCell ref="B112:B113"/>
    <mergeCell ref="C112:G112"/>
    <mergeCell ref="H112:K112"/>
    <mergeCell ref="M112:M113"/>
    <mergeCell ref="N112:N113"/>
    <mergeCell ref="A129:B129"/>
    <mergeCell ref="K130:N130"/>
    <mergeCell ref="L131:M131"/>
    <mergeCell ref="K132:M132"/>
    <mergeCell ref="M41:M42"/>
    <mergeCell ref="N41:N42"/>
    <mergeCell ref="A45:B45"/>
    <mergeCell ref="A46:L46"/>
    <mergeCell ref="A47:A48"/>
    <mergeCell ref="B47:B48"/>
    <mergeCell ref="C47:H47"/>
    <mergeCell ref="I47:N47"/>
    <mergeCell ref="A39:B39"/>
    <mergeCell ref="A40:L40"/>
    <mergeCell ref="A41:A42"/>
    <mergeCell ref="B41:B42"/>
    <mergeCell ref="C41:G41"/>
    <mergeCell ref="H41:K41"/>
    <mergeCell ref="M26:M27"/>
    <mergeCell ref="N26:N27"/>
    <mergeCell ref="A33:B33"/>
    <mergeCell ref="A34:L34"/>
    <mergeCell ref="A35:A36"/>
    <mergeCell ref="B35:B36"/>
    <mergeCell ref="C35:G35"/>
    <mergeCell ref="H35:K35"/>
    <mergeCell ref="M35:M36"/>
    <mergeCell ref="N35:N36"/>
    <mergeCell ref="A24:B24"/>
    <mergeCell ref="A25:L25"/>
    <mergeCell ref="A26:A27"/>
    <mergeCell ref="B26:B27"/>
    <mergeCell ref="C26:G26"/>
    <mergeCell ref="H26:K26"/>
    <mergeCell ref="O3:O4"/>
    <mergeCell ref="P3:P4"/>
    <mergeCell ref="A18:B18"/>
    <mergeCell ref="A19:L19"/>
    <mergeCell ref="A20:A21"/>
    <mergeCell ref="B20:B21"/>
    <mergeCell ref="C20:G20"/>
    <mergeCell ref="H20:K20"/>
    <mergeCell ref="M20:M21"/>
    <mergeCell ref="N20:N21"/>
    <mergeCell ref="A1:N1"/>
    <mergeCell ref="A2:L2"/>
    <mergeCell ref="A3:A4"/>
    <mergeCell ref="B3:B4"/>
    <mergeCell ref="C3:G3"/>
    <mergeCell ref="H3:L3"/>
    <mergeCell ref="M3:M4"/>
    <mergeCell ref="N3:N4"/>
  </mergeCells>
  <conditionalFormatting sqref="N7:N19 N22:N23 N28:N32 N37:N38 N43:N44">
    <cfRule type="cellIs" dxfId="37" priority="2" operator="greaterThan">
      <formula>40</formula>
    </cfRule>
  </conditionalFormatting>
  <conditionalFormatting sqref="Q49:Q110">
    <cfRule type="cellIs" dxfId="36" priority="1" operator="lessThan">
      <formula>0.5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3F2AD-5A38-4760-85D4-DEF936E35ABE}">
  <dimension ref="A1:AA144"/>
  <sheetViews>
    <sheetView zoomScale="74" zoomScaleNormal="74" workbookViewId="0">
      <pane ySplit="1" topLeftCell="A2" activePane="bottomLeft" state="frozen"/>
      <selection pane="bottomLeft" activeCell="S15" sqref="S15"/>
    </sheetView>
  </sheetViews>
  <sheetFormatPr defaultColWidth="9" defaultRowHeight="14.4"/>
  <cols>
    <col min="1" max="1" width="8.5546875" customWidth="1"/>
    <col min="2" max="2" width="29.44140625" bestFit="1" customWidth="1"/>
    <col min="3" max="3" width="11.6640625" customWidth="1"/>
    <col min="4" max="4" width="11.21875" customWidth="1"/>
    <col min="5" max="5" width="9.77734375" customWidth="1"/>
    <col min="6" max="6" width="13.6640625" customWidth="1"/>
    <col min="7" max="7" width="10" customWidth="1"/>
    <col min="8" max="8" width="9.77734375" customWidth="1"/>
    <col min="9" max="9" width="12.77734375" bestFit="1" customWidth="1"/>
    <col min="10" max="10" width="10.6640625" bestFit="1" customWidth="1"/>
    <col min="11" max="11" width="15.77734375" customWidth="1"/>
    <col min="12" max="12" width="10.77734375" customWidth="1"/>
    <col min="13" max="13" width="12.5546875" customWidth="1"/>
    <col min="14" max="14" width="17.88671875" customWidth="1"/>
    <col min="15" max="15" width="12" customWidth="1"/>
    <col min="16" max="16" width="10.44140625" customWidth="1"/>
    <col min="17" max="17" width="11.109375" bestFit="1" customWidth="1"/>
    <col min="19" max="19" width="9.21875" bestFit="1" customWidth="1"/>
    <col min="20" max="20" width="8.21875" bestFit="1" customWidth="1"/>
    <col min="21" max="22" width="11.21875" customWidth="1"/>
  </cols>
  <sheetData>
    <row r="1" spans="1:22" ht="18.600000000000001" thickBot="1">
      <c r="A1" s="249" t="s">
        <v>0</v>
      </c>
      <c r="B1" s="249"/>
      <c r="C1" s="249"/>
      <c r="D1" s="249"/>
      <c r="E1" s="249"/>
      <c r="F1" s="249"/>
      <c r="G1" s="249"/>
      <c r="H1" s="249"/>
      <c r="I1" s="249"/>
      <c r="J1" s="249"/>
      <c r="K1" s="249"/>
      <c r="L1" s="249"/>
      <c r="M1" s="249"/>
      <c r="N1" s="249"/>
      <c r="O1" s="1"/>
      <c r="V1" s="2"/>
    </row>
    <row r="2" spans="1:22" ht="19.8" customHeight="1" thickBot="1">
      <c r="A2" s="250" t="s">
        <v>1</v>
      </c>
      <c r="B2" s="251"/>
      <c r="C2" s="252"/>
      <c r="D2" s="252"/>
      <c r="E2" s="252"/>
      <c r="F2" s="252"/>
      <c r="G2" s="252"/>
      <c r="H2" s="252"/>
      <c r="I2" s="252"/>
      <c r="J2" s="252"/>
      <c r="K2" s="252"/>
      <c r="L2" s="251"/>
      <c r="M2" s="3" t="s">
        <v>2</v>
      </c>
      <c r="N2" s="4">
        <v>46212</v>
      </c>
      <c r="O2" s="1"/>
    </row>
    <row r="3" spans="1:22" ht="18" customHeight="1">
      <c r="A3" s="209" t="s">
        <v>3</v>
      </c>
      <c r="B3" s="211" t="s">
        <v>4</v>
      </c>
      <c r="C3" s="213" t="s">
        <v>5</v>
      </c>
      <c r="D3" s="214"/>
      <c r="E3" s="214"/>
      <c r="F3" s="214"/>
      <c r="G3" s="215"/>
      <c r="H3" s="253" t="s">
        <v>6</v>
      </c>
      <c r="I3" s="254"/>
      <c r="J3" s="254"/>
      <c r="K3" s="254"/>
      <c r="L3" s="255"/>
      <c r="M3" s="219" t="s">
        <v>7</v>
      </c>
      <c r="N3" s="194" t="s">
        <v>8</v>
      </c>
      <c r="O3" s="243" t="s">
        <v>9</v>
      </c>
      <c r="P3" s="222" t="s">
        <v>10</v>
      </c>
    </row>
    <row r="4" spans="1:22" ht="22.8" customHeight="1">
      <c r="A4" s="247"/>
      <c r="B4" s="248"/>
      <c r="C4" s="6" t="s">
        <v>11</v>
      </c>
      <c r="D4" s="6" t="s">
        <v>12</v>
      </c>
      <c r="E4" s="6" t="s">
        <v>13</v>
      </c>
      <c r="F4" s="6" t="s">
        <v>14</v>
      </c>
      <c r="G4" s="6" t="s">
        <v>8</v>
      </c>
      <c r="H4" s="6" t="s">
        <v>12</v>
      </c>
      <c r="I4" s="6" t="s">
        <v>13</v>
      </c>
      <c r="J4" s="6" t="s">
        <v>14</v>
      </c>
      <c r="K4" s="7" t="s">
        <v>8</v>
      </c>
      <c r="L4" s="8" t="s">
        <v>15</v>
      </c>
      <c r="M4" s="236"/>
      <c r="N4" s="237"/>
      <c r="O4" s="248"/>
      <c r="P4" s="243"/>
    </row>
    <row r="5" spans="1:22" ht="22.8" customHeight="1">
      <c r="A5" s="5">
        <v>1</v>
      </c>
      <c r="B5" s="9" t="s">
        <v>175</v>
      </c>
      <c r="C5" s="2">
        <v>31972.3</v>
      </c>
      <c r="D5" s="2">
        <v>31982.799999999999</v>
      </c>
      <c r="E5" s="2">
        <f>D5-C5</f>
        <v>10.5</v>
      </c>
      <c r="F5" s="2">
        <v>243</v>
      </c>
      <c r="G5" s="10">
        <f>IFERROR(F5/E5,0)</f>
        <v>23.142857142857142</v>
      </c>
      <c r="H5" s="2">
        <v>31991.200000000001</v>
      </c>
      <c r="I5" s="167">
        <f>H5-D5</f>
        <v>8.4000000000014552</v>
      </c>
      <c r="J5" s="2">
        <v>259.31</v>
      </c>
      <c r="K5" s="11">
        <f>IFERROR(J5/I5,0)</f>
        <v>30.870238095232747</v>
      </c>
      <c r="L5" s="12">
        <f>E5+I5</f>
        <v>18.900000000001455</v>
      </c>
      <c r="M5" s="13">
        <f>F5+J5</f>
        <v>502.31</v>
      </c>
      <c r="N5" s="14">
        <f>IFERROR(M5/L5,0)</f>
        <v>26.577248677246629</v>
      </c>
      <c r="O5" s="2">
        <v>264</v>
      </c>
      <c r="P5" s="5"/>
    </row>
    <row r="6" spans="1:22" ht="22.8" customHeight="1">
      <c r="A6" s="81">
        <v>2</v>
      </c>
      <c r="B6" s="16" t="s">
        <v>170</v>
      </c>
      <c r="C6" s="49">
        <v>33763.800000000003</v>
      </c>
      <c r="D6" s="49">
        <v>33767.4</v>
      </c>
      <c r="E6" s="2">
        <f>D6-C6</f>
        <v>3.5999999999985448</v>
      </c>
      <c r="F6" s="49">
        <v>76.41</v>
      </c>
      <c r="G6" s="10">
        <f>IFERROR(F6/E6,0)</f>
        <v>21.225000000008578</v>
      </c>
      <c r="H6" s="49">
        <v>33774.699999999997</v>
      </c>
      <c r="I6" s="167">
        <f>H6-D6</f>
        <v>7.2999999999956344</v>
      </c>
      <c r="J6" s="49">
        <v>204.45</v>
      </c>
      <c r="K6" s="11">
        <f>IFERROR(J6/I6,0)</f>
        <v>28.00684931508524</v>
      </c>
      <c r="L6" s="169">
        <v>0</v>
      </c>
      <c r="M6" s="13">
        <f>F6+J6</f>
        <v>280.86</v>
      </c>
      <c r="N6" s="14">
        <f>IFERROR(M6/L6,0)</f>
        <v>0</v>
      </c>
      <c r="O6" s="49">
        <v>136</v>
      </c>
      <c r="P6" s="81"/>
    </row>
    <row r="7" spans="1:22" ht="24" customHeight="1">
      <c r="A7" s="5">
        <v>3</v>
      </c>
      <c r="B7" s="16" t="s">
        <v>17</v>
      </c>
      <c r="C7" s="17">
        <v>32493.3</v>
      </c>
      <c r="D7" s="17">
        <v>32493.3</v>
      </c>
      <c r="E7" s="17">
        <f t="shared" ref="E7:E17" si="0">D7-C7</f>
        <v>0</v>
      </c>
      <c r="F7" s="18">
        <v>0</v>
      </c>
      <c r="G7" s="10">
        <f>IFERROR(F7/E7,0)</f>
        <v>0</v>
      </c>
      <c r="H7" s="17">
        <v>32493.3</v>
      </c>
      <c r="I7" s="19">
        <f t="shared" ref="I7:I14" si="1">H7-D7</f>
        <v>0</v>
      </c>
      <c r="J7" s="20">
        <v>0</v>
      </c>
      <c r="K7" s="21">
        <f>IFERROR(J7/I7,0)</f>
        <v>0</v>
      </c>
      <c r="L7" s="18">
        <f>E7+I7</f>
        <v>0</v>
      </c>
      <c r="M7" s="22">
        <f>F7+J7</f>
        <v>0</v>
      </c>
      <c r="N7" s="23">
        <f>IFERROR(M7/L7,0)</f>
        <v>0</v>
      </c>
      <c r="O7" s="24">
        <v>0</v>
      </c>
      <c r="P7" s="25"/>
      <c r="Q7" s="26"/>
    </row>
    <row r="8" spans="1:22" ht="25.8" customHeight="1">
      <c r="A8" s="81">
        <v>4</v>
      </c>
      <c r="B8" s="16" t="s">
        <v>18</v>
      </c>
      <c r="C8" s="17">
        <v>24583.4</v>
      </c>
      <c r="D8" s="17">
        <v>24595.1</v>
      </c>
      <c r="E8" s="17">
        <f t="shared" si="0"/>
        <v>11.69999999999709</v>
      </c>
      <c r="F8" s="18">
        <v>342</v>
      </c>
      <c r="G8" s="10">
        <f t="shared" ref="G8:G13" si="2">IFERROR(F8/E8,0)</f>
        <v>29.230769230776502</v>
      </c>
      <c r="H8" s="17">
        <v>24602.799999999999</v>
      </c>
      <c r="I8" s="19">
        <f t="shared" si="1"/>
        <v>7.7000000000007276</v>
      </c>
      <c r="J8" s="20">
        <v>269.75</v>
      </c>
      <c r="K8" s="28">
        <f t="shared" ref="K8:K14" si="3">IFERROR(J8/I8,0)</f>
        <v>35.032467532464224</v>
      </c>
      <c r="L8" s="18">
        <f t="shared" ref="L8:M16" si="4">E8+I8</f>
        <v>19.399999999997817</v>
      </c>
      <c r="M8" s="22">
        <f t="shared" si="4"/>
        <v>611.75</v>
      </c>
      <c r="N8" s="23">
        <f t="shared" ref="N8:N17" si="5">IFERROR(M8/L8,0)</f>
        <v>31.533505154642722</v>
      </c>
      <c r="O8" s="29">
        <v>267</v>
      </c>
      <c r="P8" s="30"/>
      <c r="Q8" s="26"/>
      <c r="S8" s="26"/>
    </row>
    <row r="9" spans="1:22" ht="25.8" customHeight="1">
      <c r="A9" s="5">
        <v>5</v>
      </c>
      <c r="B9" s="31" t="s">
        <v>19</v>
      </c>
      <c r="C9" s="17">
        <v>32516</v>
      </c>
      <c r="D9" s="17">
        <v>32516</v>
      </c>
      <c r="E9" s="17">
        <f t="shared" si="0"/>
        <v>0</v>
      </c>
      <c r="F9" s="32">
        <v>0</v>
      </c>
      <c r="G9" s="10">
        <f t="shared" si="2"/>
        <v>0</v>
      </c>
      <c r="H9" s="17">
        <v>32524.7</v>
      </c>
      <c r="I9" s="19">
        <f t="shared" si="1"/>
        <v>8.7000000000007276</v>
      </c>
      <c r="J9" s="33">
        <v>266.85000000000002</v>
      </c>
      <c r="K9" s="28">
        <f t="shared" si="3"/>
        <v>30.672413793100887</v>
      </c>
      <c r="L9" s="18">
        <f t="shared" si="4"/>
        <v>8.7000000000007276</v>
      </c>
      <c r="M9" s="22">
        <f t="shared" si="4"/>
        <v>266.85000000000002</v>
      </c>
      <c r="N9" s="23">
        <f t="shared" si="5"/>
        <v>30.672413793100887</v>
      </c>
      <c r="O9" s="29">
        <v>99</v>
      </c>
      <c r="P9" s="30"/>
      <c r="Q9" s="26"/>
      <c r="S9" s="26"/>
    </row>
    <row r="10" spans="1:22" ht="25.8" customHeight="1">
      <c r="A10" s="81">
        <v>6</v>
      </c>
      <c r="B10" s="16" t="s">
        <v>20</v>
      </c>
      <c r="C10" s="17">
        <v>33467</v>
      </c>
      <c r="D10" s="17">
        <v>33474</v>
      </c>
      <c r="E10" s="17">
        <f>D10-C10</f>
        <v>7</v>
      </c>
      <c r="F10" s="34">
        <v>233.16</v>
      </c>
      <c r="G10" s="10">
        <f>IFERROR(F10/E10,0)</f>
        <v>33.308571428571426</v>
      </c>
      <c r="H10" s="17">
        <v>33481.5</v>
      </c>
      <c r="I10" s="19">
        <f>H10-D10</f>
        <v>7.5</v>
      </c>
      <c r="J10" s="33">
        <v>258.86</v>
      </c>
      <c r="K10" s="28">
        <f>IFERROR(J10/I10,0)</f>
        <v>34.51466666666667</v>
      </c>
      <c r="L10" s="18">
        <f>E10+I10</f>
        <v>14.5</v>
      </c>
      <c r="M10" s="22">
        <f>F10+J10</f>
        <v>492.02</v>
      </c>
      <c r="N10" s="23">
        <f>IFERROR(M10/L10,0)</f>
        <v>33.93241379310345</v>
      </c>
      <c r="O10" s="29">
        <v>214</v>
      </c>
      <c r="P10" s="30"/>
      <c r="Q10" s="26"/>
      <c r="S10" s="26"/>
    </row>
    <row r="11" spans="1:22" ht="22.8" customHeight="1">
      <c r="A11" s="5">
        <v>7</v>
      </c>
      <c r="B11" s="16" t="s">
        <v>21</v>
      </c>
      <c r="C11" s="17">
        <v>27955.8</v>
      </c>
      <c r="D11" s="17">
        <v>27955.8</v>
      </c>
      <c r="E11" s="17">
        <f t="shared" si="0"/>
        <v>0</v>
      </c>
      <c r="F11" s="32">
        <v>0</v>
      </c>
      <c r="G11" s="10">
        <f t="shared" si="2"/>
        <v>0</v>
      </c>
      <c r="H11" s="17">
        <v>27955.8</v>
      </c>
      <c r="I11" s="19">
        <f t="shared" si="1"/>
        <v>0</v>
      </c>
      <c r="J11" s="20">
        <v>0</v>
      </c>
      <c r="K11" s="28">
        <f t="shared" si="3"/>
        <v>0</v>
      </c>
      <c r="L11" s="18">
        <f t="shared" si="4"/>
        <v>0</v>
      </c>
      <c r="M11" s="22">
        <f t="shared" si="4"/>
        <v>0</v>
      </c>
      <c r="N11" s="23">
        <f t="shared" si="5"/>
        <v>0</v>
      </c>
      <c r="O11" s="29">
        <v>0</v>
      </c>
      <c r="P11" s="30"/>
      <c r="Q11" s="26"/>
      <c r="S11" s="26"/>
    </row>
    <row r="12" spans="1:22" ht="22.8" customHeight="1">
      <c r="A12" s="81">
        <v>8</v>
      </c>
      <c r="B12" s="31" t="s">
        <v>22</v>
      </c>
      <c r="C12" s="35">
        <v>27346.799999999999</v>
      </c>
      <c r="D12" s="35">
        <v>27356.400000000001</v>
      </c>
      <c r="E12" s="17">
        <f t="shared" si="0"/>
        <v>9.6000000000021828</v>
      </c>
      <c r="F12" s="32">
        <v>245</v>
      </c>
      <c r="G12" s="10">
        <f t="shared" si="2"/>
        <v>25.520833333327531</v>
      </c>
      <c r="H12" s="35">
        <v>27364.3</v>
      </c>
      <c r="I12" s="19">
        <f t="shared" si="1"/>
        <v>7.8999999999978172</v>
      </c>
      <c r="J12" s="33">
        <v>231.16</v>
      </c>
      <c r="K12" s="28">
        <f t="shared" si="3"/>
        <v>29.260759493678972</v>
      </c>
      <c r="L12" s="18">
        <f t="shared" si="4"/>
        <v>17.5</v>
      </c>
      <c r="M12" s="22">
        <f t="shared" si="4"/>
        <v>476.15999999999997</v>
      </c>
      <c r="N12" s="23">
        <f t="shared" si="5"/>
        <v>27.209142857142854</v>
      </c>
      <c r="O12" s="29">
        <v>226</v>
      </c>
      <c r="P12" s="30"/>
      <c r="Q12" s="26"/>
      <c r="S12" s="26"/>
    </row>
    <row r="13" spans="1:22" ht="24" customHeight="1">
      <c r="A13" s="5">
        <v>9</v>
      </c>
      <c r="B13" s="31" t="s">
        <v>23</v>
      </c>
      <c r="C13" s="17">
        <v>22496.18</v>
      </c>
      <c r="D13" s="17">
        <v>22499.01</v>
      </c>
      <c r="E13" s="17">
        <f t="shared" si="0"/>
        <v>2.8299999999981083</v>
      </c>
      <c r="F13" s="34">
        <v>84.22</v>
      </c>
      <c r="G13" s="10">
        <f t="shared" si="2"/>
        <v>29.759717314507526</v>
      </c>
      <c r="H13" s="17">
        <v>22507.88</v>
      </c>
      <c r="I13" s="19">
        <f t="shared" si="1"/>
        <v>8.8700000000026193</v>
      </c>
      <c r="J13" s="20">
        <v>277.48</v>
      </c>
      <c r="K13" s="28">
        <f t="shared" si="3"/>
        <v>31.282976324680732</v>
      </c>
      <c r="L13" s="18">
        <f t="shared" si="4"/>
        <v>11.700000000000728</v>
      </c>
      <c r="M13" s="22">
        <f t="shared" si="4"/>
        <v>361.70000000000005</v>
      </c>
      <c r="N13" s="23">
        <f t="shared" si="5"/>
        <v>30.914529914527996</v>
      </c>
      <c r="O13" s="29">
        <v>253</v>
      </c>
      <c r="P13" s="36"/>
      <c r="Q13" s="26"/>
      <c r="S13" s="26"/>
    </row>
    <row r="14" spans="1:22" ht="24" customHeight="1">
      <c r="A14" s="81">
        <v>10</v>
      </c>
      <c r="B14" s="31" t="s">
        <v>24</v>
      </c>
      <c r="C14" s="17">
        <v>22466.85</v>
      </c>
      <c r="D14" s="17">
        <v>22471.41</v>
      </c>
      <c r="E14" s="17">
        <f t="shared" si="0"/>
        <v>4.5600000000013097</v>
      </c>
      <c r="F14" s="32">
        <v>115.26</v>
      </c>
      <c r="G14" s="10">
        <f>IFERROR(F14/E14,0)</f>
        <v>25.276315789466427</v>
      </c>
      <c r="H14" s="17">
        <v>22478.35</v>
      </c>
      <c r="I14" s="19">
        <f t="shared" si="1"/>
        <v>6.9399999999986903</v>
      </c>
      <c r="J14" s="20">
        <v>236.67</v>
      </c>
      <c r="K14" s="28">
        <f t="shared" si="3"/>
        <v>34.102305475510754</v>
      </c>
      <c r="L14" s="18">
        <f t="shared" si="4"/>
        <v>11.5</v>
      </c>
      <c r="M14" s="22">
        <f t="shared" si="4"/>
        <v>351.93</v>
      </c>
      <c r="N14" s="23">
        <f t="shared" si="5"/>
        <v>30.602608695652176</v>
      </c>
      <c r="O14" s="29">
        <v>185</v>
      </c>
      <c r="P14" s="37"/>
      <c r="Q14" s="26"/>
      <c r="S14" s="26"/>
    </row>
    <row r="15" spans="1:22" ht="24" customHeight="1">
      <c r="A15" s="5">
        <v>11</v>
      </c>
      <c r="B15" s="31" t="s">
        <v>25</v>
      </c>
      <c r="C15" s="17">
        <v>19953.330000000002</v>
      </c>
      <c r="D15" s="17">
        <v>19960.900000000001</v>
      </c>
      <c r="E15" s="17">
        <f t="shared" si="0"/>
        <v>7.569999999999709</v>
      </c>
      <c r="F15" s="32">
        <v>307</v>
      </c>
      <c r="G15" s="10">
        <f>IFERROR(F15/E15,0)</f>
        <v>40.554821664466552</v>
      </c>
      <c r="H15" s="17">
        <v>19969.38</v>
      </c>
      <c r="I15" s="19">
        <f>H15-D15</f>
        <v>8.4799999999995634</v>
      </c>
      <c r="J15" s="20">
        <v>348.8</v>
      </c>
      <c r="K15" s="28">
        <f>IFERROR(J15/I15,0)</f>
        <v>41.132075471700233</v>
      </c>
      <c r="L15" s="18">
        <f>E15+I15</f>
        <v>16.049999999999272</v>
      </c>
      <c r="M15" s="22">
        <f t="shared" si="4"/>
        <v>655.8</v>
      </c>
      <c r="N15" s="23">
        <f t="shared" si="5"/>
        <v>40.859813084114002</v>
      </c>
      <c r="O15" s="29">
        <v>247</v>
      </c>
      <c r="P15" s="37"/>
      <c r="Q15" s="26"/>
      <c r="S15" s="26"/>
      <c r="T15" s="38"/>
    </row>
    <row r="16" spans="1:22" ht="24" customHeight="1">
      <c r="A16" s="81">
        <v>12</v>
      </c>
      <c r="B16" s="31" t="s">
        <v>27</v>
      </c>
      <c r="C16" s="17">
        <v>18238</v>
      </c>
      <c r="D16" s="17">
        <v>18238</v>
      </c>
      <c r="E16" s="17">
        <f t="shared" si="0"/>
        <v>0</v>
      </c>
      <c r="F16" s="18">
        <v>0</v>
      </c>
      <c r="G16" s="10">
        <f>IFERROR(F16/E16,0)</f>
        <v>0</v>
      </c>
      <c r="H16" s="17">
        <v>18238</v>
      </c>
      <c r="I16" s="19">
        <f t="shared" ref="I16" si="6">H16-D16</f>
        <v>0</v>
      </c>
      <c r="J16" s="20">
        <v>0</v>
      </c>
      <c r="K16" s="28">
        <f t="shared" ref="K16" si="7">IFERROR(J16/I16,0)</f>
        <v>0</v>
      </c>
      <c r="L16" s="18">
        <f t="shared" ref="L16" si="8">E16+I16</f>
        <v>0</v>
      </c>
      <c r="M16" s="22">
        <f t="shared" si="4"/>
        <v>0</v>
      </c>
      <c r="N16" s="23">
        <f t="shared" si="5"/>
        <v>0</v>
      </c>
      <c r="O16" s="29">
        <v>0</v>
      </c>
      <c r="P16" s="37"/>
      <c r="Q16" s="26"/>
      <c r="S16" s="26"/>
      <c r="T16" s="38"/>
    </row>
    <row r="17" spans="1:20" ht="24" customHeight="1">
      <c r="A17" s="5">
        <v>13</v>
      </c>
      <c r="B17" s="31" t="s">
        <v>26</v>
      </c>
      <c r="C17" s="17">
        <v>15231.7</v>
      </c>
      <c r="D17" s="17">
        <v>15231.7</v>
      </c>
      <c r="E17" s="17">
        <f t="shared" si="0"/>
        <v>0</v>
      </c>
      <c r="F17" s="32">
        <v>0</v>
      </c>
      <c r="G17" s="10">
        <f>IFERROR(F17/E17,0)</f>
        <v>0</v>
      </c>
      <c r="H17" s="17">
        <v>15231.7</v>
      </c>
      <c r="I17" s="19">
        <f>H17-D17</f>
        <v>0</v>
      </c>
      <c r="J17" s="20">
        <v>0</v>
      </c>
      <c r="K17" s="28">
        <f>IFERROR(J17/I17,0)</f>
        <v>0</v>
      </c>
      <c r="L17" s="18">
        <f>E17+I17</f>
        <v>0</v>
      </c>
      <c r="M17" s="22">
        <f>F17+J17</f>
        <v>0</v>
      </c>
      <c r="N17" s="23">
        <f t="shared" si="5"/>
        <v>0</v>
      </c>
      <c r="O17" s="29">
        <v>0</v>
      </c>
      <c r="P17" s="37"/>
      <c r="Q17" s="26"/>
      <c r="S17" s="26"/>
      <c r="T17" s="38"/>
    </row>
    <row r="18" spans="1:20" ht="24" customHeight="1">
      <c r="A18" s="196" t="s">
        <v>28</v>
      </c>
      <c r="B18" s="197"/>
      <c r="C18" s="39"/>
      <c r="D18" s="39"/>
      <c r="E18" s="40">
        <f>SUM(E7:E17)</f>
        <v>43.259999999998399</v>
      </c>
      <c r="F18" s="41">
        <f>SUM(F5:F17)</f>
        <v>1646.05</v>
      </c>
      <c r="G18" s="39"/>
      <c r="H18" s="39"/>
      <c r="I18" s="40">
        <f>SUM(I7:I17)</f>
        <v>56.090000000000146</v>
      </c>
      <c r="J18" s="41">
        <f>SUM(J5:J17)</f>
        <v>2353.3300000000004</v>
      </c>
      <c r="K18" s="28">
        <f>IFERROR(J18/I18,0)</f>
        <v>41.956320199678984</v>
      </c>
      <c r="L18" s="42">
        <f>SUM(L7:L17)</f>
        <v>99.349999999998545</v>
      </c>
      <c r="M18" s="43">
        <f>SUM(M5:M17)</f>
        <v>3999.3799999999992</v>
      </c>
      <c r="N18" s="23">
        <f>IFERROR(M18/L18,0)</f>
        <v>40.255460493206421</v>
      </c>
      <c r="O18" s="44">
        <f>SUM(O5:O17)</f>
        <v>1891</v>
      </c>
      <c r="P18" s="45"/>
      <c r="S18" s="26"/>
    </row>
    <row r="19" spans="1:20" ht="18" customHeight="1" thickBot="1">
      <c r="A19" s="206" t="s">
        <v>29</v>
      </c>
      <c r="B19" s="207"/>
      <c r="C19" s="207"/>
      <c r="D19" s="207"/>
      <c r="E19" s="207"/>
      <c r="F19" s="207"/>
      <c r="G19" s="207"/>
      <c r="H19" s="207"/>
      <c r="I19" s="207"/>
      <c r="J19" s="207"/>
      <c r="K19" s="207"/>
      <c r="L19" s="208"/>
      <c r="M19" s="46"/>
      <c r="N19" s="47"/>
      <c r="O19" s="37"/>
    </row>
    <row r="20" spans="1:20" ht="22.8" customHeight="1">
      <c r="A20" s="209" t="s">
        <v>3</v>
      </c>
      <c r="B20" s="211" t="s">
        <v>4</v>
      </c>
      <c r="C20" s="234" t="s">
        <v>5</v>
      </c>
      <c r="D20" s="234"/>
      <c r="E20" s="234"/>
      <c r="F20" s="234"/>
      <c r="G20" s="234"/>
      <c r="H20" s="235" t="s">
        <v>6</v>
      </c>
      <c r="I20" s="235"/>
      <c r="J20" s="235"/>
      <c r="K20" s="235"/>
      <c r="L20" s="48"/>
      <c r="M20" s="219" t="s">
        <v>7</v>
      </c>
      <c r="N20" s="194" t="s">
        <v>8</v>
      </c>
      <c r="O20" s="37"/>
    </row>
    <row r="21" spans="1:20" s="51" customFormat="1" ht="24" customHeight="1" thickBot="1">
      <c r="A21" s="210"/>
      <c r="B21" s="212"/>
      <c r="C21" s="49" t="s">
        <v>11</v>
      </c>
      <c r="D21" s="49" t="s">
        <v>12</v>
      </c>
      <c r="E21" s="49" t="s">
        <v>13</v>
      </c>
      <c r="F21" s="2" t="s">
        <v>14</v>
      </c>
      <c r="G21" s="2" t="s">
        <v>8</v>
      </c>
      <c r="H21" s="49" t="s">
        <v>12</v>
      </c>
      <c r="I21" s="49" t="s">
        <v>13</v>
      </c>
      <c r="J21" s="49" t="s">
        <v>14</v>
      </c>
      <c r="K21" s="7" t="s">
        <v>8</v>
      </c>
      <c r="L21" s="50" t="s">
        <v>15</v>
      </c>
      <c r="M21" s="220"/>
      <c r="N21" s="195"/>
      <c r="O21" s="37"/>
      <c r="Q21"/>
      <c r="R21"/>
      <c r="S21"/>
      <c r="T21"/>
    </row>
    <row r="22" spans="1:20" s="51" customFormat="1" ht="24" customHeight="1">
      <c r="A22" s="27">
        <v>1</v>
      </c>
      <c r="B22" s="52" t="s">
        <v>30</v>
      </c>
      <c r="C22" s="6">
        <v>18779.8</v>
      </c>
      <c r="D22" s="6">
        <v>18779.8</v>
      </c>
      <c r="E22" s="53">
        <f>D22-C22</f>
        <v>0</v>
      </c>
      <c r="F22" s="54">
        <v>0</v>
      </c>
      <c r="G22" s="55">
        <f>IFERROR(F22/E22,0)</f>
        <v>0</v>
      </c>
      <c r="H22" s="6">
        <v>18792.5</v>
      </c>
      <c r="I22" s="56">
        <f>H22-D22</f>
        <v>12.700000000000728</v>
      </c>
      <c r="J22" s="54">
        <v>202</v>
      </c>
      <c r="K22" s="57">
        <f>IFERROR(J22/I22,0)</f>
        <v>15.905511811022711</v>
      </c>
      <c r="L22" s="58">
        <f>E22+I22</f>
        <v>12.700000000000728</v>
      </c>
      <c r="M22" s="59">
        <f t="shared" ref="M22:M23" si="9">F22+J22</f>
        <v>202</v>
      </c>
      <c r="N22" s="60">
        <f>IFERROR(M22/L22,0)</f>
        <v>15.905511811022711</v>
      </c>
      <c r="O22" s="61"/>
      <c r="Q22"/>
      <c r="R22"/>
      <c r="S22"/>
      <c r="T22"/>
    </row>
    <row r="23" spans="1:20" ht="24" customHeight="1">
      <c r="A23" s="62">
        <v>2</v>
      </c>
      <c r="B23" s="52" t="s">
        <v>31</v>
      </c>
      <c r="C23" s="63">
        <v>11175.7</v>
      </c>
      <c r="D23" s="63">
        <v>11175.7</v>
      </c>
      <c r="E23" s="53">
        <f>D23-C23</f>
        <v>0</v>
      </c>
      <c r="F23" s="54">
        <v>0</v>
      </c>
      <c r="G23" s="55">
        <f>IFERROR(F23/E23,0)</f>
        <v>0</v>
      </c>
      <c r="H23" s="63">
        <v>11185.4</v>
      </c>
      <c r="I23" s="64">
        <f>H23-D23</f>
        <v>9.6999999999989086</v>
      </c>
      <c r="J23" s="54">
        <v>160.06</v>
      </c>
      <c r="K23" s="57">
        <f>IFERROR(J23/I23,0)</f>
        <v>16.501030927836908</v>
      </c>
      <c r="L23" s="58">
        <f>E23+I23</f>
        <v>9.6999999999989086</v>
      </c>
      <c r="M23" s="59">
        <f t="shared" si="9"/>
        <v>160.06</v>
      </c>
      <c r="N23" s="60">
        <f>IFERROR(M23/L23,0)</f>
        <v>16.501030927836908</v>
      </c>
      <c r="O23" s="65"/>
    </row>
    <row r="24" spans="1:20" ht="24" customHeight="1" thickBot="1">
      <c r="A24" s="238" t="s">
        <v>28</v>
      </c>
      <c r="B24" s="239"/>
      <c r="C24" s="66"/>
      <c r="D24" s="66"/>
      <c r="E24" s="67">
        <f>SUM(E22:E23)</f>
        <v>0</v>
      </c>
      <c r="F24" s="67">
        <f>SUM(F22:F23)</f>
        <v>0</v>
      </c>
      <c r="G24" s="68"/>
      <c r="H24" s="68"/>
      <c r="I24" s="67">
        <f>SUM(I22:I23)</f>
        <v>22.399999999999636</v>
      </c>
      <c r="J24" s="67">
        <f>SUM(J22:J23)</f>
        <v>362.06</v>
      </c>
      <c r="K24" s="69">
        <f>SUM(K22:K23)</f>
        <v>32.406542738859621</v>
      </c>
      <c r="L24" s="70">
        <f>SUM(L22:L23)</f>
        <v>22.399999999999636</v>
      </c>
      <c r="M24" s="43">
        <f>SUM(M22:M23)</f>
        <v>362.06</v>
      </c>
      <c r="N24" s="71"/>
      <c r="O24" s="37"/>
      <c r="P24" s="72"/>
    </row>
    <row r="25" spans="1:20" ht="18" customHeight="1" thickBot="1">
      <c r="A25" s="245" t="s">
        <v>32</v>
      </c>
      <c r="B25" s="246"/>
      <c r="C25" s="226"/>
      <c r="D25" s="226"/>
      <c r="E25" s="226"/>
      <c r="F25" s="226"/>
      <c r="G25" s="226"/>
      <c r="H25" s="226"/>
      <c r="I25" s="226"/>
      <c r="J25" s="226"/>
      <c r="K25" s="226"/>
      <c r="L25" s="246"/>
      <c r="M25" s="46"/>
      <c r="N25" s="47"/>
      <c r="O25" s="37"/>
    </row>
    <row r="26" spans="1:20" ht="22.8" customHeight="1">
      <c r="A26" s="209" t="s">
        <v>3</v>
      </c>
      <c r="B26" s="211" t="s">
        <v>4</v>
      </c>
      <c r="C26" s="234" t="s">
        <v>5</v>
      </c>
      <c r="D26" s="234"/>
      <c r="E26" s="234"/>
      <c r="F26" s="234"/>
      <c r="G26" s="234"/>
      <c r="H26" s="235" t="s">
        <v>6</v>
      </c>
      <c r="I26" s="235"/>
      <c r="J26" s="235"/>
      <c r="K26" s="235"/>
      <c r="L26" s="48"/>
      <c r="M26" s="219" t="s">
        <v>7</v>
      </c>
      <c r="N26" s="194" t="s">
        <v>8</v>
      </c>
      <c r="O26" s="37"/>
      <c r="S26" s="51"/>
    </row>
    <row r="27" spans="1:20" ht="24" customHeight="1">
      <c r="A27" s="247"/>
      <c r="B27" s="248"/>
      <c r="C27" s="6" t="s">
        <v>11</v>
      </c>
      <c r="D27" s="6" t="s">
        <v>12</v>
      </c>
      <c r="E27" s="6" t="s">
        <v>13</v>
      </c>
      <c r="F27" s="6" t="s">
        <v>14</v>
      </c>
      <c r="G27" s="6" t="s">
        <v>8</v>
      </c>
      <c r="H27" s="6" t="s">
        <v>12</v>
      </c>
      <c r="I27" s="6" t="s">
        <v>13</v>
      </c>
      <c r="J27" s="6" t="s">
        <v>14</v>
      </c>
      <c r="K27" s="7" t="s">
        <v>8</v>
      </c>
      <c r="L27" s="73" t="s">
        <v>15</v>
      </c>
      <c r="M27" s="236"/>
      <c r="N27" s="237"/>
      <c r="O27" s="37"/>
      <c r="P27" s="74"/>
      <c r="S27" s="51"/>
      <c r="T27" s="75"/>
    </row>
    <row r="28" spans="1:20" ht="24" customHeight="1">
      <c r="A28" s="76">
        <v>1</v>
      </c>
      <c r="B28" s="31" t="s">
        <v>33</v>
      </c>
      <c r="C28" s="35">
        <v>21539.8</v>
      </c>
      <c r="D28" s="35">
        <v>21560.7</v>
      </c>
      <c r="E28" s="35">
        <f>D28-C28</f>
        <v>20.900000000001455</v>
      </c>
      <c r="F28" s="33">
        <v>241.07</v>
      </c>
      <c r="G28" s="10">
        <f t="shared" ref="G28:G32" si="10">IFERROR(F28/E28,0)</f>
        <v>11.534449760764748</v>
      </c>
      <c r="H28" s="35">
        <v>21565.599999999999</v>
      </c>
      <c r="I28" s="56">
        <f>H28-D28</f>
        <v>4.8999999999978172</v>
      </c>
      <c r="J28" s="33">
        <v>74.56</v>
      </c>
      <c r="K28" s="28">
        <f t="shared" ref="K28:K32" si="11">IFERROR(J28/I28,0)</f>
        <v>15.216326530619023</v>
      </c>
      <c r="L28" s="18">
        <f t="shared" ref="L28:M32" si="12">E28+I28</f>
        <v>25.799999999999272</v>
      </c>
      <c r="M28" s="22">
        <f t="shared" si="12"/>
        <v>315.63</v>
      </c>
      <c r="N28" s="23">
        <f>IFERROR(M28/L28,0)</f>
        <v>12.233720930232902</v>
      </c>
      <c r="O28" s="37"/>
    </row>
    <row r="29" spans="1:20" ht="24" customHeight="1">
      <c r="A29" s="76">
        <v>2</v>
      </c>
      <c r="B29" s="31" t="s">
        <v>34</v>
      </c>
      <c r="C29" s="35">
        <v>21019.7</v>
      </c>
      <c r="D29" s="35">
        <v>21032.1</v>
      </c>
      <c r="E29" s="35">
        <f>D29-C29</f>
        <v>12.399999999997817</v>
      </c>
      <c r="F29" s="33">
        <v>239.84</v>
      </c>
      <c r="G29" s="10">
        <f t="shared" si="10"/>
        <v>19.341935483874373</v>
      </c>
      <c r="H29" s="35">
        <v>21040.2</v>
      </c>
      <c r="I29" s="56">
        <f>H29-D29</f>
        <v>8.1000000000021828</v>
      </c>
      <c r="J29" s="33">
        <v>191.32</v>
      </c>
      <c r="K29" s="28">
        <f>IFERROR(J29/I29,0)</f>
        <v>23.619753086413386</v>
      </c>
      <c r="L29" s="18">
        <f t="shared" si="12"/>
        <v>20.5</v>
      </c>
      <c r="M29" s="22">
        <f t="shared" si="12"/>
        <v>431.15999999999997</v>
      </c>
      <c r="N29" s="23">
        <f>IFERROR(M29/L29,0)</f>
        <v>21.032195121951219</v>
      </c>
      <c r="O29" s="37"/>
    </row>
    <row r="30" spans="1:20" ht="24" customHeight="1">
      <c r="A30" s="76">
        <v>3</v>
      </c>
      <c r="B30" s="31" t="s">
        <v>35</v>
      </c>
      <c r="C30" s="35">
        <v>8910.9</v>
      </c>
      <c r="D30" s="35">
        <v>8910.9</v>
      </c>
      <c r="E30" s="17">
        <f t="shared" ref="E30:E32" si="13">D30-C30</f>
        <v>0</v>
      </c>
      <c r="F30" s="33">
        <v>0</v>
      </c>
      <c r="G30" s="10">
        <f t="shared" si="10"/>
        <v>0</v>
      </c>
      <c r="H30" s="35">
        <v>8910.9</v>
      </c>
      <c r="I30" s="19">
        <f>H30-D30</f>
        <v>0</v>
      </c>
      <c r="J30" s="33">
        <v>0</v>
      </c>
      <c r="K30" s="28">
        <f t="shared" si="11"/>
        <v>0</v>
      </c>
      <c r="L30" s="18">
        <f t="shared" si="12"/>
        <v>0</v>
      </c>
      <c r="M30" s="22">
        <f t="shared" si="12"/>
        <v>0</v>
      </c>
      <c r="N30" s="23">
        <f>IFERROR(M30/L30,0)</f>
        <v>0</v>
      </c>
      <c r="O30" s="77"/>
    </row>
    <row r="31" spans="1:20" ht="24.6" customHeight="1">
      <c r="A31" s="76">
        <v>4</v>
      </c>
      <c r="B31" s="31" t="s">
        <v>36</v>
      </c>
      <c r="C31" s="35">
        <v>3332.7</v>
      </c>
      <c r="D31" s="35">
        <v>3337.5</v>
      </c>
      <c r="E31" s="17">
        <f t="shared" si="13"/>
        <v>4.8000000000001819</v>
      </c>
      <c r="F31" s="33">
        <v>91.42</v>
      </c>
      <c r="G31" s="78">
        <f t="shared" si="10"/>
        <v>19.045833333332613</v>
      </c>
      <c r="H31" s="35">
        <v>3345.2</v>
      </c>
      <c r="I31" s="19">
        <f t="shared" ref="I31:I32" si="14">H31-D31</f>
        <v>7.6999999999998181</v>
      </c>
      <c r="J31" s="33">
        <v>174.98</v>
      </c>
      <c r="K31" s="28">
        <f t="shared" si="11"/>
        <v>22.724675324675861</v>
      </c>
      <c r="L31" s="18">
        <f t="shared" si="12"/>
        <v>12.5</v>
      </c>
      <c r="M31" s="79">
        <f t="shared" si="12"/>
        <v>266.39999999999998</v>
      </c>
      <c r="N31" s="23">
        <f>IFERROR(M31/L31,0)</f>
        <v>21.311999999999998</v>
      </c>
      <c r="O31" s="80"/>
    </row>
    <row r="32" spans="1:20" ht="24.6" customHeight="1">
      <c r="A32" s="76">
        <v>5</v>
      </c>
      <c r="B32" s="31" t="s">
        <v>37</v>
      </c>
      <c r="C32" s="35">
        <v>647.20000000000005</v>
      </c>
      <c r="D32" s="35">
        <v>659.2</v>
      </c>
      <c r="E32" s="17">
        <f t="shared" si="13"/>
        <v>12</v>
      </c>
      <c r="F32" s="33">
        <v>290.39999999999998</v>
      </c>
      <c r="G32" s="78">
        <f t="shared" si="10"/>
        <v>24.2</v>
      </c>
      <c r="H32" s="35">
        <v>667.7</v>
      </c>
      <c r="I32" s="19">
        <f t="shared" si="14"/>
        <v>8.5</v>
      </c>
      <c r="J32" s="33">
        <v>239.42</v>
      </c>
      <c r="K32" s="28">
        <f t="shared" si="11"/>
        <v>28.167058823529409</v>
      </c>
      <c r="L32" s="18">
        <f t="shared" si="12"/>
        <v>20.5</v>
      </c>
      <c r="M32" s="79">
        <f t="shared" si="12"/>
        <v>529.81999999999994</v>
      </c>
      <c r="N32" s="23">
        <f>IFERROR(M32/L32,0)</f>
        <v>25.844878048780483</v>
      </c>
      <c r="O32" s="80"/>
    </row>
    <row r="33" spans="1:26" ht="22.8" customHeight="1" thickBot="1">
      <c r="A33" s="238" t="s">
        <v>28</v>
      </c>
      <c r="B33" s="239"/>
      <c r="C33" s="66"/>
      <c r="D33" s="66"/>
      <c r="E33" s="67">
        <f>SUM(E28:E32)</f>
        <v>50.099999999999454</v>
      </c>
      <c r="F33" s="67">
        <f>SUM(F28:F32)</f>
        <v>862.7299999999999</v>
      </c>
      <c r="G33" s="68"/>
      <c r="H33" s="68"/>
      <c r="I33" s="67">
        <f>SUM(I28:I32)</f>
        <v>29.199999999999818</v>
      </c>
      <c r="J33" s="67">
        <f>SUM(J28:J32)</f>
        <v>680.28</v>
      </c>
      <c r="K33" s="69">
        <f>SUM(K28:K32)</f>
        <v>89.72781376523767</v>
      </c>
      <c r="L33" s="70">
        <f>SUM(L28:L32)</f>
        <v>79.299999999999272</v>
      </c>
      <c r="M33" s="43">
        <f>SUM(M28:M32)</f>
        <v>1543.0099999999998</v>
      </c>
      <c r="N33" s="71">
        <f>IFERROR(M33/K33,0)</f>
        <v>17.196562974743873</v>
      </c>
      <c r="O33" s="37"/>
      <c r="P33" s="72"/>
      <c r="S33" s="51"/>
    </row>
    <row r="34" spans="1:26" ht="24" customHeight="1">
      <c r="A34" s="240" t="s">
        <v>38</v>
      </c>
      <c r="B34" s="241"/>
      <c r="C34" s="241"/>
      <c r="D34" s="241"/>
      <c r="E34" s="241"/>
      <c r="F34" s="241"/>
      <c r="G34" s="241"/>
      <c r="H34" s="241"/>
      <c r="I34" s="241"/>
      <c r="J34" s="241"/>
      <c r="K34" s="241"/>
      <c r="L34" s="242"/>
      <c r="M34" s="46"/>
      <c r="N34" s="47"/>
      <c r="O34" s="61"/>
      <c r="S34" s="51"/>
    </row>
    <row r="35" spans="1:26" ht="24" customHeight="1">
      <c r="A35" s="243" t="s">
        <v>3</v>
      </c>
      <c r="B35" s="243" t="s">
        <v>4</v>
      </c>
      <c r="C35" s="213" t="s">
        <v>5</v>
      </c>
      <c r="D35" s="214"/>
      <c r="E35" s="214"/>
      <c r="F35" s="214"/>
      <c r="G35" s="215"/>
      <c r="H35" s="216" t="s">
        <v>6</v>
      </c>
      <c r="I35" s="217"/>
      <c r="J35" s="217"/>
      <c r="K35" s="218"/>
      <c r="L35" s="5"/>
      <c r="M35" s="221" t="s">
        <v>7</v>
      </c>
      <c r="N35" s="222" t="s">
        <v>8</v>
      </c>
      <c r="O35" s="37"/>
    </row>
    <row r="36" spans="1:26" ht="24" customHeight="1">
      <c r="A36" s="244"/>
      <c r="B36" s="244"/>
      <c r="C36" s="2" t="s">
        <v>11</v>
      </c>
      <c r="D36" s="2" t="s">
        <v>12</v>
      </c>
      <c r="E36" s="2" t="s">
        <v>13</v>
      </c>
      <c r="F36" s="2" t="s">
        <v>14</v>
      </c>
      <c r="G36" s="2" t="s">
        <v>8</v>
      </c>
      <c r="H36" s="2" t="s">
        <v>12</v>
      </c>
      <c r="I36" s="2" t="s">
        <v>13</v>
      </c>
      <c r="J36" s="2" t="s">
        <v>14</v>
      </c>
      <c r="K36" s="82" t="s">
        <v>8</v>
      </c>
      <c r="L36" s="12" t="s">
        <v>15</v>
      </c>
      <c r="M36" s="221"/>
      <c r="N36" s="222"/>
      <c r="O36" s="37"/>
    </row>
    <row r="37" spans="1:26" ht="24" customHeight="1">
      <c r="A37" s="76">
        <v>1</v>
      </c>
      <c r="B37" s="31" t="s">
        <v>39</v>
      </c>
      <c r="C37" s="83">
        <v>16551.8</v>
      </c>
      <c r="D37" s="83">
        <v>16554</v>
      </c>
      <c r="E37" s="35">
        <f>D37-C37</f>
        <v>2.2000000000007276</v>
      </c>
      <c r="F37" s="33">
        <v>51</v>
      </c>
      <c r="G37" s="78">
        <f t="shared" ref="G37:G38" si="15">IFERROR(F37/E37,0)</f>
        <v>23.181818181810517</v>
      </c>
      <c r="H37" s="83">
        <v>16554</v>
      </c>
      <c r="I37" s="56">
        <f>H37-D37</f>
        <v>0</v>
      </c>
      <c r="J37" s="33">
        <v>0</v>
      </c>
      <c r="K37" s="28">
        <f>IFERROR(J37/I37,0)</f>
        <v>0</v>
      </c>
      <c r="L37" s="84">
        <f t="shared" ref="L37:L38" si="16">E37+I37</f>
        <v>2.2000000000007276</v>
      </c>
      <c r="M37" s="79">
        <f>F37+J37</f>
        <v>51</v>
      </c>
      <c r="N37" s="34">
        <f>IFERROR(M37/L37,0)</f>
        <v>23.181818181810517</v>
      </c>
      <c r="O37" s="37"/>
    </row>
    <row r="38" spans="1:26" ht="27" customHeight="1">
      <c r="A38" s="76">
        <v>2</v>
      </c>
      <c r="B38" s="31" t="s">
        <v>40</v>
      </c>
      <c r="C38" s="35">
        <v>4339.2</v>
      </c>
      <c r="D38" s="35">
        <v>4349</v>
      </c>
      <c r="E38" s="17">
        <f>D38-C38</f>
        <v>9.8000000000001819</v>
      </c>
      <c r="F38" s="33">
        <v>238</v>
      </c>
      <c r="G38" s="10">
        <f t="shared" si="15"/>
        <v>24.285714285713834</v>
      </c>
      <c r="H38" s="35">
        <v>4357.8</v>
      </c>
      <c r="I38" s="19">
        <f>H38-D38</f>
        <v>8.8000000000001819</v>
      </c>
      <c r="J38" s="33">
        <v>199.84</v>
      </c>
      <c r="K38" s="28">
        <f>IFERROR(J38/I38,0)</f>
        <v>22.709090909090442</v>
      </c>
      <c r="L38" s="18">
        <f t="shared" si="16"/>
        <v>18.600000000000364</v>
      </c>
      <c r="M38" s="22">
        <f>F38+J38</f>
        <v>437.84000000000003</v>
      </c>
      <c r="N38" s="23">
        <f>IFERROR(M38/L38,0)</f>
        <v>23.5397849462361</v>
      </c>
      <c r="O38" s="37"/>
      <c r="S38" s="51"/>
    </row>
    <row r="39" spans="1:26" ht="22.8" customHeight="1" thickBot="1">
      <c r="A39" s="196" t="s">
        <v>28</v>
      </c>
      <c r="B39" s="233"/>
      <c r="C39" s="68"/>
      <c r="D39" s="66"/>
      <c r="E39" s="67">
        <f>SUM(E37:E38)</f>
        <v>12.000000000000909</v>
      </c>
      <c r="F39" s="67">
        <f>SUM(F37:F38:F38)</f>
        <v>289</v>
      </c>
      <c r="G39" s="68"/>
      <c r="H39" s="68"/>
      <c r="I39" s="67">
        <f>SUM(I37:I38)</f>
        <v>8.8000000000001819</v>
      </c>
      <c r="J39" s="67">
        <f>SUM(J37:J38)</f>
        <v>199.84</v>
      </c>
      <c r="K39" s="69">
        <f>SUM(K37:K38)</f>
        <v>22.709090909090442</v>
      </c>
      <c r="L39" s="70">
        <f>SUM(L37:L38)</f>
        <v>20.800000000001091</v>
      </c>
      <c r="M39" s="43">
        <f>SUM(M37:M38)</f>
        <v>488.84000000000003</v>
      </c>
      <c r="N39" s="71">
        <f>IFERROR(M39/K39,0)</f>
        <v>21.526180944756248</v>
      </c>
      <c r="O39" s="37"/>
      <c r="P39" s="72"/>
      <c r="S39" s="51"/>
    </row>
    <row r="40" spans="1:26" ht="24" customHeight="1">
      <c r="A40" s="225" t="s">
        <v>41</v>
      </c>
      <c r="B40" s="226"/>
      <c r="C40" s="226"/>
      <c r="D40" s="226"/>
      <c r="E40" s="226"/>
      <c r="F40" s="226"/>
      <c r="G40" s="226"/>
      <c r="H40" s="226"/>
      <c r="I40" s="226"/>
      <c r="J40" s="226"/>
      <c r="K40" s="226"/>
      <c r="L40" s="226"/>
      <c r="M40" s="46"/>
      <c r="N40" s="47"/>
      <c r="O40" s="61"/>
    </row>
    <row r="41" spans="1:26" ht="24" customHeight="1">
      <c r="A41" s="222" t="s">
        <v>3</v>
      </c>
      <c r="B41" s="222" t="s">
        <v>4</v>
      </c>
      <c r="C41" s="234" t="s">
        <v>5</v>
      </c>
      <c r="D41" s="234"/>
      <c r="E41" s="234"/>
      <c r="F41" s="234"/>
      <c r="G41" s="234"/>
      <c r="H41" s="235" t="s">
        <v>6</v>
      </c>
      <c r="I41" s="235"/>
      <c r="J41" s="235"/>
      <c r="K41" s="235"/>
      <c r="L41" s="5"/>
      <c r="M41" s="221" t="s">
        <v>7</v>
      </c>
      <c r="N41" s="222" t="s">
        <v>8</v>
      </c>
      <c r="O41" s="37"/>
    </row>
    <row r="42" spans="1:26" ht="25.8" customHeight="1">
      <c r="A42" s="222"/>
      <c r="B42" s="222"/>
      <c r="C42" s="2" t="s">
        <v>11</v>
      </c>
      <c r="D42" s="2" t="s">
        <v>12</v>
      </c>
      <c r="E42" s="2" t="s">
        <v>13</v>
      </c>
      <c r="F42" s="2" t="s">
        <v>14</v>
      </c>
      <c r="G42" s="2" t="s">
        <v>8</v>
      </c>
      <c r="H42" s="2" t="s">
        <v>12</v>
      </c>
      <c r="I42" s="2" t="s">
        <v>13</v>
      </c>
      <c r="J42" s="2" t="s">
        <v>14</v>
      </c>
      <c r="K42" s="82" t="s">
        <v>8</v>
      </c>
      <c r="L42" s="12" t="s">
        <v>15</v>
      </c>
      <c r="M42" s="221"/>
      <c r="N42" s="222"/>
      <c r="O42" s="37"/>
    </row>
    <row r="43" spans="1:26" ht="24.6" customHeight="1">
      <c r="A43" s="76">
        <v>1</v>
      </c>
      <c r="B43" s="85" t="s">
        <v>42</v>
      </c>
      <c r="C43" s="33">
        <v>8589.5</v>
      </c>
      <c r="D43" s="33">
        <v>8610.2999999999993</v>
      </c>
      <c r="E43" s="20">
        <f>D43-C43</f>
        <v>20.799999999999272</v>
      </c>
      <c r="F43" s="33">
        <v>809.19</v>
      </c>
      <c r="G43" s="10">
        <f t="shared" ref="G43:G44" si="17">IFERROR(F43/E43,0)</f>
        <v>38.903365384616748</v>
      </c>
      <c r="H43" s="33">
        <v>8610.2999999999993</v>
      </c>
      <c r="I43" s="86">
        <f>H43-D43</f>
        <v>0</v>
      </c>
      <c r="J43" s="33">
        <v>0</v>
      </c>
      <c r="K43" s="28">
        <f>IFERROR(J43/I43,0)</f>
        <v>0</v>
      </c>
      <c r="L43" s="18">
        <f>E43+I43</f>
        <v>20.799999999999272</v>
      </c>
      <c r="M43" s="22">
        <f>F43+J43</f>
        <v>809.19</v>
      </c>
      <c r="N43" s="23">
        <f>IFERROR(M43/L43,0)</f>
        <v>38.903365384616748</v>
      </c>
      <c r="O43" s="87"/>
      <c r="S43" s="51"/>
    </row>
    <row r="44" spans="1:26" ht="22.8" customHeight="1">
      <c r="A44" s="76">
        <v>2</v>
      </c>
      <c r="B44" s="85" t="s">
        <v>43</v>
      </c>
      <c r="C44" s="33">
        <v>1586.9</v>
      </c>
      <c r="D44" s="33">
        <v>1601.9</v>
      </c>
      <c r="E44" s="20">
        <f>D44-C44</f>
        <v>15</v>
      </c>
      <c r="F44" s="33">
        <v>585.89</v>
      </c>
      <c r="G44" s="10">
        <f t="shared" si="17"/>
        <v>39.059333333333335</v>
      </c>
      <c r="H44" s="33">
        <v>1601.9</v>
      </c>
      <c r="I44" s="86">
        <f>H44-D44</f>
        <v>0</v>
      </c>
      <c r="J44" s="33">
        <v>0</v>
      </c>
      <c r="K44" s="28">
        <f>IFERROR(J44/I44,0)</f>
        <v>0</v>
      </c>
      <c r="L44" s="18">
        <f>E44+I44</f>
        <v>15</v>
      </c>
      <c r="M44" s="22">
        <f t="shared" ref="M44" si="18">F44+J44</f>
        <v>585.89</v>
      </c>
      <c r="N44" s="23">
        <f>IFERROR(M44/L44,0)</f>
        <v>39.059333333333335</v>
      </c>
      <c r="O44" s="87"/>
      <c r="P44" s="88"/>
      <c r="Q44" s="89"/>
    </row>
    <row r="45" spans="1:26" ht="24" customHeight="1" thickBot="1">
      <c r="A45" s="223" t="s">
        <v>28</v>
      </c>
      <c r="B45" s="224"/>
      <c r="C45" s="90"/>
      <c r="D45" s="90"/>
      <c r="E45" s="91">
        <f>SUM(E43:E44)</f>
        <v>35.799999999999272</v>
      </c>
      <c r="F45" s="91">
        <f>SUM(F43:F44)</f>
        <v>1395.08</v>
      </c>
      <c r="G45" s="92"/>
      <c r="H45" s="92"/>
      <c r="I45" s="91">
        <f>SUM(I43:I44)</f>
        <v>0</v>
      </c>
      <c r="J45" s="91">
        <f>SUM(J43:J44)</f>
        <v>0</v>
      </c>
      <c r="K45" s="93">
        <f>SUM(K43:K44)</f>
        <v>0</v>
      </c>
      <c r="L45" s="94">
        <f>SUM(L43:L44)</f>
        <v>35.799999999999272</v>
      </c>
      <c r="M45" s="95">
        <f>SUM(M43:M44)</f>
        <v>1395.08</v>
      </c>
      <c r="N45" s="96">
        <f>M45/L45</f>
        <v>38.968715083799673</v>
      </c>
      <c r="O45" s="37"/>
      <c r="P45" s="97"/>
      <c r="Q45" s="89"/>
    </row>
    <row r="46" spans="1:26" ht="24" customHeight="1">
      <c r="A46" s="225" t="s">
        <v>44</v>
      </c>
      <c r="B46" s="226"/>
      <c r="C46" s="226"/>
      <c r="D46" s="226"/>
      <c r="E46" s="226"/>
      <c r="F46" s="226"/>
      <c r="G46" s="226"/>
      <c r="H46" s="226"/>
      <c r="I46" s="226"/>
      <c r="J46" s="226"/>
      <c r="K46" s="226"/>
      <c r="L46" s="226"/>
      <c r="M46" s="98"/>
      <c r="N46" s="99"/>
      <c r="O46" s="37"/>
      <c r="P46" s="100"/>
      <c r="Q46" s="100"/>
    </row>
    <row r="47" spans="1:26" ht="24" customHeight="1">
      <c r="A47" s="222" t="s">
        <v>3</v>
      </c>
      <c r="B47" s="222" t="s">
        <v>4</v>
      </c>
      <c r="C47" s="227" t="s">
        <v>5</v>
      </c>
      <c r="D47" s="228"/>
      <c r="E47" s="228"/>
      <c r="F47" s="228"/>
      <c r="G47" s="228"/>
      <c r="H47" s="229"/>
      <c r="I47" s="230" t="s">
        <v>6</v>
      </c>
      <c r="J47" s="231"/>
      <c r="K47" s="231"/>
      <c r="L47" s="231"/>
      <c r="M47" s="231"/>
      <c r="N47" s="232"/>
      <c r="O47" s="201" t="s">
        <v>45</v>
      </c>
      <c r="P47" s="203" t="s">
        <v>46</v>
      </c>
      <c r="Q47" s="203" t="s">
        <v>47</v>
      </c>
      <c r="R47" s="205" t="s">
        <v>48</v>
      </c>
      <c r="Z47" s="101"/>
    </row>
    <row r="48" spans="1:26" ht="33" customHeight="1">
      <c r="A48" s="222"/>
      <c r="B48" s="222"/>
      <c r="C48" s="2" t="s">
        <v>49</v>
      </c>
      <c r="D48" s="2" t="s">
        <v>50</v>
      </c>
      <c r="E48" s="2" t="s">
        <v>51</v>
      </c>
      <c r="F48" s="102" t="s">
        <v>11</v>
      </c>
      <c r="G48" s="2" t="s">
        <v>14</v>
      </c>
      <c r="H48" s="2" t="s">
        <v>8</v>
      </c>
      <c r="I48" s="2" t="s">
        <v>50</v>
      </c>
      <c r="J48" s="2" t="s">
        <v>45</v>
      </c>
      <c r="K48" s="102" t="s">
        <v>12</v>
      </c>
      <c r="L48" s="102" t="s">
        <v>15</v>
      </c>
      <c r="M48" s="2" t="s">
        <v>14</v>
      </c>
      <c r="N48" s="82" t="s">
        <v>8</v>
      </c>
      <c r="O48" s="202"/>
      <c r="P48" s="204"/>
      <c r="Q48" s="204"/>
      <c r="R48" s="205"/>
    </row>
    <row r="49" spans="1:27" ht="21" customHeight="1">
      <c r="A49" s="81">
        <v>1</v>
      </c>
      <c r="B49" s="103" t="s">
        <v>52</v>
      </c>
      <c r="C49" s="2">
        <v>278851.40000000002</v>
      </c>
      <c r="D49" s="2">
        <v>278851.40000000002</v>
      </c>
      <c r="E49" s="104">
        <f t="shared" ref="E49:E109" si="19">D49-C49</f>
        <v>0</v>
      </c>
      <c r="F49" s="105">
        <v>22072.49</v>
      </c>
      <c r="G49" s="49">
        <v>0</v>
      </c>
      <c r="H49" s="10">
        <f t="shared" ref="H49:H109" si="20">IFERROR(E49/G49,0)</f>
        <v>0</v>
      </c>
      <c r="I49" s="2">
        <v>278939.8</v>
      </c>
      <c r="J49" s="106">
        <f t="shared" ref="J49:J109" si="21">I49-D49</f>
        <v>88.399999999965075</v>
      </c>
      <c r="K49" s="105">
        <v>22080.39</v>
      </c>
      <c r="L49" s="107">
        <f t="shared" ref="L49:L109" si="22">K49-F49</f>
        <v>7.8999999999978172</v>
      </c>
      <c r="M49" s="2">
        <v>153</v>
      </c>
      <c r="N49" s="28">
        <f t="shared" ref="N49:N109" si="23">IFERROR(J49/M49,0)</f>
        <v>0.57777777777754946</v>
      </c>
      <c r="O49" s="84">
        <f t="shared" ref="O49:O109" si="24">J49+E49</f>
        <v>88.399999999965075</v>
      </c>
      <c r="P49" s="79">
        <f t="shared" ref="P49:P109" si="25">G49+M49</f>
        <v>153</v>
      </c>
      <c r="Q49" s="34">
        <f t="shared" ref="Q49:Q109" si="26">IFERROR(O49/P49,0)</f>
        <v>0.57777777777754946</v>
      </c>
      <c r="R49" s="108">
        <v>27</v>
      </c>
    </row>
    <row r="50" spans="1:27" ht="21" customHeight="1">
      <c r="A50" s="81">
        <v>2</v>
      </c>
      <c r="B50" s="103" t="s">
        <v>155</v>
      </c>
      <c r="C50" s="2">
        <v>300911</v>
      </c>
      <c r="D50" s="2">
        <v>300948</v>
      </c>
      <c r="E50" s="104">
        <f t="shared" si="19"/>
        <v>37</v>
      </c>
      <c r="F50" s="105">
        <v>30434</v>
      </c>
      <c r="G50" s="49">
        <v>43</v>
      </c>
      <c r="H50" s="10">
        <f t="shared" si="20"/>
        <v>0.86046511627906974</v>
      </c>
      <c r="I50" s="2">
        <v>301061</v>
      </c>
      <c r="J50" s="106">
        <f t="shared" si="21"/>
        <v>113</v>
      </c>
      <c r="K50" s="105">
        <v>30446</v>
      </c>
      <c r="L50" s="107">
        <f t="shared" si="22"/>
        <v>12</v>
      </c>
      <c r="M50" s="2">
        <v>165</v>
      </c>
      <c r="N50" s="28">
        <f t="shared" si="23"/>
        <v>0.68484848484848482</v>
      </c>
      <c r="O50" s="84">
        <f t="shared" si="24"/>
        <v>150</v>
      </c>
      <c r="P50" s="79">
        <f t="shared" si="25"/>
        <v>208</v>
      </c>
      <c r="Q50" s="34">
        <f t="shared" si="26"/>
        <v>0.72115384615384615</v>
      </c>
      <c r="R50" s="108">
        <v>37</v>
      </c>
    </row>
    <row r="51" spans="1:27" ht="21" customHeight="1">
      <c r="A51" s="81">
        <v>3</v>
      </c>
      <c r="B51" s="103" t="s">
        <v>171</v>
      </c>
      <c r="C51" s="2">
        <v>310225</v>
      </c>
      <c r="D51" s="2">
        <v>310311</v>
      </c>
      <c r="E51" s="104">
        <f t="shared" si="19"/>
        <v>86</v>
      </c>
      <c r="F51" s="105">
        <v>31011</v>
      </c>
      <c r="G51" s="49">
        <v>148</v>
      </c>
      <c r="H51" s="10">
        <f t="shared" si="20"/>
        <v>0.58108108108108103</v>
      </c>
      <c r="I51" s="2">
        <v>310439</v>
      </c>
      <c r="J51" s="106">
        <f t="shared" si="21"/>
        <v>128</v>
      </c>
      <c r="K51" s="105">
        <v>31027</v>
      </c>
      <c r="L51" s="107">
        <f t="shared" si="22"/>
        <v>16</v>
      </c>
      <c r="M51" s="2">
        <v>198</v>
      </c>
      <c r="N51" s="28">
        <f t="shared" si="23"/>
        <v>0.64646464646464652</v>
      </c>
      <c r="O51" s="84">
        <f t="shared" si="24"/>
        <v>214</v>
      </c>
      <c r="P51" s="79">
        <f t="shared" si="25"/>
        <v>346</v>
      </c>
      <c r="Q51" s="34">
        <f t="shared" si="26"/>
        <v>0.61849710982658956</v>
      </c>
      <c r="R51" s="108">
        <v>37</v>
      </c>
    </row>
    <row r="52" spans="1:27" ht="21" customHeight="1">
      <c r="A52" s="81">
        <v>4</v>
      </c>
      <c r="B52" s="103" t="s">
        <v>156</v>
      </c>
      <c r="C52" s="2">
        <v>260786</v>
      </c>
      <c r="D52" s="2">
        <v>260878</v>
      </c>
      <c r="E52" s="104">
        <f t="shared" si="19"/>
        <v>92</v>
      </c>
      <c r="F52" s="105">
        <v>27673</v>
      </c>
      <c r="G52" s="49">
        <v>146</v>
      </c>
      <c r="H52" s="10">
        <f t="shared" si="20"/>
        <v>0.63013698630136983</v>
      </c>
      <c r="I52" s="2">
        <v>260992</v>
      </c>
      <c r="J52" s="106">
        <f t="shared" si="21"/>
        <v>114</v>
      </c>
      <c r="K52" s="105">
        <v>27690</v>
      </c>
      <c r="L52" s="107">
        <f t="shared" si="22"/>
        <v>17</v>
      </c>
      <c r="M52" s="2">
        <v>170</v>
      </c>
      <c r="N52" s="28">
        <f t="shared" si="23"/>
        <v>0.6705882352941176</v>
      </c>
      <c r="O52" s="84">
        <f t="shared" si="24"/>
        <v>206</v>
      </c>
      <c r="P52" s="79">
        <f t="shared" si="25"/>
        <v>316</v>
      </c>
      <c r="Q52" s="34">
        <f t="shared" si="26"/>
        <v>0.65189873417721522</v>
      </c>
      <c r="R52" s="108">
        <v>41</v>
      </c>
    </row>
    <row r="53" spans="1:27" ht="21" customHeight="1">
      <c r="A53" s="81">
        <v>5</v>
      </c>
      <c r="B53" s="103" t="s">
        <v>157</v>
      </c>
      <c r="C53" s="2">
        <v>275939</v>
      </c>
      <c r="D53" s="2">
        <v>276032</v>
      </c>
      <c r="E53" s="104">
        <f t="shared" si="19"/>
        <v>93</v>
      </c>
      <c r="F53" s="105">
        <v>28022</v>
      </c>
      <c r="G53" s="49">
        <v>174</v>
      </c>
      <c r="H53" s="10">
        <f t="shared" si="20"/>
        <v>0.53448275862068961</v>
      </c>
      <c r="I53" s="2">
        <v>276173</v>
      </c>
      <c r="J53" s="106">
        <f t="shared" si="21"/>
        <v>141</v>
      </c>
      <c r="K53" s="105">
        <v>28039</v>
      </c>
      <c r="L53" s="107">
        <f t="shared" si="22"/>
        <v>17</v>
      </c>
      <c r="M53" s="2">
        <v>217</v>
      </c>
      <c r="N53" s="28">
        <f t="shared" si="23"/>
        <v>0.64976958525345618</v>
      </c>
      <c r="O53" s="84">
        <f t="shared" si="24"/>
        <v>234</v>
      </c>
      <c r="P53" s="79">
        <f t="shared" si="25"/>
        <v>391</v>
      </c>
      <c r="Q53" s="34">
        <f t="shared" si="26"/>
        <v>0.59846547314578002</v>
      </c>
      <c r="R53" s="108">
        <v>37</v>
      </c>
    </row>
    <row r="54" spans="1:27" ht="21" customHeight="1">
      <c r="A54" s="81">
        <v>6</v>
      </c>
      <c r="B54" s="103" t="s">
        <v>172</v>
      </c>
      <c r="C54" s="2">
        <v>266601</v>
      </c>
      <c r="D54" s="2">
        <v>266601</v>
      </c>
      <c r="E54" s="104">
        <f t="shared" si="19"/>
        <v>0</v>
      </c>
      <c r="F54" s="105">
        <v>26391</v>
      </c>
      <c r="G54" s="49">
        <v>0</v>
      </c>
      <c r="H54" s="10">
        <f t="shared" si="20"/>
        <v>0</v>
      </c>
      <c r="I54" s="2">
        <v>266601</v>
      </c>
      <c r="J54" s="106">
        <f t="shared" si="21"/>
        <v>0</v>
      </c>
      <c r="K54" s="105">
        <v>26391</v>
      </c>
      <c r="L54" s="107">
        <f t="shared" si="22"/>
        <v>0</v>
      </c>
      <c r="M54" s="2">
        <v>0</v>
      </c>
      <c r="N54" s="28">
        <f t="shared" si="23"/>
        <v>0</v>
      </c>
      <c r="O54" s="84">
        <f t="shared" si="24"/>
        <v>0</v>
      </c>
      <c r="P54" s="79">
        <f t="shared" si="25"/>
        <v>0</v>
      </c>
      <c r="Q54" s="34">
        <f t="shared" si="26"/>
        <v>0</v>
      </c>
      <c r="R54" s="108">
        <v>0</v>
      </c>
    </row>
    <row r="55" spans="1:27" ht="21" customHeight="1">
      <c r="A55" s="81">
        <v>7</v>
      </c>
      <c r="B55" s="103" t="s">
        <v>173</v>
      </c>
      <c r="C55" s="2">
        <v>295692</v>
      </c>
      <c r="D55" s="2">
        <v>295692</v>
      </c>
      <c r="E55" s="104">
        <f t="shared" si="19"/>
        <v>0</v>
      </c>
      <c r="F55" s="105">
        <v>28768</v>
      </c>
      <c r="G55" s="49">
        <v>0</v>
      </c>
      <c r="H55" s="10">
        <f t="shared" si="20"/>
        <v>0</v>
      </c>
      <c r="I55" s="2">
        <v>295692</v>
      </c>
      <c r="J55" s="106">
        <f t="shared" si="21"/>
        <v>0</v>
      </c>
      <c r="K55" s="105">
        <v>28768</v>
      </c>
      <c r="L55" s="107">
        <f t="shared" si="22"/>
        <v>0</v>
      </c>
      <c r="M55" s="2">
        <v>0</v>
      </c>
      <c r="N55" s="28">
        <f t="shared" si="23"/>
        <v>0</v>
      </c>
      <c r="O55" s="84">
        <f t="shared" si="24"/>
        <v>0</v>
      </c>
      <c r="P55" s="79">
        <f t="shared" si="25"/>
        <v>0</v>
      </c>
      <c r="Q55" s="34">
        <f t="shared" si="26"/>
        <v>0</v>
      </c>
      <c r="R55" s="108">
        <v>0</v>
      </c>
    </row>
    <row r="56" spans="1:27" ht="24" customHeight="1">
      <c r="A56" s="81">
        <v>8</v>
      </c>
      <c r="B56" s="31" t="s">
        <v>53</v>
      </c>
      <c r="C56" s="35">
        <v>334306.5</v>
      </c>
      <c r="D56" s="35">
        <v>334306.5</v>
      </c>
      <c r="E56" s="104">
        <f t="shared" si="19"/>
        <v>0</v>
      </c>
      <c r="F56" s="110">
        <v>29835</v>
      </c>
      <c r="G56" s="111">
        <v>0</v>
      </c>
      <c r="H56" s="10">
        <f t="shared" si="20"/>
        <v>0</v>
      </c>
      <c r="I56" s="35">
        <v>334306.5</v>
      </c>
      <c r="J56" s="106">
        <f t="shared" si="21"/>
        <v>0</v>
      </c>
      <c r="K56" s="110">
        <v>29835</v>
      </c>
      <c r="L56" s="107">
        <f t="shared" si="22"/>
        <v>0</v>
      </c>
      <c r="M56" s="112">
        <v>0</v>
      </c>
      <c r="N56" s="28">
        <f t="shared" si="23"/>
        <v>0</v>
      </c>
      <c r="O56" s="84">
        <f t="shared" si="24"/>
        <v>0</v>
      </c>
      <c r="P56" s="79">
        <f t="shared" si="25"/>
        <v>0</v>
      </c>
      <c r="Q56" s="34">
        <f t="shared" si="26"/>
        <v>0</v>
      </c>
      <c r="R56" s="1">
        <v>0</v>
      </c>
    </row>
    <row r="57" spans="1:27" ht="24" customHeight="1">
      <c r="A57" s="81">
        <v>9</v>
      </c>
      <c r="B57" s="31" t="s">
        <v>54</v>
      </c>
      <c r="C57" s="104">
        <v>292386.5</v>
      </c>
      <c r="D57" s="104">
        <v>292386.5</v>
      </c>
      <c r="E57" s="104">
        <f t="shared" si="19"/>
        <v>0</v>
      </c>
      <c r="F57" s="110">
        <v>28015.51</v>
      </c>
      <c r="G57" s="111">
        <v>0</v>
      </c>
      <c r="H57" s="10">
        <f t="shared" si="20"/>
        <v>0</v>
      </c>
      <c r="I57" s="104">
        <v>292386.5</v>
      </c>
      <c r="J57" s="106">
        <f>I57-D57</f>
        <v>0</v>
      </c>
      <c r="K57" s="110">
        <v>28015.51</v>
      </c>
      <c r="L57" s="107">
        <f t="shared" si="22"/>
        <v>0</v>
      </c>
      <c r="M57" s="111">
        <v>0</v>
      </c>
      <c r="N57" s="28">
        <f t="shared" si="23"/>
        <v>0</v>
      </c>
      <c r="O57" s="84">
        <f t="shared" si="24"/>
        <v>0</v>
      </c>
      <c r="P57" s="79">
        <f t="shared" si="25"/>
        <v>0</v>
      </c>
      <c r="Q57" s="34">
        <f t="shared" si="26"/>
        <v>0</v>
      </c>
      <c r="R57" s="1">
        <v>0</v>
      </c>
      <c r="AA57" s="101"/>
    </row>
    <row r="58" spans="1:27" ht="24" customHeight="1">
      <c r="A58" s="81">
        <v>10</v>
      </c>
      <c r="B58" s="31" t="s">
        <v>55</v>
      </c>
      <c r="C58" s="104">
        <v>298907.40000000002</v>
      </c>
      <c r="D58" s="104">
        <v>298907.40000000002</v>
      </c>
      <c r="E58" s="104">
        <f t="shared" si="19"/>
        <v>0</v>
      </c>
      <c r="F58" s="110">
        <v>27086</v>
      </c>
      <c r="G58" s="111">
        <v>0</v>
      </c>
      <c r="H58" s="10">
        <f t="shared" si="20"/>
        <v>0</v>
      </c>
      <c r="I58" s="104">
        <v>298907.40000000002</v>
      </c>
      <c r="J58" s="106">
        <f>I58-D58</f>
        <v>0</v>
      </c>
      <c r="K58" s="110">
        <v>27086</v>
      </c>
      <c r="L58" s="107">
        <f t="shared" si="22"/>
        <v>0</v>
      </c>
      <c r="M58" s="111">
        <v>0</v>
      </c>
      <c r="N58" s="28">
        <f t="shared" si="23"/>
        <v>0</v>
      </c>
      <c r="O58" s="84">
        <f t="shared" si="24"/>
        <v>0</v>
      </c>
      <c r="P58" s="79">
        <f t="shared" si="25"/>
        <v>0</v>
      </c>
      <c r="Q58" s="34">
        <f t="shared" si="26"/>
        <v>0</v>
      </c>
      <c r="R58" s="1">
        <v>0</v>
      </c>
      <c r="AA58" s="101"/>
    </row>
    <row r="59" spans="1:27" ht="24" customHeight="1">
      <c r="A59" s="81">
        <v>11</v>
      </c>
      <c r="B59" s="31" t="s">
        <v>56</v>
      </c>
      <c r="C59" s="104">
        <v>340119.8</v>
      </c>
      <c r="D59" s="104">
        <v>340192.9</v>
      </c>
      <c r="E59" s="104">
        <f t="shared" si="19"/>
        <v>73.100000000034925</v>
      </c>
      <c r="F59" s="110">
        <v>26864.2</v>
      </c>
      <c r="G59" s="111">
        <v>111</v>
      </c>
      <c r="H59" s="10">
        <f t="shared" si="20"/>
        <v>0.65855855855887324</v>
      </c>
      <c r="I59" s="104">
        <v>340324.9</v>
      </c>
      <c r="J59" s="106">
        <f>I59-D59</f>
        <v>132</v>
      </c>
      <c r="K59" s="110">
        <v>26879.48</v>
      </c>
      <c r="L59" s="107">
        <f t="shared" si="22"/>
        <v>15.279999999998836</v>
      </c>
      <c r="M59" s="111">
        <v>170</v>
      </c>
      <c r="N59" s="28">
        <f t="shared" si="23"/>
        <v>0.77647058823529413</v>
      </c>
      <c r="O59" s="84">
        <f t="shared" si="24"/>
        <v>205.10000000003492</v>
      </c>
      <c r="P59" s="79">
        <f t="shared" si="25"/>
        <v>281</v>
      </c>
      <c r="Q59" s="34">
        <f t="shared" si="26"/>
        <v>0.72989323843428799</v>
      </c>
      <c r="R59" s="1">
        <v>33</v>
      </c>
      <c r="AA59" s="101"/>
    </row>
    <row r="60" spans="1:27" ht="24" customHeight="1">
      <c r="A60" s="81">
        <v>12</v>
      </c>
      <c r="B60" s="31" t="s">
        <v>57</v>
      </c>
      <c r="C60" s="104">
        <v>343134.2</v>
      </c>
      <c r="D60" s="104">
        <v>343134.2</v>
      </c>
      <c r="E60" s="104">
        <f t="shared" si="19"/>
        <v>0</v>
      </c>
      <c r="F60" s="110">
        <v>26693.41</v>
      </c>
      <c r="G60" s="111">
        <v>0</v>
      </c>
      <c r="H60" s="10">
        <f t="shared" si="20"/>
        <v>0</v>
      </c>
      <c r="I60" s="104">
        <v>343181.7</v>
      </c>
      <c r="J60" s="106">
        <f>I60-D60</f>
        <v>47.5</v>
      </c>
      <c r="K60" s="110">
        <v>26697.02</v>
      </c>
      <c r="L60" s="107">
        <f t="shared" si="22"/>
        <v>3.6100000000005821</v>
      </c>
      <c r="M60" s="111">
        <v>60</v>
      </c>
      <c r="N60" s="28">
        <f t="shared" si="23"/>
        <v>0.79166666666666663</v>
      </c>
      <c r="O60" s="84">
        <f t="shared" si="24"/>
        <v>47.5</v>
      </c>
      <c r="P60" s="79">
        <f t="shared" si="25"/>
        <v>60</v>
      </c>
      <c r="Q60" s="34">
        <f t="shared" si="26"/>
        <v>0.79166666666666663</v>
      </c>
      <c r="R60" s="1">
        <v>29</v>
      </c>
      <c r="AA60" s="101"/>
    </row>
    <row r="61" spans="1:27" ht="24" customHeight="1">
      <c r="A61" s="81">
        <v>13</v>
      </c>
      <c r="B61" s="31" t="s">
        <v>58</v>
      </c>
      <c r="C61" s="35">
        <v>300189.40000000002</v>
      </c>
      <c r="D61" s="35">
        <v>300189.40000000002</v>
      </c>
      <c r="E61" s="104">
        <f t="shared" si="19"/>
        <v>0</v>
      </c>
      <c r="F61" s="110">
        <v>26676.37</v>
      </c>
      <c r="G61" s="111">
        <v>0</v>
      </c>
      <c r="H61" s="10">
        <f t="shared" si="20"/>
        <v>0</v>
      </c>
      <c r="I61" s="35">
        <v>300189.40000000002</v>
      </c>
      <c r="J61" s="106">
        <f t="shared" si="21"/>
        <v>0</v>
      </c>
      <c r="K61" s="110">
        <v>26676.37</v>
      </c>
      <c r="L61" s="107">
        <f t="shared" si="22"/>
        <v>0</v>
      </c>
      <c r="M61" s="112">
        <v>0</v>
      </c>
      <c r="N61" s="28">
        <f>IFERROR(J61/M61,0)</f>
        <v>0</v>
      </c>
      <c r="O61" s="84">
        <f t="shared" si="24"/>
        <v>0</v>
      </c>
      <c r="P61" s="79">
        <f t="shared" si="25"/>
        <v>0</v>
      </c>
      <c r="Q61" s="34">
        <f t="shared" si="26"/>
        <v>0</v>
      </c>
      <c r="R61" s="1">
        <v>0</v>
      </c>
      <c r="U61" s="113"/>
    </row>
    <row r="62" spans="1:27" ht="24" customHeight="1">
      <c r="A62" s="81">
        <v>14</v>
      </c>
      <c r="B62" s="31" t="s">
        <v>59</v>
      </c>
      <c r="C62" s="35">
        <v>272165</v>
      </c>
      <c r="D62" s="35">
        <v>272165</v>
      </c>
      <c r="E62" s="104">
        <f t="shared" si="19"/>
        <v>0</v>
      </c>
      <c r="F62" s="110">
        <v>25439.35</v>
      </c>
      <c r="G62" s="111">
        <v>0</v>
      </c>
      <c r="H62" s="10">
        <f t="shared" si="20"/>
        <v>0</v>
      </c>
      <c r="I62" s="35">
        <v>272216.8</v>
      </c>
      <c r="J62" s="106">
        <f>I62-D62</f>
        <v>51.799999999988358</v>
      </c>
      <c r="K62" s="110">
        <v>25444.58</v>
      </c>
      <c r="L62" s="107">
        <f t="shared" si="22"/>
        <v>5.2300000000032014</v>
      </c>
      <c r="M62" s="111">
        <v>81</v>
      </c>
      <c r="N62" s="28">
        <f>IFERROR(J62/M62,0)</f>
        <v>0.6395061728393624</v>
      </c>
      <c r="O62" s="84">
        <f t="shared" si="24"/>
        <v>51.799999999988358</v>
      </c>
      <c r="P62" s="79">
        <f t="shared" si="25"/>
        <v>81</v>
      </c>
      <c r="Q62" s="34">
        <f t="shared" si="26"/>
        <v>0.6395061728393624</v>
      </c>
      <c r="R62" s="1">
        <v>14</v>
      </c>
      <c r="X62" t="s">
        <v>60</v>
      </c>
    </row>
    <row r="63" spans="1:27" ht="24" customHeight="1">
      <c r="A63" s="81">
        <v>15</v>
      </c>
      <c r="B63" s="31" t="s">
        <v>61</v>
      </c>
      <c r="C63" s="104">
        <v>285315.5</v>
      </c>
      <c r="D63" s="104">
        <v>285315.5</v>
      </c>
      <c r="E63" s="104">
        <f t="shared" si="19"/>
        <v>0</v>
      </c>
      <c r="F63" s="110">
        <v>26625.32</v>
      </c>
      <c r="G63" s="111">
        <v>0</v>
      </c>
      <c r="H63" s="10">
        <f t="shared" si="20"/>
        <v>0</v>
      </c>
      <c r="I63" s="104">
        <v>285351.09999999998</v>
      </c>
      <c r="J63" s="106">
        <f>I63-D63</f>
        <v>35.599999999976717</v>
      </c>
      <c r="K63" s="110">
        <v>26630.400000000001</v>
      </c>
      <c r="L63" s="107">
        <f t="shared" si="22"/>
        <v>5.0800000000017462</v>
      </c>
      <c r="M63" s="112">
        <v>62</v>
      </c>
      <c r="N63" s="28">
        <f t="shared" si="23"/>
        <v>0.57419354838672121</v>
      </c>
      <c r="O63" s="84">
        <f t="shared" si="24"/>
        <v>35.599999999976717</v>
      </c>
      <c r="P63" s="79">
        <f t="shared" si="25"/>
        <v>62</v>
      </c>
      <c r="Q63" s="34">
        <f t="shared" si="26"/>
        <v>0.57419354838672121</v>
      </c>
      <c r="R63" s="1">
        <v>12</v>
      </c>
    </row>
    <row r="64" spans="1:27" ht="24" customHeight="1">
      <c r="A64" s="81">
        <v>16</v>
      </c>
      <c r="B64" s="31" t="s">
        <v>62</v>
      </c>
      <c r="C64" s="35">
        <v>303386.40000000002</v>
      </c>
      <c r="D64" s="35">
        <v>303425.3</v>
      </c>
      <c r="E64" s="104">
        <f t="shared" si="19"/>
        <v>38.899999999965075</v>
      </c>
      <c r="F64" s="110">
        <v>27293.48</v>
      </c>
      <c r="G64" s="111">
        <v>88.96</v>
      </c>
      <c r="H64" s="10">
        <f t="shared" si="20"/>
        <v>0.43727517985572256</v>
      </c>
      <c r="I64" s="35">
        <v>303523</v>
      </c>
      <c r="J64" s="106">
        <f t="shared" si="21"/>
        <v>97.700000000011642</v>
      </c>
      <c r="K64" s="110">
        <v>27308.02</v>
      </c>
      <c r="L64" s="107">
        <f t="shared" si="22"/>
        <v>14.540000000000873</v>
      </c>
      <c r="M64" s="112">
        <v>170</v>
      </c>
      <c r="N64" s="28">
        <f t="shared" si="23"/>
        <v>0.57470588235300968</v>
      </c>
      <c r="O64" s="84">
        <f t="shared" si="24"/>
        <v>136.59999999997672</v>
      </c>
      <c r="P64" s="79">
        <f t="shared" si="25"/>
        <v>258.95999999999998</v>
      </c>
      <c r="Q64" s="34">
        <f t="shared" si="26"/>
        <v>0.52749459375956409</v>
      </c>
      <c r="R64" s="1">
        <v>31</v>
      </c>
    </row>
    <row r="65" spans="1:18" ht="24" customHeight="1">
      <c r="A65" s="81">
        <v>17</v>
      </c>
      <c r="B65" s="31" t="s">
        <v>158</v>
      </c>
      <c r="C65" s="17">
        <v>274856</v>
      </c>
      <c r="D65" s="17">
        <v>274856</v>
      </c>
      <c r="E65" s="104">
        <f t="shared" si="19"/>
        <v>0</v>
      </c>
      <c r="F65" s="110">
        <v>25063</v>
      </c>
      <c r="G65" s="111">
        <v>0</v>
      </c>
      <c r="H65" s="10">
        <f t="shared" si="20"/>
        <v>0</v>
      </c>
      <c r="I65" s="17">
        <v>274856</v>
      </c>
      <c r="J65" s="106">
        <f t="shared" si="21"/>
        <v>0</v>
      </c>
      <c r="K65" s="110">
        <v>25069</v>
      </c>
      <c r="L65" s="107">
        <f t="shared" si="22"/>
        <v>6</v>
      </c>
      <c r="M65" s="111">
        <v>127</v>
      </c>
      <c r="N65" s="28">
        <f t="shared" si="23"/>
        <v>0</v>
      </c>
      <c r="O65" s="84">
        <f t="shared" si="24"/>
        <v>0</v>
      </c>
      <c r="P65" s="79">
        <f t="shared" si="25"/>
        <v>127</v>
      </c>
      <c r="Q65" s="34">
        <f t="shared" si="26"/>
        <v>0</v>
      </c>
      <c r="R65" s="1">
        <v>24</v>
      </c>
    </row>
    <row r="66" spans="1:18" ht="24" customHeight="1">
      <c r="A66" s="81">
        <v>18</v>
      </c>
      <c r="B66" s="31" t="s">
        <v>159</v>
      </c>
      <c r="C66" s="17">
        <v>278005</v>
      </c>
      <c r="D66" s="17">
        <v>278124</v>
      </c>
      <c r="E66" s="104">
        <f t="shared" si="19"/>
        <v>119</v>
      </c>
      <c r="F66" s="110">
        <v>25913</v>
      </c>
      <c r="G66" s="111">
        <v>211.74</v>
      </c>
      <c r="H66" s="10">
        <f t="shared" si="20"/>
        <v>0.56201001227921032</v>
      </c>
      <c r="I66" s="17">
        <v>278241</v>
      </c>
      <c r="J66" s="106">
        <f t="shared" si="21"/>
        <v>117</v>
      </c>
      <c r="K66" s="110">
        <v>25930</v>
      </c>
      <c r="L66" s="107">
        <f t="shared" si="22"/>
        <v>17</v>
      </c>
      <c r="M66" s="111">
        <v>198</v>
      </c>
      <c r="N66" s="28">
        <f t="shared" si="23"/>
        <v>0.59090909090909094</v>
      </c>
      <c r="O66" s="84">
        <f t="shared" si="24"/>
        <v>236</v>
      </c>
      <c r="P66" s="79">
        <f t="shared" si="25"/>
        <v>409.74</v>
      </c>
      <c r="Q66" s="34">
        <f t="shared" si="26"/>
        <v>0.57597500854200223</v>
      </c>
      <c r="R66" s="1">
        <v>37</v>
      </c>
    </row>
    <row r="67" spans="1:18" ht="24" customHeight="1">
      <c r="A67" s="81">
        <v>19</v>
      </c>
      <c r="B67" s="31" t="s">
        <v>160</v>
      </c>
      <c r="C67" s="17">
        <v>305329</v>
      </c>
      <c r="D67" s="17">
        <v>305329</v>
      </c>
      <c r="E67" s="104">
        <f t="shared" si="19"/>
        <v>0</v>
      </c>
      <c r="F67" s="110">
        <v>25121</v>
      </c>
      <c r="G67" s="111">
        <v>0</v>
      </c>
      <c r="H67" s="10">
        <f t="shared" si="20"/>
        <v>0</v>
      </c>
      <c r="I67" s="17">
        <v>305329</v>
      </c>
      <c r="J67" s="106">
        <f t="shared" si="21"/>
        <v>0</v>
      </c>
      <c r="K67" s="110">
        <v>25121</v>
      </c>
      <c r="L67" s="107">
        <f t="shared" si="22"/>
        <v>0</v>
      </c>
      <c r="M67" s="111">
        <v>0</v>
      </c>
      <c r="N67" s="28">
        <f t="shared" si="23"/>
        <v>0</v>
      </c>
      <c r="O67" s="84">
        <f t="shared" si="24"/>
        <v>0</v>
      </c>
      <c r="P67" s="79">
        <f t="shared" si="25"/>
        <v>0</v>
      </c>
      <c r="Q67" s="34">
        <f t="shared" si="26"/>
        <v>0</v>
      </c>
      <c r="R67" s="1">
        <v>0</v>
      </c>
    </row>
    <row r="68" spans="1:18" ht="24" customHeight="1">
      <c r="A68" s="81">
        <v>20</v>
      </c>
      <c r="B68" s="31" t="s">
        <v>161</v>
      </c>
      <c r="C68" s="17">
        <v>303807</v>
      </c>
      <c r="D68" s="17">
        <v>303881</v>
      </c>
      <c r="E68" s="104">
        <f t="shared" si="19"/>
        <v>74</v>
      </c>
      <c r="F68" s="110">
        <v>25385</v>
      </c>
      <c r="G68" s="116">
        <v>120</v>
      </c>
      <c r="H68" s="10">
        <f t="shared" si="20"/>
        <v>0.6166666666666667</v>
      </c>
      <c r="I68" s="17">
        <v>304013</v>
      </c>
      <c r="J68" s="106">
        <f t="shared" si="21"/>
        <v>132</v>
      </c>
      <c r="K68" s="110">
        <v>25401</v>
      </c>
      <c r="L68" s="107">
        <f t="shared" si="22"/>
        <v>16</v>
      </c>
      <c r="M68" s="111">
        <v>205</v>
      </c>
      <c r="N68" s="28">
        <f t="shared" si="23"/>
        <v>0.64390243902439026</v>
      </c>
      <c r="O68" s="84">
        <f t="shared" si="24"/>
        <v>206</v>
      </c>
      <c r="P68" s="79">
        <f t="shared" si="25"/>
        <v>325</v>
      </c>
      <c r="Q68" s="34">
        <f t="shared" si="26"/>
        <v>0.63384615384615384</v>
      </c>
      <c r="R68" s="1">
        <v>34</v>
      </c>
    </row>
    <row r="69" spans="1:18" ht="24" customHeight="1">
      <c r="A69" s="81">
        <v>21</v>
      </c>
      <c r="B69" s="31" t="s">
        <v>162</v>
      </c>
      <c r="C69" s="17">
        <v>320580</v>
      </c>
      <c r="D69" s="17">
        <v>320672</v>
      </c>
      <c r="E69" s="104">
        <f t="shared" si="19"/>
        <v>92</v>
      </c>
      <c r="F69" s="110">
        <v>26582</v>
      </c>
      <c r="G69" s="111">
        <v>145</v>
      </c>
      <c r="H69" s="10">
        <f t="shared" si="20"/>
        <v>0.6344827586206897</v>
      </c>
      <c r="I69" s="17">
        <v>320819</v>
      </c>
      <c r="J69" s="106">
        <f t="shared" si="21"/>
        <v>147</v>
      </c>
      <c r="K69" s="110">
        <v>26600</v>
      </c>
      <c r="L69" s="107">
        <f t="shared" si="22"/>
        <v>18</v>
      </c>
      <c r="M69" s="111">
        <v>246</v>
      </c>
      <c r="N69" s="28">
        <f t="shared" si="23"/>
        <v>0.59756097560975607</v>
      </c>
      <c r="O69" s="84">
        <f t="shared" si="24"/>
        <v>239</v>
      </c>
      <c r="P69" s="79">
        <f t="shared" si="25"/>
        <v>391</v>
      </c>
      <c r="Q69" s="34">
        <f t="shared" si="26"/>
        <v>0.61125319693094626</v>
      </c>
      <c r="R69" s="1">
        <v>38</v>
      </c>
    </row>
    <row r="70" spans="1:18" ht="24" customHeight="1">
      <c r="A70" s="81">
        <v>22</v>
      </c>
      <c r="B70" s="31" t="s">
        <v>68</v>
      </c>
      <c r="C70" s="17">
        <v>276264</v>
      </c>
      <c r="D70" s="17">
        <v>276325.59999999998</v>
      </c>
      <c r="E70" s="104">
        <f t="shared" si="19"/>
        <v>61.599999999976717</v>
      </c>
      <c r="F70" s="110">
        <v>22423</v>
      </c>
      <c r="G70" s="111">
        <v>104.76</v>
      </c>
      <c r="H70" s="10">
        <f t="shared" si="20"/>
        <v>0.58801069110325233</v>
      </c>
      <c r="I70" s="17">
        <v>276418.40000000002</v>
      </c>
      <c r="J70" s="106">
        <f t="shared" si="21"/>
        <v>92.800000000046566</v>
      </c>
      <c r="K70" s="110">
        <v>22436</v>
      </c>
      <c r="L70" s="107">
        <f t="shared" si="22"/>
        <v>13</v>
      </c>
      <c r="M70" s="112">
        <v>166</v>
      </c>
      <c r="N70" s="28">
        <f t="shared" si="23"/>
        <v>0.55903614457859374</v>
      </c>
      <c r="O70" s="84">
        <f t="shared" si="24"/>
        <v>154.40000000002328</v>
      </c>
      <c r="P70" s="79">
        <f t="shared" si="25"/>
        <v>270.76</v>
      </c>
      <c r="Q70" s="34">
        <f t="shared" si="26"/>
        <v>0.57024671295620954</v>
      </c>
      <c r="R70" s="1">
        <v>21</v>
      </c>
    </row>
    <row r="71" spans="1:18" ht="24" customHeight="1">
      <c r="A71" s="81">
        <v>23</v>
      </c>
      <c r="B71" s="31" t="s">
        <v>69</v>
      </c>
      <c r="C71" s="17">
        <v>258219</v>
      </c>
      <c r="D71" s="17">
        <v>258322.8</v>
      </c>
      <c r="E71" s="104">
        <f t="shared" si="19"/>
        <v>103.79999999998836</v>
      </c>
      <c r="F71" s="110">
        <v>19787</v>
      </c>
      <c r="G71" s="111">
        <v>153</v>
      </c>
      <c r="H71" s="10">
        <f t="shared" si="20"/>
        <v>0.67843137254894348</v>
      </c>
      <c r="I71" s="17">
        <v>258446.1</v>
      </c>
      <c r="J71" s="106">
        <f t="shared" si="21"/>
        <v>123.30000000001746</v>
      </c>
      <c r="K71" s="110">
        <v>19805</v>
      </c>
      <c r="L71" s="107">
        <f t="shared" si="22"/>
        <v>18</v>
      </c>
      <c r="M71" s="112">
        <v>166</v>
      </c>
      <c r="N71" s="28">
        <f t="shared" si="23"/>
        <v>0.74277108433745465</v>
      </c>
      <c r="O71" s="84">
        <f t="shared" si="24"/>
        <v>227.10000000000582</v>
      </c>
      <c r="P71" s="79">
        <f t="shared" si="25"/>
        <v>319</v>
      </c>
      <c r="Q71" s="34">
        <f t="shared" si="26"/>
        <v>0.7119122257053474</v>
      </c>
      <c r="R71" s="1">
        <v>35</v>
      </c>
    </row>
    <row r="72" spans="1:18" ht="24" customHeight="1">
      <c r="A72" s="81">
        <v>24</v>
      </c>
      <c r="B72" s="31" t="s">
        <v>70</v>
      </c>
      <c r="C72" s="104">
        <v>302552.2</v>
      </c>
      <c r="D72" s="104">
        <v>302661.8</v>
      </c>
      <c r="E72" s="104">
        <f t="shared" si="19"/>
        <v>109.59999999997672</v>
      </c>
      <c r="F72" s="110">
        <v>4952</v>
      </c>
      <c r="G72" s="111">
        <v>167</v>
      </c>
      <c r="H72" s="10">
        <f t="shared" si="20"/>
        <v>0.65628742514956118</v>
      </c>
      <c r="I72" s="104">
        <v>302719.59999999998</v>
      </c>
      <c r="J72" s="106">
        <f t="shared" si="21"/>
        <v>57.799999999988358</v>
      </c>
      <c r="K72" s="110">
        <v>4970</v>
      </c>
      <c r="L72" s="107">
        <f t="shared" si="22"/>
        <v>18</v>
      </c>
      <c r="M72" s="111">
        <v>90</v>
      </c>
      <c r="N72" s="28">
        <f t="shared" si="23"/>
        <v>0.64222222222209291</v>
      </c>
      <c r="O72" s="84">
        <f t="shared" si="24"/>
        <v>167.39999999996508</v>
      </c>
      <c r="P72" s="79">
        <f t="shared" si="25"/>
        <v>257</v>
      </c>
      <c r="Q72" s="34">
        <f t="shared" si="26"/>
        <v>0.65136186770414428</v>
      </c>
      <c r="R72" s="1">
        <v>45</v>
      </c>
    </row>
    <row r="73" spans="1:18" ht="24" customHeight="1">
      <c r="A73" s="81">
        <v>25</v>
      </c>
      <c r="B73" s="31" t="s">
        <v>71</v>
      </c>
      <c r="C73" s="35">
        <v>312903.09999999998</v>
      </c>
      <c r="D73" s="35">
        <v>312996.2</v>
      </c>
      <c r="E73" s="104">
        <f t="shared" si="19"/>
        <v>93.100000000034925</v>
      </c>
      <c r="F73" s="110">
        <v>22876</v>
      </c>
      <c r="G73" s="111">
        <v>147</v>
      </c>
      <c r="H73" s="10">
        <f t="shared" si="20"/>
        <v>0.63333333333357089</v>
      </c>
      <c r="I73" s="35">
        <v>313044.2</v>
      </c>
      <c r="J73" s="106">
        <f t="shared" si="21"/>
        <v>48</v>
      </c>
      <c r="K73" s="110">
        <v>22892</v>
      </c>
      <c r="L73" s="107">
        <f t="shared" si="22"/>
        <v>16</v>
      </c>
      <c r="M73" s="111">
        <v>110</v>
      </c>
      <c r="N73" s="28">
        <f>IFERROR(J73/M73,0)</f>
        <v>0.43636363636363634</v>
      </c>
      <c r="O73" s="84">
        <f t="shared" si="24"/>
        <v>141.10000000003492</v>
      </c>
      <c r="P73" s="79">
        <f>G73+M73</f>
        <v>257</v>
      </c>
      <c r="Q73" s="34">
        <f t="shared" si="26"/>
        <v>0.54902723735422154</v>
      </c>
      <c r="R73" s="1">
        <v>48</v>
      </c>
    </row>
    <row r="74" spans="1:18" ht="24" customHeight="1">
      <c r="A74" s="81">
        <v>26</v>
      </c>
      <c r="B74" s="31" t="s">
        <v>72</v>
      </c>
      <c r="C74" s="35">
        <v>283244.3</v>
      </c>
      <c r="D74" s="35">
        <v>283244.3</v>
      </c>
      <c r="E74" s="104">
        <f t="shared" si="19"/>
        <v>0</v>
      </c>
      <c r="F74" s="110">
        <v>20481</v>
      </c>
      <c r="G74" s="111">
        <v>0</v>
      </c>
      <c r="H74" s="10">
        <f t="shared" si="20"/>
        <v>0</v>
      </c>
      <c r="I74" s="35">
        <v>283292.79999999999</v>
      </c>
      <c r="J74" s="106">
        <f t="shared" si="21"/>
        <v>48.5</v>
      </c>
      <c r="K74" s="110">
        <v>20489</v>
      </c>
      <c r="L74" s="107">
        <f t="shared" si="22"/>
        <v>8</v>
      </c>
      <c r="M74" s="112">
        <v>122</v>
      </c>
      <c r="N74" s="28">
        <f t="shared" si="23"/>
        <v>0.39754098360655737</v>
      </c>
      <c r="O74" s="84">
        <f t="shared" si="24"/>
        <v>48.5</v>
      </c>
      <c r="P74" s="79">
        <f t="shared" si="25"/>
        <v>122</v>
      </c>
      <c r="Q74" s="34">
        <f t="shared" si="26"/>
        <v>0.39754098360655737</v>
      </c>
      <c r="R74" s="1">
        <v>27</v>
      </c>
    </row>
    <row r="75" spans="1:18" ht="24" customHeight="1">
      <c r="A75" s="81">
        <v>27</v>
      </c>
      <c r="B75" s="31" t="s">
        <v>73</v>
      </c>
      <c r="C75" s="104">
        <v>311348.3</v>
      </c>
      <c r="D75" s="104">
        <v>311471.59999999998</v>
      </c>
      <c r="E75" s="104">
        <f t="shared" si="19"/>
        <v>123.29999999998836</v>
      </c>
      <c r="F75" s="110">
        <v>22594</v>
      </c>
      <c r="G75" s="111">
        <v>212.74</v>
      </c>
      <c r="H75" s="10">
        <f t="shared" si="20"/>
        <v>0.57958070884642454</v>
      </c>
      <c r="I75" s="104">
        <v>311618.2</v>
      </c>
      <c r="J75" s="106">
        <f t="shared" si="21"/>
        <v>146.60000000003492</v>
      </c>
      <c r="K75" s="110">
        <v>22614</v>
      </c>
      <c r="L75" s="107">
        <f t="shared" si="22"/>
        <v>20</v>
      </c>
      <c r="M75" s="112">
        <v>223</v>
      </c>
      <c r="N75" s="28">
        <f t="shared" si="23"/>
        <v>0.65739910313917005</v>
      </c>
      <c r="O75" s="84">
        <f t="shared" si="24"/>
        <v>269.90000000002328</v>
      </c>
      <c r="P75" s="79">
        <f t="shared" si="25"/>
        <v>435.74</v>
      </c>
      <c r="Q75" s="34">
        <f t="shared" si="26"/>
        <v>0.6194060678386728</v>
      </c>
      <c r="R75" s="1">
        <v>48</v>
      </c>
    </row>
    <row r="76" spans="1:18" ht="24" customHeight="1">
      <c r="A76" s="81">
        <v>28</v>
      </c>
      <c r="B76" s="31" t="s">
        <v>74</v>
      </c>
      <c r="C76" s="35">
        <v>281720.09999999998</v>
      </c>
      <c r="D76" s="35">
        <v>281814.5</v>
      </c>
      <c r="E76" s="104">
        <f t="shared" si="19"/>
        <v>94.400000000023283</v>
      </c>
      <c r="F76" s="110">
        <v>4125</v>
      </c>
      <c r="G76" s="111">
        <v>158.71</v>
      </c>
      <c r="H76" s="10">
        <f t="shared" si="20"/>
        <v>0.59479553903360394</v>
      </c>
      <c r="I76" s="35">
        <v>281866.8</v>
      </c>
      <c r="J76" s="106">
        <f t="shared" si="21"/>
        <v>52.299999999988358</v>
      </c>
      <c r="K76" s="110">
        <v>4143</v>
      </c>
      <c r="L76" s="107">
        <f>K76-F76</f>
        <v>18</v>
      </c>
      <c r="M76" s="111">
        <v>110</v>
      </c>
      <c r="N76" s="28">
        <f t="shared" si="23"/>
        <v>0.4754545454544396</v>
      </c>
      <c r="O76" s="84">
        <f t="shared" si="24"/>
        <v>146.70000000001164</v>
      </c>
      <c r="P76" s="79">
        <f t="shared" si="25"/>
        <v>268.71000000000004</v>
      </c>
      <c r="Q76" s="34">
        <f t="shared" si="26"/>
        <v>0.54594172155860077</v>
      </c>
      <c r="R76" s="1">
        <v>51</v>
      </c>
    </row>
    <row r="77" spans="1:18" ht="24" customHeight="1">
      <c r="A77" s="81">
        <v>29</v>
      </c>
      <c r="B77" s="31" t="s">
        <v>75</v>
      </c>
      <c r="C77" s="104">
        <v>299534.09999999998</v>
      </c>
      <c r="D77" s="104">
        <v>299614.3</v>
      </c>
      <c r="E77" s="104">
        <f t="shared" si="19"/>
        <v>80.200000000011642</v>
      </c>
      <c r="F77" s="110">
        <v>21547</v>
      </c>
      <c r="G77" s="111">
        <v>100</v>
      </c>
      <c r="H77" s="10">
        <f t="shared" si="20"/>
        <v>0.8020000000001164</v>
      </c>
      <c r="I77" s="104">
        <v>299686.7</v>
      </c>
      <c r="J77" s="106">
        <f t="shared" si="21"/>
        <v>72.400000000023283</v>
      </c>
      <c r="K77" s="110">
        <v>21565</v>
      </c>
      <c r="L77" s="107">
        <f t="shared" si="22"/>
        <v>18</v>
      </c>
      <c r="M77" s="112">
        <v>146</v>
      </c>
      <c r="N77" s="28">
        <f t="shared" si="23"/>
        <v>0.49589041095906361</v>
      </c>
      <c r="O77" s="84">
        <f t="shared" si="24"/>
        <v>152.60000000003492</v>
      </c>
      <c r="P77" s="79">
        <f t="shared" si="25"/>
        <v>246</v>
      </c>
      <c r="Q77" s="34">
        <f t="shared" si="26"/>
        <v>0.62032520325217444</v>
      </c>
      <c r="R77" s="1">
        <v>43</v>
      </c>
    </row>
    <row r="78" spans="1:18" ht="24" customHeight="1">
      <c r="A78" s="81">
        <v>30</v>
      </c>
      <c r="B78" s="31" t="s">
        <v>76</v>
      </c>
      <c r="C78" s="104">
        <v>264223.7</v>
      </c>
      <c r="D78" s="104">
        <v>264371.59999999998</v>
      </c>
      <c r="E78" s="104">
        <f t="shared" si="19"/>
        <v>147.89999999996508</v>
      </c>
      <c r="F78" s="110">
        <v>19484</v>
      </c>
      <c r="G78" s="111">
        <v>250</v>
      </c>
      <c r="H78" s="10">
        <f t="shared" si="20"/>
        <v>0.59159999999986035</v>
      </c>
      <c r="I78" s="104">
        <v>264431.3</v>
      </c>
      <c r="J78" s="106">
        <f t="shared" si="21"/>
        <v>59.700000000011642</v>
      </c>
      <c r="K78" s="110">
        <v>19506</v>
      </c>
      <c r="L78" s="107">
        <f t="shared" si="22"/>
        <v>22</v>
      </c>
      <c r="M78" s="111">
        <v>93</v>
      </c>
      <c r="N78" s="28">
        <f t="shared" si="23"/>
        <v>0.64193548387109289</v>
      </c>
      <c r="O78" s="84">
        <f t="shared" si="24"/>
        <v>207.59999999997672</v>
      </c>
      <c r="P78" s="79">
        <f t="shared" si="25"/>
        <v>343</v>
      </c>
      <c r="Q78" s="34">
        <f t="shared" si="26"/>
        <v>0.60524781341101086</v>
      </c>
      <c r="R78" s="1">
        <v>56</v>
      </c>
    </row>
    <row r="79" spans="1:18" ht="24" customHeight="1">
      <c r="A79" s="81">
        <v>31</v>
      </c>
      <c r="B79" s="31" t="s">
        <v>77</v>
      </c>
      <c r="C79" s="83">
        <v>262435.7</v>
      </c>
      <c r="D79" s="83">
        <v>262522.09999999998</v>
      </c>
      <c r="E79" s="104">
        <f t="shared" si="19"/>
        <v>86.399999999965075</v>
      </c>
      <c r="F79" s="110">
        <v>19198</v>
      </c>
      <c r="G79" s="111">
        <v>133</v>
      </c>
      <c r="H79" s="10">
        <f t="shared" si="20"/>
        <v>0.64962406015011331</v>
      </c>
      <c r="I79" s="83">
        <v>262555.40000000002</v>
      </c>
      <c r="J79" s="106">
        <f t="shared" si="21"/>
        <v>33.300000000046566</v>
      </c>
      <c r="K79" s="110">
        <v>19210</v>
      </c>
      <c r="L79" s="107">
        <f>K79-F79</f>
        <v>12</v>
      </c>
      <c r="M79" s="111">
        <v>45</v>
      </c>
      <c r="N79" s="28">
        <f t="shared" si="23"/>
        <v>0.74000000000103483</v>
      </c>
      <c r="O79" s="84">
        <f t="shared" si="24"/>
        <v>119.70000000001164</v>
      </c>
      <c r="P79" s="79">
        <f t="shared" si="25"/>
        <v>178</v>
      </c>
      <c r="Q79" s="34">
        <f t="shared" si="26"/>
        <v>0.67247191011242491</v>
      </c>
      <c r="R79" s="1">
        <v>45</v>
      </c>
    </row>
    <row r="80" spans="1:18" ht="24" customHeight="1">
      <c r="A80" s="81">
        <v>32</v>
      </c>
      <c r="B80" s="31" t="s">
        <v>78</v>
      </c>
      <c r="C80" s="104">
        <v>288219.5</v>
      </c>
      <c r="D80" s="104">
        <v>288280.90000000002</v>
      </c>
      <c r="E80" s="104">
        <f t="shared" si="19"/>
        <v>61.400000000023283</v>
      </c>
      <c r="F80" s="110">
        <v>20790</v>
      </c>
      <c r="G80" s="111">
        <v>99.38</v>
      </c>
      <c r="H80" s="10">
        <f t="shared" si="20"/>
        <v>0.61783054940655346</v>
      </c>
      <c r="I80" s="104">
        <v>288370</v>
      </c>
      <c r="J80" s="106">
        <f t="shared" si="21"/>
        <v>89.099999999976717</v>
      </c>
      <c r="K80" s="110">
        <v>20804</v>
      </c>
      <c r="L80" s="107">
        <f t="shared" si="22"/>
        <v>14</v>
      </c>
      <c r="M80" s="111">
        <v>132</v>
      </c>
      <c r="N80" s="28">
        <f t="shared" si="23"/>
        <v>0.67499999999982363</v>
      </c>
      <c r="O80" s="84">
        <f t="shared" si="24"/>
        <v>150.5</v>
      </c>
      <c r="P80" s="79">
        <f t="shared" si="25"/>
        <v>231.38</v>
      </c>
      <c r="Q80" s="34">
        <f t="shared" si="26"/>
        <v>0.65044515515602042</v>
      </c>
      <c r="R80" s="1">
        <v>49</v>
      </c>
    </row>
    <row r="81" spans="1:19" ht="24" customHeight="1">
      <c r="A81" s="81">
        <v>33</v>
      </c>
      <c r="B81" s="31" t="s">
        <v>79</v>
      </c>
      <c r="C81" s="104">
        <v>302925.8</v>
      </c>
      <c r="D81" s="104">
        <v>302979.3</v>
      </c>
      <c r="E81" s="104">
        <f t="shared" si="19"/>
        <v>53.5</v>
      </c>
      <c r="F81" s="110">
        <v>21520</v>
      </c>
      <c r="G81" s="111">
        <v>104</v>
      </c>
      <c r="H81" s="10">
        <f t="shared" si="20"/>
        <v>0.51442307692307687</v>
      </c>
      <c r="I81" s="104">
        <v>303054.90000000002</v>
      </c>
      <c r="J81" s="106">
        <f t="shared" si="21"/>
        <v>75.600000000034925</v>
      </c>
      <c r="K81" s="110">
        <v>21534</v>
      </c>
      <c r="L81" s="107">
        <f t="shared" si="22"/>
        <v>14</v>
      </c>
      <c r="M81" s="111">
        <v>121</v>
      </c>
      <c r="N81" s="28">
        <f t="shared" si="23"/>
        <v>0.62479338843004073</v>
      </c>
      <c r="O81" s="84">
        <f t="shared" si="24"/>
        <v>129.10000000003492</v>
      </c>
      <c r="P81" s="79">
        <f t="shared" si="25"/>
        <v>225</v>
      </c>
      <c r="Q81" s="34">
        <f t="shared" si="26"/>
        <v>0.57377777777793304</v>
      </c>
      <c r="R81" s="1">
        <v>46</v>
      </c>
    </row>
    <row r="82" spans="1:19" ht="24" customHeight="1">
      <c r="A82" s="81">
        <v>34</v>
      </c>
      <c r="B82" s="31" t="s">
        <v>163</v>
      </c>
      <c r="C82" s="104">
        <v>243783.3</v>
      </c>
      <c r="D82" s="104">
        <v>243872.7</v>
      </c>
      <c r="E82" s="104">
        <f t="shared" si="19"/>
        <v>89.400000000023283</v>
      </c>
      <c r="F82" s="110">
        <v>18198</v>
      </c>
      <c r="G82" s="111">
        <v>142.05000000000001</v>
      </c>
      <c r="H82" s="10">
        <f t="shared" si="20"/>
        <v>0.62935586061262427</v>
      </c>
      <c r="I82" s="104">
        <v>244017.3</v>
      </c>
      <c r="J82" s="106">
        <f t="shared" si="21"/>
        <v>144.59999999997672</v>
      </c>
      <c r="K82" s="110">
        <v>18216</v>
      </c>
      <c r="L82" s="107">
        <f t="shared" si="22"/>
        <v>18</v>
      </c>
      <c r="M82" s="111">
        <v>189</v>
      </c>
      <c r="N82" s="28">
        <f t="shared" si="23"/>
        <v>0.7650793650792419</v>
      </c>
      <c r="O82" s="84">
        <f t="shared" si="24"/>
        <v>234</v>
      </c>
      <c r="P82" s="79">
        <f t="shared" si="25"/>
        <v>331.05</v>
      </c>
      <c r="Q82" s="34">
        <f t="shared" si="26"/>
        <v>0.70684186678749428</v>
      </c>
      <c r="R82" s="1">
        <v>45</v>
      </c>
    </row>
    <row r="83" spans="1:19" ht="24" customHeight="1">
      <c r="A83" s="81">
        <v>35</v>
      </c>
      <c r="B83" s="31" t="s">
        <v>164</v>
      </c>
      <c r="C83" s="104">
        <v>243329.5</v>
      </c>
      <c r="D83" s="104">
        <v>243439.2</v>
      </c>
      <c r="E83" s="104">
        <f t="shared" si="19"/>
        <v>109.70000000001164</v>
      </c>
      <c r="F83" s="110">
        <v>18175</v>
      </c>
      <c r="G83" s="111">
        <v>187</v>
      </c>
      <c r="H83" s="10">
        <f t="shared" si="20"/>
        <v>0.58663101604284296</v>
      </c>
      <c r="I83" s="104">
        <v>243490.2</v>
      </c>
      <c r="J83" s="106">
        <f t="shared" si="21"/>
        <v>51</v>
      </c>
      <c r="K83" s="110">
        <v>18191</v>
      </c>
      <c r="L83" s="107">
        <f t="shared" si="22"/>
        <v>16</v>
      </c>
      <c r="M83" s="111">
        <v>83</v>
      </c>
      <c r="N83" s="28">
        <f t="shared" si="23"/>
        <v>0.61445783132530118</v>
      </c>
      <c r="O83" s="84">
        <f t="shared" si="24"/>
        <v>160.70000000001164</v>
      </c>
      <c r="P83" s="79">
        <f t="shared" si="25"/>
        <v>270</v>
      </c>
      <c r="Q83" s="34">
        <f t="shared" si="26"/>
        <v>0.59518518518522834</v>
      </c>
      <c r="R83" s="1">
        <v>27</v>
      </c>
    </row>
    <row r="84" spans="1:19" ht="24" customHeight="1">
      <c r="A84" s="81">
        <v>36</v>
      </c>
      <c r="B84" s="31" t="s">
        <v>165</v>
      </c>
      <c r="C84" s="104">
        <v>250175.5</v>
      </c>
      <c r="D84" s="104">
        <v>250278</v>
      </c>
      <c r="E84" s="104">
        <f t="shared" si="19"/>
        <v>102.5</v>
      </c>
      <c r="F84" s="110">
        <v>17806</v>
      </c>
      <c r="G84" s="111">
        <v>159</v>
      </c>
      <c r="H84" s="10">
        <f t="shared" si="20"/>
        <v>0.64465408805031443</v>
      </c>
      <c r="I84" s="104">
        <v>250360.3</v>
      </c>
      <c r="J84" s="106">
        <f t="shared" si="21"/>
        <v>82.299999999988358</v>
      </c>
      <c r="K84" s="110">
        <v>17824</v>
      </c>
      <c r="L84" s="107">
        <f t="shared" si="22"/>
        <v>18</v>
      </c>
      <c r="M84" s="112">
        <v>130</v>
      </c>
      <c r="N84" s="28">
        <f t="shared" si="23"/>
        <v>0.6330769230768335</v>
      </c>
      <c r="O84" s="84">
        <f t="shared" si="24"/>
        <v>184.79999999998836</v>
      </c>
      <c r="P84" s="79">
        <f t="shared" si="25"/>
        <v>289</v>
      </c>
      <c r="Q84" s="34">
        <f t="shared" si="26"/>
        <v>0.63944636678196665</v>
      </c>
      <c r="R84" s="1">
        <v>26</v>
      </c>
    </row>
    <row r="85" spans="1:19" ht="24" customHeight="1">
      <c r="A85" s="81">
        <v>37</v>
      </c>
      <c r="B85" s="31" t="s">
        <v>83</v>
      </c>
      <c r="C85" s="104">
        <v>258749.7</v>
      </c>
      <c r="D85" s="104">
        <v>258829</v>
      </c>
      <c r="E85" s="104">
        <f t="shared" si="19"/>
        <v>79.299999999988358</v>
      </c>
      <c r="F85" s="110">
        <v>18338</v>
      </c>
      <c r="G85" s="111">
        <v>126</v>
      </c>
      <c r="H85" s="10">
        <f t="shared" si="20"/>
        <v>0.62936507936498698</v>
      </c>
      <c r="I85" s="104">
        <v>258930.4</v>
      </c>
      <c r="J85" s="106">
        <f t="shared" si="21"/>
        <v>101.39999999999418</v>
      </c>
      <c r="K85" s="110">
        <v>18353</v>
      </c>
      <c r="L85" s="107">
        <f t="shared" si="22"/>
        <v>15</v>
      </c>
      <c r="M85" s="112">
        <v>142</v>
      </c>
      <c r="N85" s="28">
        <f t="shared" si="23"/>
        <v>0.71408450704221249</v>
      </c>
      <c r="O85" s="84">
        <f t="shared" si="24"/>
        <v>180.69999999998254</v>
      </c>
      <c r="P85" s="79">
        <f t="shared" si="25"/>
        <v>268</v>
      </c>
      <c r="Q85" s="34">
        <f t="shared" si="26"/>
        <v>0.67425373134321842</v>
      </c>
      <c r="R85" s="1">
        <v>36</v>
      </c>
    </row>
    <row r="86" spans="1:19" ht="24" customHeight="1">
      <c r="A86" s="81">
        <v>38</v>
      </c>
      <c r="B86" s="31" t="s">
        <v>84</v>
      </c>
      <c r="C86" s="104">
        <v>270075.8</v>
      </c>
      <c r="D86" s="104">
        <v>270173.09999999998</v>
      </c>
      <c r="E86" s="104">
        <f t="shared" si="19"/>
        <v>97.299999999988358</v>
      </c>
      <c r="F86" s="110">
        <v>17697</v>
      </c>
      <c r="G86" s="111">
        <v>142.76</v>
      </c>
      <c r="H86" s="10">
        <f t="shared" si="20"/>
        <v>0.68156346315486382</v>
      </c>
      <c r="I86" s="104">
        <v>270304.59999999998</v>
      </c>
      <c r="J86" s="106">
        <f t="shared" si="21"/>
        <v>131.5</v>
      </c>
      <c r="K86" s="110">
        <v>17715</v>
      </c>
      <c r="L86" s="107">
        <f t="shared" si="22"/>
        <v>18</v>
      </c>
      <c r="M86" s="112">
        <v>188</v>
      </c>
      <c r="N86" s="28">
        <f t="shared" si="23"/>
        <v>0.69946808510638303</v>
      </c>
      <c r="O86" s="84">
        <f t="shared" si="24"/>
        <v>228.79999999998836</v>
      </c>
      <c r="P86" s="79">
        <f t="shared" si="25"/>
        <v>330.76</v>
      </c>
      <c r="Q86" s="34">
        <f t="shared" si="26"/>
        <v>0.6917402346111633</v>
      </c>
      <c r="R86" s="1">
        <v>35</v>
      </c>
    </row>
    <row r="87" spans="1:19" ht="24" customHeight="1">
      <c r="A87" s="81">
        <v>39</v>
      </c>
      <c r="B87" s="31" t="s">
        <v>85</v>
      </c>
      <c r="C87" s="35">
        <v>278197.40000000002</v>
      </c>
      <c r="D87" s="35">
        <v>278292.40000000002</v>
      </c>
      <c r="E87" s="104">
        <f t="shared" si="19"/>
        <v>95</v>
      </c>
      <c r="F87" s="110">
        <v>19619</v>
      </c>
      <c r="G87" s="111">
        <v>134</v>
      </c>
      <c r="H87" s="10">
        <f t="shared" si="20"/>
        <v>0.70895522388059706</v>
      </c>
      <c r="I87" s="35">
        <v>278392.3</v>
      </c>
      <c r="J87" s="106">
        <f t="shared" si="21"/>
        <v>99.899999999965075</v>
      </c>
      <c r="K87" s="110">
        <v>19638</v>
      </c>
      <c r="L87" s="107">
        <f t="shared" si="22"/>
        <v>19</v>
      </c>
      <c r="M87" s="112">
        <v>152</v>
      </c>
      <c r="N87" s="28">
        <f t="shared" si="23"/>
        <v>0.65723684210503341</v>
      </c>
      <c r="O87" s="84">
        <f t="shared" si="24"/>
        <v>194.89999999996508</v>
      </c>
      <c r="P87" s="79">
        <f t="shared" si="25"/>
        <v>286</v>
      </c>
      <c r="Q87" s="34">
        <f t="shared" si="26"/>
        <v>0.68146853146840936</v>
      </c>
      <c r="R87" s="1">
        <v>52</v>
      </c>
    </row>
    <row r="88" spans="1:19" ht="24" customHeight="1">
      <c r="A88" s="81">
        <v>40</v>
      </c>
      <c r="B88" s="31" t="s">
        <v>86</v>
      </c>
      <c r="C88" s="104">
        <v>249117.6</v>
      </c>
      <c r="D88" s="104">
        <v>249230.9</v>
      </c>
      <c r="E88" s="104">
        <f t="shared" si="19"/>
        <v>113.29999999998836</v>
      </c>
      <c r="F88" s="110">
        <v>17687</v>
      </c>
      <c r="G88" s="111">
        <v>176.64</v>
      </c>
      <c r="H88" s="10">
        <f t="shared" si="20"/>
        <v>0.64141757246370223</v>
      </c>
      <c r="I88" s="104">
        <v>249324</v>
      </c>
      <c r="J88" s="106">
        <f t="shared" si="21"/>
        <v>93.100000000005821</v>
      </c>
      <c r="K88" s="110">
        <v>17706</v>
      </c>
      <c r="L88" s="107">
        <f t="shared" si="22"/>
        <v>19</v>
      </c>
      <c r="M88" s="112">
        <v>150</v>
      </c>
      <c r="N88" s="28">
        <f t="shared" si="23"/>
        <v>0.62066666666670545</v>
      </c>
      <c r="O88" s="84">
        <f t="shared" si="24"/>
        <v>206.39999999999418</v>
      </c>
      <c r="P88" s="79">
        <f t="shared" si="25"/>
        <v>326.64</v>
      </c>
      <c r="Q88" s="34">
        <f t="shared" si="26"/>
        <v>0.63188831741364859</v>
      </c>
      <c r="R88" s="1">
        <v>46</v>
      </c>
    </row>
    <row r="89" spans="1:19" ht="24" customHeight="1">
      <c r="A89" s="81">
        <v>41</v>
      </c>
      <c r="B89" s="31" t="s">
        <v>87</v>
      </c>
      <c r="C89" s="104">
        <v>277846.7</v>
      </c>
      <c r="D89" s="104">
        <v>277907.5</v>
      </c>
      <c r="E89" s="104">
        <f t="shared" si="19"/>
        <v>60.799999999988358</v>
      </c>
      <c r="F89" s="110">
        <v>19176</v>
      </c>
      <c r="G89" s="111">
        <v>90</v>
      </c>
      <c r="H89" s="10">
        <f t="shared" si="20"/>
        <v>0.67555555555542623</v>
      </c>
      <c r="I89" s="104">
        <v>277990.59999999998</v>
      </c>
      <c r="J89" s="106">
        <f t="shared" si="21"/>
        <v>83.099999999976717</v>
      </c>
      <c r="K89" s="110">
        <v>19191</v>
      </c>
      <c r="L89" s="107">
        <f t="shared" si="22"/>
        <v>15</v>
      </c>
      <c r="M89" s="111">
        <v>131</v>
      </c>
      <c r="N89" s="28">
        <f t="shared" si="23"/>
        <v>0.63435114503799017</v>
      </c>
      <c r="O89" s="84">
        <f t="shared" si="24"/>
        <v>143.89999999996508</v>
      </c>
      <c r="P89" s="79">
        <f t="shared" si="25"/>
        <v>221</v>
      </c>
      <c r="Q89" s="34">
        <f t="shared" si="26"/>
        <v>0.65113122171929894</v>
      </c>
      <c r="R89" s="1">
        <v>18</v>
      </c>
    </row>
    <row r="90" spans="1:19" ht="24" customHeight="1">
      <c r="A90" s="81">
        <v>42</v>
      </c>
      <c r="B90" s="31" t="s">
        <v>88</v>
      </c>
      <c r="C90" s="104">
        <v>273765.7</v>
      </c>
      <c r="D90" s="104">
        <v>273843.8</v>
      </c>
      <c r="E90" s="104">
        <f t="shared" si="19"/>
        <v>78.099999999976717</v>
      </c>
      <c r="F90" s="110">
        <v>18561</v>
      </c>
      <c r="G90" s="111">
        <v>116.18</v>
      </c>
      <c r="H90" s="10">
        <f t="shared" si="20"/>
        <v>0.67223274229623609</v>
      </c>
      <c r="I90" s="104">
        <v>273954.8</v>
      </c>
      <c r="J90" s="106">
        <f t="shared" si="21"/>
        <v>111</v>
      </c>
      <c r="K90" s="110">
        <v>18580</v>
      </c>
      <c r="L90" s="107">
        <f t="shared" si="22"/>
        <v>19</v>
      </c>
      <c r="M90" s="111">
        <v>170</v>
      </c>
      <c r="N90" s="28">
        <f t="shared" si="23"/>
        <v>0.65294117647058825</v>
      </c>
      <c r="O90" s="84">
        <f t="shared" si="24"/>
        <v>189.09999999997672</v>
      </c>
      <c r="P90" s="79">
        <f t="shared" si="25"/>
        <v>286.18</v>
      </c>
      <c r="Q90" s="34">
        <f t="shared" si="26"/>
        <v>0.66077294010754317</v>
      </c>
      <c r="R90" s="1">
        <v>37</v>
      </c>
    </row>
    <row r="91" spans="1:19" ht="24" customHeight="1">
      <c r="A91" s="81">
        <v>43</v>
      </c>
      <c r="B91" s="31" t="s">
        <v>89</v>
      </c>
      <c r="C91" s="35">
        <v>266164.2</v>
      </c>
      <c r="D91" s="35">
        <v>266248.59999999998</v>
      </c>
      <c r="E91" s="104">
        <f t="shared" si="19"/>
        <v>84.399999999965075</v>
      </c>
      <c r="F91" s="110">
        <v>18223</v>
      </c>
      <c r="G91" s="111">
        <v>107.11</v>
      </c>
      <c r="H91" s="10">
        <f t="shared" si="20"/>
        <v>0.78797497899323199</v>
      </c>
      <c r="I91" s="35">
        <v>266386.7</v>
      </c>
      <c r="J91" s="106">
        <f t="shared" si="21"/>
        <v>138.10000000003492</v>
      </c>
      <c r="K91" s="110">
        <v>18239</v>
      </c>
      <c r="L91" s="107">
        <f t="shared" si="22"/>
        <v>16</v>
      </c>
      <c r="M91" s="111">
        <v>192</v>
      </c>
      <c r="N91" s="28">
        <f t="shared" si="23"/>
        <v>0.71927083333351527</v>
      </c>
      <c r="O91" s="84">
        <f t="shared" si="24"/>
        <v>222.5</v>
      </c>
      <c r="P91" s="79">
        <f t="shared" si="25"/>
        <v>299.11</v>
      </c>
      <c r="Q91" s="34">
        <f t="shared" si="26"/>
        <v>0.74387349135769443</v>
      </c>
      <c r="R91" s="1">
        <v>33</v>
      </c>
    </row>
    <row r="92" spans="1:19" ht="24" customHeight="1">
      <c r="A92" s="81">
        <v>44</v>
      </c>
      <c r="B92" s="31" t="s">
        <v>90</v>
      </c>
      <c r="C92" s="104">
        <v>243550.8</v>
      </c>
      <c r="D92" s="104">
        <v>243615</v>
      </c>
      <c r="E92" s="104">
        <f t="shared" si="19"/>
        <v>64.200000000011642</v>
      </c>
      <c r="F92" s="110">
        <v>17546</v>
      </c>
      <c r="G92" s="111">
        <v>99</v>
      </c>
      <c r="H92" s="10">
        <f>IFERROR(E92/G92,0)</f>
        <v>0.64848484848496613</v>
      </c>
      <c r="I92" s="104">
        <v>243731.9</v>
      </c>
      <c r="J92" s="106">
        <f t="shared" si="21"/>
        <v>116.89999999999418</v>
      </c>
      <c r="K92" s="110">
        <v>17561</v>
      </c>
      <c r="L92" s="107">
        <f t="shared" si="22"/>
        <v>15</v>
      </c>
      <c r="M92" s="111">
        <v>174</v>
      </c>
      <c r="N92" s="28">
        <f t="shared" si="23"/>
        <v>0.67183908045973662</v>
      </c>
      <c r="O92" s="84">
        <f t="shared" si="24"/>
        <v>181.10000000000582</v>
      </c>
      <c r="P92" s="79">
        <f t="shared" si="25"/>
        <v>273</v>
      </c>
      <c r="Q92" s="34">
        <f t="shared" si="26"/>
        <v>0.66336996336998466</v>
      </c>
      <c r="R92" s="1">
        <v>32</v>
      </c>
    </row>
    <row r="93" spans="1:19" ht="24" customHeight="1">
      <c r="A93" s="81">
        <v>45</v>
      </c>
      <c r="B93" s="31" t="s">
        <v>91</v>
      </c>
      <c r="C93" s="104">
        <v>254153.9</v>
      </c>
      <c r="D93" s="104">
        <v>254153.9</v>
      </c>
      <c r="E93" s="104">
        <f t="shared" si="19"/>
        <v>0</v>
      </c>
      <c r="F93" s="110">
        <v>17731</v>
      </c>
      <c r="G93" s="111">
        <v>0</v>
      </c>
      <c r="H93" s="10">
        <f t="shared" si="20"/>
        <v>0</v>
      </c>
      <c r="I93" s="104">
        <v>254153.9</v>
      </c>
      <c r="J93" s="106">
        <f t="shared" si="21"/>
        <v>0</v>
      </c>
      <c r="K93" s="110">
        <v>17731</v>
      </c>
      <c r="L93" s="107">
        <f t="shared" si="22"/>
        <v>0</v>
      </c>
      <c r="M93" s="111">
        <v>0</v>
      </c>
      <c r="N93" s="28">
        <f t="shared" si="23"/>
        <v>0</v>
      </c>
      <c r="O93" s="84">
        <f t="shared" si="24"/>
        <v>0</v>
      </c>
      <c r="P93" s="79">
        <f t="shared" si="25"/>
        <v>0</v>
      </c>
      <c r="Q93" s="34">
        <f t="shared" si="26"/>
        <v>0</v>
      </c>
      <c r="R93" s="1">
        <v>0</v>
      </c>
    </row>
    <row r="94" spans="1:19" ht="24" customHeight="1">
      <c r="A94" s="81">
        <v>46</v>
      </c>
      <c r="B94" s="31" t="s">
        <v>92</v>
      </c>
      <c r="C94" s="35">
        <v>237553</v>
      </c>
      <c r="D94" s="35">
        <v>237637.9</v>
      </c>
      <c r="E94" s="104">
        <f>D94-C94</f>
        <v>84.899999999994179</v>
      </c>
      <c r="F94" s="110">
        <v>17187</v>
      </c>
      <c r="G94" s="111">
        <v>139.47</v>
      </c>
      <c r="H94" s="10">
        <f t="shared" si="20"/>
        <v>0.6087330608732644</v>
      </c>
      <c r="I94" s="35">
        <v>237739.8</v>
      </c>
      <c r="J94" s="106">
        <f>I94-D94</f>
        <v>101.89999999999418</v>
      </c>
      <c r="K94" s="110">
        <v>17205</v>
      </c>
      <c r="L94" s="107">
        <f t="shared" si="22"/>
        <v>18</v>
      </c>
      <c r="M94" s="111">
        <v>153</v>
      </c>
      <c r="N94" s="28">
        <f t="shared" si="23"/>
        <v>0.66601307189538683</v>
      </c>
      <c r="O94" s="84">
        <f t="shared" si="24"/>
        <v>186.79999999998836</v>
      </c>
      <c r="P94" s="79">
        <f>G94+M94</f>
        <v>292.47000000000003</v>
      </c>
      <c r="Q94" s="34">
        <f t="shared" si="26"/>
        <v>0.63869798611819451</v>
      </c>
      <c r="R94" s="1">
        <v>40</v>
      </c>
    </row>
    <row r="95" spans="1:19" ht="24" customHeight="1">
      <c r="A95" s="81">
        <v>47</v>
      </c>
      <c r="B95" s="31" t="s">
        <v>93</v>
      </c>
      <c r="C95" s="104">
        <v>245847.5</v>
      </c>
      <c r="D95" s="104">
        <v>245937.6</v>
      </c>
      <c r="E95" s="104">
        <f>D95-C95</f>
        <v>90.100000000005821</v>
      </c>
      <c r="F95" s="110">
        <v>16667</v>
      </c>
      <c r="G95" s="111">
        <v>127</v>
      </c>
      <c r="H95" s="10">
        <f t="shared" si="20"/>
        <v>0.70944881889768363</v>
      </c>
      <c r="I95" s="104">
        <v>246052.7</v>
      </c>
      <c r="J95" s="106">
        <f>I95-D95</f>
        <v>115.10000000000582</v>
      </c>
      <c r="K95" s="110">
        <v>16684</v>
      </c>
      <c r="L95" s="107">
        <f t="shared" si="22"/>
        <v>17</v>
      </c>
      <c r="M95" s="111">
        <v>167</v>
      </c>
      <c r="N95" s="28">
        <f t="shared" si="23"/>
        <v>0.68922155688626241</v>
      </c>
      <c r="O95" s="84">
        <f t="shared" si="24"/>
        <v>205.20000000001164</v>
      </c>
      <c r="P95" s="79">
        <f t="shared" si="25"/>
        <v>294</v>
      </c>
      <c r="Q95" s="34">
        <f t="shared" si="26"/>
        <v>0.69795918367350895</v>
      </c>
      <c r="R95" s="1">
        <v>51</v>
      </c>
      <c r="S95" t="s">
        <v>94</v>
      </c>
    </row>
    <row r="96" spans="1:19" ht="24" customHeight="1">
      <c r="A96" s="81">
        <v>48</v>
      </c>
      <c r="B96" s="31" t="s">
        <v>95</v>
      </c>
      <c r="C96" s="104">
        <v>242992.6</v>
      </c>
      <c r="D96" s="104">
        <v>243088.2</v>
      </c>
      <c r="E96" s="104">
        <f t="shared" si="19"/>
        <v>95.600000000005821</v>
      </c>
      <c r="F96" s="110">
        <v>18110</v>
      </c>
      <c r="G96" s="111">
        <v>166</v>
      </c>
      <c r="H96" s="10">
        <f t="shared" si="20"/>
        <v>0.57590361445786642</v>
      </c>
      <c r="I96" s="104">
        <v>243189.9</v>
      </c>
      <c r="J96" s="106">
        <f t="shared" si="21"/>
        <v>101.69999999998254</v>
      </c>
      <c r="K96" s="110">
        <v>18126</v>
      </c>
      <c r="L96" s="107">
        <f t="shared" si="22"/>
        <v>16</v>
      </c>
      <c r="M96" s="111">
        <v>138</v>
      </c>
      <c r="N96" s="28">
        <f t="shared" si="23"/>
        <v>0.73695652173900394</v>
      </c>
      <c r="O96" s="84">
        <f t="shared" si="24"/>
        <v>197.29999999998836</v>
      </c>
      <c r="P96" s="79">
        <f t="shared" si="25"/>
        <v>304</v>
      </c>
      <c r="Q96" s="34">
        <f t="shared" si="26"/>
        <v>0.6490131578946986</v>
      </c>
      <c r="R96" s="1">
        <v>46</v>
      </c>
    </row>
    <row r="97" spans="1:18" ht="24" customHeight="1">
      <c r="A97" s="81">
        <v>49</v>
      </c>
      <c r="B97" s="31" t="s">
        <v>96</v>
      </c>
      <c r="C97" s="35">
        <v>247553.8</v>
      </c>
      <c r="D97" s="35">
        <v>247672</v>
      </c>
      <c r="E97" s="104">
        <f t="shared" si="19"/>
        <v>118.20000000001164</v>
      </c>
      <c r="F97" s="110">
        <v>17788</v>
      </c>
      <c r="G97" s="111">
        <v>175.15</v>
      </c>
      <c r="H97" s="10">
        <f>IFERROR(E97/G97,0)</f>
        <v>0.67485012846138537</v>
      </c>
      <c r="I97" s="35">
        <v>247786.2</v>
      </c>
      <c r="J97" s="106">
        <f t="shared" si="21"/>
        <v>114.20000000001164</v>
      </c>
      <c r="K97" s="110">
        <v>17806</v>
      </c>
      <c r="L97" s="107">
        <f t="shared" si="22"/>
        <v>18</v>
      </c>
      <c r="M97" s="111">
        <v>153</v>
      </c>
      <c r="N97" s="28">
        <f t="shared" si="23"/>
        <v>0.746405228758246</v>
      </c>
      <c r="O97" s="84">
        <f t="shared" si="24"/>
        <v>232.40000000002328</v>
      </c>
      <c r="P97" s="79">
        <f t="shared" si="25"/>
        <v>328.15</v>
      </c>
      <c r="Q97" s="34">
        <f t="shared" si="26"/>
        <v>0.70821270760330124</v>
      </c>
      <c r="R97" s="1">
        <v>50</v>
      </c>
    </row>
    <row r="98" spans="1:18" ht="24" customHeight="1">
      <c r="A98" s="81">
        <v>50</v>
      </c>
      <c r="B98" s="31" t="s">
        <v>97</v>
      </c>
      <c r="C98" s="104">
        <v>236010.5</v>
      </c>
      <c r="D98" s="104">
        <v>236127.5</v>
      </c>
      <c r="E98" s="104">
        <f t="shared" si="19"/>
        <v>117</v>
      </c>
      <c r="F98" s="110">
        <v>16303</v>
      </c>
      <c r="G98" s="111">
        <v>187</v>
      </c>
      <c r="H98" s="10">
        <f t="shared" si="20"/>
        <v>0.62566844919786091</v>
      </c>
      <c r="I98" s="104">
        <v>236257.1</v>
      </c>
      <c r="J98" s="106">
        <f t="shared" si="21"/>
        <v>129.60000000000582</v>
      </c>
      <c r="K98" s="110">
        <v>16322</v>
      </c>
      <c r="L98" s="107">
        <f t="shared" si="22"/>
        <v>19</v>
      </c>
      <c r="M98" s="111">
        <v>198</v>
      </c>
      <c r="N98" s="28">
        <f t="shared" si="23"/>
        <v>0.65454545454548396</v>
      </c>
      <c r="O98" s="84">
        <f t="shared" si="24"/>
        <v>246.60000000000582</v>
      </c>
      <c r="P98" s="79">
        <f t="shared" si="25"/>
        <v>385</v>
      </c>
      <c r="Q98" s="34">
        <f t="shared" si="26"/>
        <v>0.64051948051949559</v>
      </c>
      <c r="R98" s="1">
        <v>42</v>
      </c>
    </row>
    <row r="99" spans="1:18" ht="24" customHeight="1">
      <c r="A99" s="81">
        <v>51</v>
      </c>
      <c r="B99" s="121" t="s">
        <v>166</v>
      </c>
      <c r="C99" s="104">
        <v>204670</v>
      </c>
      <c r="D99" s="104">
        <v>204670</v>
      </c>
      <c r="E99" s="118">
        <f t="shared" si="19"/>
        <v>0</v>
      </c>
      <c r="F99" s="110">
        <v>17434</v>
      </c>
      <c r="G99" s="111">
        <v>0</v>
      </c>
      <c r="H99" s="55">
        <f t="shared" si="20"/>
        <v>0</v>
      </c>
      <c r="I99" s="104">
        <v>204670</v>
      </c>
      <c r="J99" s="119">
        <f t="shared" si="21"/>
        <v>0</v>
      </c>
      <c r="K99" s="110">
        <v>17434</v>
      </c>
      <c r="L99" s="120">
        <f t="shared" si="22"/>
        <v>0</v>
      </c>
      <c r="M99" s="111">
        <v>0</v>
      </c>
      <c r="N99" s="28">
        <f t="shared" si="23"/>
        <v>0</v>
      </c>
      <c r="O99" s="58">
        <f t="shared" si="24"/>
        <v>0</v>
      </c>
      <c r="P99" s="79">
        <f t="shared" si="25"/>
        <v>0</v>
      </c>
      <c r="Q99" s="34">
        <f t="shared" si="26"/>
        <v>0</v>
      </c>
      <c r="R99" s="1">
        <v>0</v>
      </c>
    </row>
    <row r="100" spans="1:18" ht="24" customHeight="1">
      <c r="A100" s="81">
        <v>52</v>
      </c>
      <c r="B100" s="121" t="s">
        <v>167</v>
      </c>
      <c r="C100" s="104">
        <v>186406</v>
      </c>
      <c r="D100" s="104">
        <v>186406</v>
      </c>
      <c r="E100" s="118">
        <f t="shared" si="19"/>
        <v>0</v>
      </c>
      <c r="F100" s="110">
        <v>16317</v>
      </c>
      <c r="G100" s="111">
        <v>0</v>
      </c>
      <c r="H100" s="55">
        <f t="shared" si="20"/>
        <v>0</v>
      </c>
      <c r="I100" s="104">
        <v>186406</v>
      </c>
      <c r="J100" s="119">
        <f t="shared" si="21"/>
        <v>0</v>
      </c>
      <c r="K100" s="110">
        <v>16317</v>
      </c>
      <c r="L100" s="120">
        <f t="shared" si="22"/>
        <v>0</v>
      </c>
      <c r="M100" s="111">
        <v>0</v>
      </c>
      <c r="N100" s="28">
        <f t="shared" si="23"/>
        <v>0</v>
      </c>
      <c r="O100" s="58">
        <f t="shared" si="24"/>
        <v>0</v>
      </c>
      <c r="P100" s="79">
        <f t="shared" si="25"/>
        <v>0</v>
      </c>
      <c r="Q100" s="34">
        <f t="shared" si="26"/>
        <v>0</v>
      </c>
      <c r="R100" s="1">
        <v>0</v>
      </c>
    </row>
    <row r="101" spans="1:18" ht="24" customHeight="1">
      <c r="A101" s="81">
        <v>53</v>
      </c>
      <c r="B101" s="121" t="s">
        <v>168</v>
      </c>
      <c r="C101" s="104">
        <v>191027</v>
      </c>
      <c r="D101" s="104">
        <v>191120</v>
      </c>
      <c r="E101" s="118">
        <f t="shared" si="19"/>
        <v>93</v>
      </c>
      <c r="F101" s="110">
        <v>17059</v>
      </c>
      <c r="G101" s="111">
        <v>137</v>
      </c>
      <c r="H101" s="55">
        <f t="shared" si="20"/>
        <v>0.67883211678832112</v>
      </c>
      <c r="I101" s="104">
        <v>191256</v>
      </c>
      <c r="J101" s="119">
        <f t="shared" si="21"/>
        <v>136</v>
      </c>
      <c r="K101" s="110">
        <v>17076</v>
      </c>
      <c r="L101" s="120">
        <f t="shared" si="22"/>
        <v>17</v>
      </c>
      <c r="M101" s="111">
        <v>205</v>
      </c>
      <c r="N101" s="28">
        <f t="shared" si="23"/>
        <v>0.6634146341463415</v>
      </c>
      <c r="O101" s="58">
        <f t="shared" si="24"/>
        <v>229</v>
      </c>
      <c r="P101" s="79">
        <f t="shared" si="25"/>
        <v>342</v>
      </c>
      <c r="Q101" s="34">
        <f t="shared" si="26"/>
        <v>0.66959064327485385</v>
      </c>
      <c r="R101" s="1">
        <v>42</v>
      </c>
    </row>
    <row r="102" spans="1:18" ht="24" customHeight="1">
      <c r="A102" s="81">
        <v>54</v>
      </c>
      <c r="B102" s="121" t="s">
        <v>169</v>
      </c>
      <c r="C102" s="104">
        <v>195232</v>
      </c>
      <c r="D102" s="104">
        <v>195323</v>
      </c>
      <c r="E102" s="118">
        <f t="shared" si="19"/>
        <v>91</v>
      </c>
      <c r="F102" s="110">
        <v>16544</v>
      </c>
      <c r="G102" s="111">
        <v>138</v>
      </c>
      <c r="H102" s="55">
        <f t="shared" si="20"/>
        <v>0.65942028985507251</v>
      </c>
      <c r="I102" s="104">
        <v>195468</v>
      </c>
      <c r="J102" s="119">
        <f t="shared" si="21"/>
        <v>145</v>
      </c>
      <c r="K102" s="110">
        <v>16561</v>
      </c>
      <c r="L102" s="120">
        <f t="shared" si="22"/>
        <v>17</v>
      </c>
      <c r="M102" s="111">
        <v>223</v>
      </c>
      <c r="N102" s="28">
        <f t="shared" si="23"/>
        <v>0.65022421524663676</v>
      </c>
      <c r="O102" s="58">
        <f t="shared" si="24"/>
        <v>236</v>
      </c>
      <c r="P102" s="79">
        <f t="shared" si="25"/>
        <v>361</v>
      </c>
      <c r="Q102" s="34">
        <f t="shared" si="26"/>
        <v>0.65373961218836563</v>
      </c>
      <c r="R102" s="1">
        <v>40</v>
      </c>
    </row>
    <row r="103" spans="1:18" ht="24" customHeight="1">
      <c r="A103" s="81">
        <v>55</v>
      </c>
      <c r="B103" s="121" t="s">
        <v>104</v>
      </c>
      <c r="C103" s="104">
        <v>70131.8</v>
      </c>
      <c r="D103" s="104">
        <v>70149.2</v>
      </c>
      <c r="E103" s="122">
        <f t="shared" si="19"/>
        <v>17.399999999994179</v>
      </c>
      <c r="F103" s="110">
        <v>4743</v>
      </c>
      <c r="G103" s="111">
        <v>39.700000000000003</v>
      </c>
      <c r="H103" s="78">
        <f t="shared" si="20"/>
        <v>0.4382871536522463</v>
      </c>
      <c r="I103" s="104">
        <v>70293.7</v>
      </c>
      <c r="J103" s="112">
        <f t="shared" si="21"/>
        <v>144.5</v>
      </c>
      <c r="K103" s="110">
        <v>4755</v>
      </c>
      <c r="L103" s="107">
        <f t="shared" si="22"/>
        <v>12</v>
      </c>
      <c r="M103" s="111">
        <v>221</v>
      </c>
      <c r="N103" s="28">
        <f t="shared" si="23"/>
        <v>0.65384615384615385</v>
      </c>
      <c r="O103" s="58">
        <f t="shared" si="24"/>
        <v>161.89999999999418</v>
      </c>
      <c r="P103" s="79">
        <f t="shared" si="25"/>
        <v>260.7</v>
      </c>
      <c r="Q103" s="34">
        <f t="shared" si="26"/>
        <v>0.62102032988106703</v>
      </c>
      <c r="R103" s="1">
        <v>28</v>
      </c>
    </row>
    <row r="104" spans="1:18" ht="24" customHeight="1">
      <c r="A104" s="81">
        <v>56</v>
      </c>
      <c r="B104" s="121" t="s">
        <v>105</v>
      </c>
      <c r="C104" s="35">
        <v>68794.7</v>
      </c>
      <c r="D104" s="35">
        <v>68828.3</v>
      </c>
      <c r="E104" s="122">
        <f t="shared" si="19"/>
        <v>33.600000000005821</v>
      </c>
      <c r="F104" s="110">
        <v>4748</v>
      </c>
      <c r="G104" s="111">
        <v>42.04</v>
      </c>
      <c r="H104" s="78">
        <f t="shared" si="20"/>
        <v>0.79923882017140391</v>
      </c>
      <c r="I104" s="35">
        <v>68963.8</v>
      </c>
      <c r="J104" s="112">
        <f t="shared" si="21"/>
        <v>135.5</v>
      </c>
      <c r="K104" s="110">
        <v>4760</v>
      </c>
      <c r="L104" s="107">
        <f t="shared" si="22"/>
        <v>12</v>
      </c>
      <c r="M104" s="111">
        <v>202</v>
      </c>
      <c r="N104" s="28">
        <f t="shared" si="23"/>
        <v>0.67079207920792083</v>
      </c>
      <c r="O104" s="58">
        <f t="shared" si="24"/>
        <v>169.10000000000582</v>
      </c>
      <c r="P104" s="79">
        <f t="shared" si="25"/>
        <v>244.04</v>
      </c>
      <c r="Q104" s="34">
        <f t="shared" si="26"/>
        <v>0.69291919357484766</v>
      </c>
      <c r="R104" s="1">
        <v>40</v>
      </c>
    </row>
    <row r="105" spans="1:18" ht="24" customHeight="1">
      <c r="A105" s="81">
        <v>57</v>
      </c>
      <c r="B105" s="121" t="s">
        <v>106</v>
      </c>
      <c r="C105" s="104">
        <v>66754.7</v>
      </c>
      <c r="D105" s="104">
        <v>66754.7</v>
      </c>
      <c r="E105" s="122">
        <f t="shared" si="19"/>
        <v>0</v>
      </c>
      <c r="F105" s="110">
        <v>4772</v>
      </c>
      <c r="G105" s="111">
        <v>0</v>
      </c>
      <c r="H105" s="78">
        <f t="shared" si="20"/>
        <v>0</v>
      </c>
      <c r="I105" s="104">
        <v>66875</v>
      </c>
      <c r="J105" s="112">
        <f t="shared" si="21"/>
        <v>120.30000000000291</v>
      </c>
      <c r="K105" s="110">
        <v>4782</v>
      </c>
      <c r="L105" s="107">
        <f t="shared" si="22"/>
        <v>10</v>
      </c>
      <c r="M105" s="111">
        <v>174</v>
      </c>
      <c r="N105" s="28">
        <f t="shared" si="23"/>
        <v>0.69137931034484434</v>
      </c>
      <c r="O105" s="58">
        <f t="shared" si="24"/>
        <v>120.30000000000291</v>
      </c>
      <c r="P105" s="79">
        <f t="shared" si="25"/>
        <v>174</v>
      </c>
      <c r="Q105" s="34">
        <f t="shared" si="26"/>
        <v>0.69137931034484434</v>
      </c>
      <c r="R105" s="1">
        <v>37</v>
      </c>
    </row>
    <row r="106" spans="1:18" ht="24" customHeight="1">
      <c r="A106" s="81">
        <v>58</v>
      </c>
      <c r="B106" s="121" t="s">
        <v>107</v>
      </c>
      <c r="C106" s="104">
        <v>69005.7</v>
      </c>
      <c r="D106" s="104">
        <v>69005.7</v>
      </c>
      <c r="E106" s="122">
        <f t="shared" si="19"/>
        <v>0</v>
      </c>
      <c r="F106" s="110">
        <v>4772</v>
      </c>
      <c r="G106" s="111">
        <v>0</v>
      </c>
      <c r="H106" s="78">
        <f t="shared" si="20"/>
        <v>0</v>
      </c>
      <c r="I106" s="104">
        <v>69157.100000000006</v>
      </c>
      <c r="J106" s="112">
        <f t="shared" si="21"/>
        <v>151.40000000000873</v>
      </c>
      <c r="K106" s="110">
        <v>4784</v>
      </c>
      <c r="L106" s="107">
        <f t="shared" si="22"/>
        <v>12</v>
      </c>
      <c r="M106" s="111">
        <v>222</v>
      </c>
      <c r="N106" s="28">
        <f t="shared" si="23"/>
        <v>0.68198198198202131</v>
      </c>
      <c r="O106" s="58">
        <f t="shared" si="24"/>
        <v>151.40000000000873</v>
      </c>
      <c r="P106" s="79">
        <f t="shared" si="25"/>
        <v>222</v>
      </c>
      <c r="Q106" s="34">
        <f t="shared" si="26"/>
        <v>0.68198198198202131</v>
      </c>
      <c r="R106" s="1">
        <v>38</v>
      </c>
    </row>
    <row r="107" spans="1:18" ht="24" customHeight="1">
      <c r="A107" s="81">
        <v>59</v>
      </c>
      <c r="B107" s="121" t="s">
        <v>108</v>
      </c>
      <c r="C107" s="104">
        <v>68028.399999999994</v>
      </c>
      <c r="D107" s="104">
        <v>68053</v>
      </c>
      <c r="E107" s="122">
        <f t="shared" si="19"/>
        <v>24.600000000005821</v>
      </c>
      <c r="F107" s="110">
        <v>4740</v>
      </c>
      <c r="G107" s="111">
        <v>31.78</v>
      </c>
      <c r="H107" s="78">
        <f t="shared" si="20"/>
        <v>0.77407174323492201</v>
      </c>
      <c r="I107" s="104">
        <v>68194.2</v>
      </c>
      <c r="J107" s="112">
        <f t="shared" si="21"/>
        <v>141.19999999999709</v>
      </c>
      <c r="K107" s="110">
        <v>4752</v>
      </c>
      <c r="L107" s="107">
        <f t="shared" si="22"/>
        <v>12</v>
      </c>
      <c r="M107" s="111">
        <v>210</v>
      </c>
      <c r="N107" s="28">
        <f t="shared" si="23"/>
        <v>0.67238095238093853</v>
      </c>
      <c r="O107" s="58">
        <f t="shared" si="24"/>
        <v>165.80000000000291</v>
      </c>
      <c r="P107" s="79">
        <f t="shared" si="25"/>
        <v>241.78</v>
      </c>
      <c r="Q107" s="34">
        <f t="shared" si="26"/>
        <v>0.68574737364547489</v>
      </c>
      <c r="R107" s="1">
        <v>39</v>
      </c>
    </row>
    <row r="108" spans="1:18" ht="24" customHeight="1">
      <c r="A108" s="81">
        <v>60</v>
      </c>
      <c r="B108" s="121" t="s">
        <v>109</v>
      </c>
      <c r="C108" s="104">
        <v>69947.100000000006</v>
      </c>
      <c r="D108" s="104">
        <v>69947.100000000006</v>
      </c>
      <c r="E108" s="118">
        <f t="shared" si="19"/>
        <v>0</v>
      </c>
      <c r="F108" s="110">
        <v>4836</v>
      </c>
      <c r="G108" s="111">
        <v>0</v>
      </c>
      <c r="H108" s="55">
        <f t="shared" si="20"/>
        <v>0</v>
      </c>
      <c r="I108" s="104">
        <v>70030.100000000006</v>
      </c>
      <c r="J108" s="119">
        <f t="shared" si="21"/>
        <v>83</v>
      </c>
      <c r="K108" s="110">
        <v>4843</v>
      </c>
      <c r="L108" s="120">
        <f t="shared" si="22"/>
        <v>7</v>
      </c>
      <c r="M108" s="111">
        <v>112</v>
      </c>
      <c r="N108" s="28">
        <f t="shared" si="23"/>
        <v>0.7410714285714286</v>
      </c>
      <c r="O108" s="58">
        <f t="shared" si="24"/>
        <v>83</v>
      </c>
      <c r="P108" s="79">
        <f t="shared" si="25"/>
        <v>112</v>
      </c>
      <c r="Q108" s="34">
        <f t="shared" si="26"/>
        <v>0.7410714285714286</v>
      </c>
      <c r="R108" s="1">
        <v>21</v>
      </c>
    </row>
    <row r="109" spans="1:18" ht="24" customHeight="1">
      <c r="A109" s="81">
        <v>61</v>
      </c>
      <c r="B109" s="121" t="s">
        <v>110</v>
      </c>
      <c r="C109" s="104">
        <v>33905.599999999999</v>
      </c>
      <c r="D109" s="104">
        <v>33905.599999999999</v>
      </c>
      <c r="E109" s="118">
        <f t="shared" si="19"/>
        <v>0</v>
      </c>
      <c r="F109" s="110">
        <v>2747</v>
      </c>
      <c r="G109" s="111">
        <v>0</v>
      </c>
      <c r="H109" s="55">
        <f t="shared" si="20"/>
        <v>0</v>
      </c>
      <c r="I109" s="104">
        <v>34048.6</v>
      </c>
      <c r="J109" s="119">
        <f t="shared" si="21"/>
        <v>143</v>
      </c>
      <c r="K109" s="110">
        <v>2757</v>
      </c>
      <c r="L109" s="120">
        <f t="shared" si="22"/>
        <v>10</v>
      </c>
      <c r="M109" s="111">
        <v>178</v>
      </c>
      <c r="N109" s="28">
        <f t="shared" si="23"/>
        <v>0.8033707865168539</v>
      </c>
      <c r="O109" s="58">
        <f t="shared" si="24"/>
        <v>143</v>
      </c>
      <c r="P109" s="79">
        <f t="shared" si="25"/>
        <v>178</v>
      </c>
      <c r="Q109" s="34">
        <f t="shared" si="26"/>
        <v>0.8033707865168539</v>
      </c>
      <c r="R109" s="1">
        <v>45</v>
      </c>
    </row>
    <row r="110" spans="1:18" ht="22.2" customHeight="1">
      <c r="A110" s="123" t="s">
        <v>28</v>
      </c>
      <c r="B110" s="123"/>
      <c r="C110" s="40"/>
      <c r="D110" s="123"/>
      <c r="E110" s="124">
        <f>SUM(E49:E109)</f>
        <v>3459.5999999999185</v>
      </c>
      <c r="F110" s="125"/>
      <c r="G110" s="126">
        <f>SUM(G49:G109)</f>
        <v>5480.1699999999992</v>
      </c>
      <c r="H110" s="39"/>
      <c r="I110" s="40"/>
      <c r="J110" s="40">
        <f>SUM(J49:J109)</f>
        <v>5159.7000000000553</v>
      </c>
      <c r="K110" s="127"/>
      <c r="L110" s="128">
        <f>SUM(L49:L109)</f>
        <v>746.64000000000306</v>
      </c>
      <c r="M110" s="128">
        <f>SUM(M49:M109)</f>
        <v>8003</v>
      </c>
      <c r="N110" s="28">
        <f>IFERROR(J110/M110,0)</f>
        <v>0.64472072972635952</v>
      </c>
      <c r="O110" s="129">
        <f>SUM(O49:O109)</f>
        <v>8619.2999999999738</v>
      </c>
      <c r="P110" s="79">
        <f>G110+M110</f>
        <v>13483.169999999998</v>
      </c>
      <c r="Q110" s="34">
        <f>IFERROR(O110/P110,0)</f>
        <v>0.63926361530708098</v>
      </c>
      <c r="R110" s="130">
        <f>SUM(R49:R109)</f>
        <v>1891</v>
      </c>
    </row>
    <row r="111" spans="1:18" ht="22.2" customHeight="1" thickBot="1">
      <c r="A111" s="206" t="s">
        <v>111</v>
      </c>
      <c r="B111" s="207"/>
      <c r="C111" s="207"/>
      <c r="D111" s="207"/>
      <c r="E111" s="207"/>
      <c r="F111" s="207"/>
      <c r="G111" s="207"/>
      <c r="H111" s="207"/>
      <c r="I111" s="207"/>
      <c r="J111" s="207"/>
      <c r="K111" s="207"/>
      <c r="L111" s="208"/>
      <c r="M111" s="131"/>
      <c r="N111" s="132"/>
      <c r="O111" s="133"/>
    </row>
    <row r="112" spans="1:18" ht="22.2" customHeight="1">
      <c r="A112" s="209" t="s">
        <v>3</v>
      </c>
      <c r="B112" s="211" t="s">
        <v>4</v>
      </c>
      <c r="C112" s="213" t="s">
        <v>5</v>
      </c>
      <c r="D112" s="214"/>
      <c r="E112" s="214"/>
      <c r="F112" s="214"/>
      <c r="G112" s="215"/>
      <c r="H112" s="216" t="s">
        <v>6</v>
      </c>
      <c r="I112" s="217"/>
      <c r="J112" s="217"/>
      <c r="K112" s="218"/>
      <c r="L112" s="48"/>
      <c r="M112" s="219" t="s">
        <v>7</v>
      </c>
      <c r="N112" s="194" t="s">
        <v>8</v>
      </c>
      <c r="O112" s="37"/>
    </row>
    <row r="113" spans="1:17" ht="27.6" customHeight="1" thickBot="1">
      <c r="A113" s="210"/>
      <c r="B113" s="212"/>
      <c r="C113" s="49" t="s">
        <v>11</v>
      </c>
      <c r="D113" s="49" t="s">
        <v>12</v>
      </c>
      <c r="E113" s="49" t="s">
        <v>13</v>
      </c>
      <c r="F113" s="6" t="s">
        <v>14</v>
      </c>
      <c r="G113" s="6" t="s">
        <v>8</v>
      </c>
      <c r="H113" s="49" t="s">
        <v>12</v>
      </c>
      <c r="I113" s="49" t="s">
        <v>13</v>
      </c>
      <c r="J113" s="49" t="s">
        <v>14</v>
      </c>
      <c r="K113" s="7" t="s">
        <v>8</v>
      </c>
      <c r="L113" s="50" t="s">
        <v>15</v>
      </c>
      <c r="M113" s="220"/>
      <c r="N113" s="195"/>
      <c r="O113" s="37"/>
    </row>
    <row r="114" spans="1:17" ht="22.2" customHeight="1">
      <c r="A114" s="76">
        <v>1</v>
      </c>
      <c r="B114" s="31" t="s">
        <v>112</v>
      </c>
      <c r="C114" s="35">
        <v>121832</v>
      </c>
      <c r="D114" s="35">
        <v>121832</v>
      </c>
      <c r="E114" s="17">
        <f>D114-C114</f>
        <v>0</v>
      </c>
      <c r="F114" s="33">
        <v>0</v>
      </c>
      <c r="G114" s="10">
        <f>IFERROR(F114/E114,0)</f>
        <v>0</v>
      </c>
      <c r="H114" s="35">
        <v>121832</v>
      </c>
      <c r="I114" s="19">
        <f>H114-D114</f>
        <v>0</v>
      </c>
      <c r="J114" s="33">
        <v>0</v>
      </c>
      <c r="K114" s="28">
        <f t="shared" ref="K114:K128" si="27">IFERROR(J114/I114,0)</f>
        <v>0</v>
      </c>
      <c r="L114" s="18">
        <f t="shared" ref="L114:M128" si="28">E114+I114</f>
        <v>0</v>
      </c>
      <c r="M114" s="22">
        <f>F114+J114</f>
        <v>0</v>
      </c>
      <c r="N114" s="71">
        <f>IFERROR(L114/M114,0)</f>
        <v>0</v>
      </c>
      <c r="O114" s="37"/>
    </row>
    <row r="115" spans="1:17" ht="22.2" customHeight="1">
      <c r="A115" s="76">
        <v>2</v>
      </c>
      <c r="B115" s="31" t="s">
        <v>113</v>
      </c>
      <c r="C115" s="35">
        <v>4298.33</v>
      </c>
      <c r="D115" s="35">
        <v>4298.33</v>
      </c>
      <c r="E115" s="17">
        <f t="shared" ref="E115:E128" si="29">D115-C115</f>
        <v>0</v>
      </c>
      <c r="F115" s="33">
        <v>0</v>
      </c>
      <c r="G115" s="10">
        <f t="shared" ref="G115:G128" si="30">IFERROR(F115/E115,0)</f>
        <v>0</v>
      </c>
      <c r="H115" s="35">
        <v>4298.33</v>
      </c>
      <c r="I115" s="19">
        <f>H115-D115</f>
        <v>0</v>
      </c>
      <c r="J115" s="33">
        <v>0</v>
      </c>
      <c r="K115" s="28">
        <f t="shared" si="27"/>
        <v>0</v>
      </c>
      <c r="L115" s="18">
        <f t="shared" si="28"/>
        <v>0</v>
      </c>
      <c r="M115" s="22">
        <f t="shared" si="28"/>
        <v>0</v>
      </c>
      <c r="N115" s="71">
        <f t="shared" ref="N115:N128" si="31">IFERROR(L115/M115,0)</f>
        <v>0</v>
      </c>
      <c r="O115" s="134"/>
    </row>
    <row r="116" spans="1:17" ht="22.2" customHeight="1">
      <c r="A116" s="76">
        <v>3</v>
      </c>
      <c r="B116" s="31" t="s">
        <v>114</v>
      </c>
      <c r="C116" s="35">
        <v>147.27000000000001</v>
      </c>
      <c r="D116" s="35">
        <v>147.27000000000001</v>
      </c>
      <c r="E116" s="17">
        <f t="shared" si="29"/>
        <v>0</v>
      </c>
      <c r="F116" s="33">
        <v>0</v>
      </c>
      <c r="G116" s="10">
        <f t="shared" si="30"/>
        <v>0</v>
      </c>
      <c r="H116" s="35">
        <v>147.27000000000001</v>
      </c>
      <c r="I116" s="19">
        <f t="shared" ref="I116:I128" si="32">H116-D116</f>
        <v>0</v>
      </c>
      <c r="J116" s="33">
        <v>0</v>
      </c>
      <c r="K116" s="28">
        <f t="shared" si="27"/>
        <v>0</v>
      </c>
      <c r="L116" s="18">
        <f t="shared" si="28"/>
        <v>0</v>
      </c>
      <c r="M116" s="22">
        <f t="shared" si="28"/>
        <v>0</v>
      </c>
      <c r="N116" s="71">
        <f t="shared" si="31"/>
        <v>0</v>
      </c>
      <c r="O116" s="37"/>
    </row>
    <row r="117" spans="1:17" ht="22.2" customHeight="1">
      <c r="A117" s="76">
        <v>4</v>
      </c>
      <c r="B117" s="31" t="s">
        <v>115</v>
      </c>
      <c r="C117" s="136">
        <v>140152</v>
      </c>
      <c r="D117" s="136">
        <v>140152</v>
      </c>
      <c r="E117" s="17">
        <f t="shared" si="29"/>
        <v>0</v>
      </c>
      <c r="F117" s="33">
        <v>0</v>
      </c>
      <c r="G117" s="10">
        <f t="shared" si="30"/>
        <v>0</v>
      </c>
      <c r="H117" s="136">
        <v>140152</v>
      </c>
      <c r="I117" s="19">
        <f t="shared" si="32"/>
        <v>0</v>
      </c>
      <c r="J117" s="33">
        <v>0</v>
      </c>
      <c r="K117" s="28">
        <f t="shared" si="27"/>
        <v>0</v>
      </c>
      <c r="L117" s="18">
        <f t="shared" si="28"/>
        <v>0</v>
      </c>
      <c r="M117" s="22">
        <f t="shared" si="28"/>
        <v>0</v>
      </c>
      <c r="N117" s="71">
        <f t="shared" si="31"/>
        <v>0</v>
      </c>
      <c r="O117" s="137"/>
    </row>
    <row r="118" spans="1:17" ht="22.2" customHeight="1">
      <c r="A118" s="76">
        <v>5</v>
      </c>
      <c r="B118" s="31" t="s">
        <v>116</v>
      </c>
      <c r="C118" s="35">
        <v>44558.9</v>
      </c>
      <c r="D118" s="35">
        <v>44558.9</v>
      </c>
      <c r="E118" s="17">
        <f t="shared" si="29"/>
        <v>0</v>
      </c>
      <c r="F118" s="33">
        <v>0</v>
      </c>
      <c r="G118" s="10">
        <f t="shared" si="30"/>
        <v>0</v>
      </c>
      <c r="H118" s="35">
        <v>44558.9</v>
      </c>
      <c r="I118" s="19">
        <f t="shared" si="32"/>
        <v>0</v>
      </c>
      <c r="J118" s="33">
        <v>0</v>
      </c>
      <c r="K118" s="28">
        <f t="shared" si="27"/>
        <v>0</v>
      </c>
      <c r="L118" s="18">
        <f t="shared" si="28"/>
        <v>0</v>
      </c>
      <c r="M118" s="22">
        <f t="shared" si="28"/>
        <v>0</v>
      </c>
      <c r="N118" s="71">
        <f t="shared" si="31"/>
        <v>0</v>
      </c>
      <c r="O118" s="77"/>
    </row>
    <row r="119" spans="1:17" ht="22.2" customHeight="1">
      <c r="A119" s="76">
        <v>6</v>
      </c>
      <c r="B119" s="31" t="s">
        <v>117</v>
      </c>
      <c r="C119" s="35">
        <v>100316.9</v>
      </c>
      <c r="D119" s="35">
        <v>100316.9</v>
      </c>
      <c r="E119" s="17">
        <f t="shared" si="29"/>
        <v>0</v>
      </c>
      <c r="F119" s="33">
        <v>0</v>
      </c>
      <c r="G119" s="10">
        <f t="shared" si="30"/>
        <v>0</v>
      </c>
      <c r="H119" s="35">
        <v>100316.9</v>
      </c>
      <c r="I119" s="19">
        <f t="shared" si="32"/>
        <v>0</v>
      </c>
      <c r="J119" s="33">
        <v>0</v>
      </c>
      <c r="K119" s="28">
        <f t="shared" si="27"/>
        <v>0</v>
      </c>
      <c r="L119" s="18">
        <f t="shared" si="28"/>
        <v>0</v>
      </c>
      <c r="M119" s="22">
        <f t="shared" si="28"/>
        <v>0</v>
      </c>
      <c r="N119" s="71">
        <f t="shared" si="31"/>
        <v>0</v>
      </c>
      <c r="O119" s="37"/>
    </row>
    <row r="120" spans="1:17" ht="22.2" customHeight="1">
      <c r="A120" s="76">
        <v>7</v>
      </c>
      <c r="B120" s="31" t="s">
        <v>118</v>
      </c>
      <c r="C120" s="35">
        <v>152067.5</v>
      </c>
      <c r="D120" s="35">
        <v>152067.5</v>
      </c>
      <c r="E120" s="17">
        <f t="shared" si="29"/>
        <v>0</v>
      </c>
      <c r="F120" s="33">
        <v>0</v>
      </c>
      <c r="G120" s="10">
        <f t="shared" si="30"/>
        <v>0</v>
      </c>
      <c r="H120" s="35">
        <v>152067.5</v>
      </c>
      <c r="I120" s="19">
        <f t="shared" si="32"/>
        <v>0</v>
      </c>
      <c r="J120" s="33">
        <v>0</v>
      </c>
      <c r="K120" s="28">
        <f t="shared" si="27"/>
        <v>0</v>
      </c>
      <c r="L120" s="18">
        <f t="shared" si="28"/>
        <v>0</v>
      </c>
      <c r="M120" s="22">
        <f>F120+J120</f>
        <v>0</v>
      </c>
      <c r="N120" s="71">
        <f t="shared" si="31"/>
        <v>0</v>
      </c>
      <c r="O120" s="37"/>
    </row>
    <row r="121" spans="1:17" ht="22.2" customHeight="1">
      <c r="A121" s="76">
        <v>8</v>
      </c>
      <c r="B121" s="138" t="s">
        <v>119</v>
      </c>
      <c r="C121" s="136">
        <v>40573.199999999997</v>
      </c>
      <c r="D121" s="136">
        <v>40573.199999999997</v>
      </c>
      <c r="E121" s="17">
        <f t="shared" si="29"/>
        <v>0</v>
      </c>
      <c r="F121" s="33">
        <v>0</v>
      </c>
      <c r="G121" s="10">
        <f t="shared" si="30"/>
        <v>0</v>
      </c>
      <c r="H121" s="136">
        <v>40573.199999999997</v>
      </c>
      <c r="I121" s="19">
        <f t="shared" si="32"/>
        <v>0</v>
      </c>
      <c r="J121" s="33">
        <v>0</v>
      </c>
      <c r="K121" s="28">
        <f t="shared" si="27"/>
        <v>0</v>
      </c>
      <c r="L121" s="18">
        <f t="shared" si="28"/>
        <v>0</v>
      </c>
      <c r="M121" s="22">
        <f>F121+J121</f>
        <v>0</v>
      </c>
      <c r="N121" s="71">
        <f t="shared" si="31"/>
        <v>0</v>
      </c>
      <c r="O121" s="37"/>
    </row>
    <row r="122" spans="1:17" ht="22.2" customHeight="1">
      <c r="A122" s="76">
        <v>9</v>
      </c>
      <c r="B122" s="138" t="s">
        <v>120</v>
      </c>
      <c r="C122" s="35">
        <v>33807</v>
      </c>
      <c r="D122" s="35">
        <v>33807</v>
      </c>
      <c r="E122" s="17">
        <f t="shared" si="29"/>
        <v>0</v>
      </c>
      <c r="F122" s="33">
        <v>0</v>
      </c>
      <c r="G122" s="10">
        <f t="shared" si="30"/>
        <v>0</v>
      </c>
      <c r="H122" s="35">
        <v>33807</v>
      </c>
      <c r="I122" s="19">
        <f t="shared" si="32"/>
        <v>0</v>
      </c>
      <c r="J122" s="33">
        <v>0</v>
      </c>
      <c r="K122" s="28">
        <f t="shared" si="27"/>
        <v>0</v>
      </c>
      <c r="L122" s="18">
        <f t="shared" si="28"/>
        <v>0</v>
      </c>
      <c r="M122" s="22">
        <f t="shared" si="28"/>
        <v>0</v>
      </c>
      <c r="N122" s="71">
        <f t="shared" si="31"/>
        <v>0</v>
      </c>
      <c r="O122" s="37"/>
    </row>
    <row r="123" spans="1:17" ht="22.2" customHeight="1">
      <c r="A123" s="76">
        <v>10</v>
      </c>
      <c r="B123" s="31" t="s">
        <v>121</v>
      </c>
      <c r="C123" s="35">
        <v>154569</v>
      </c>
      <c r="D123" s="35">
        <v>154569</v>
      </c>
      <c r="E123" s="17">
        <f t="shared" si="29"/>
        <v>0</v>
      </c>
      <c r="F123" s="33">
        <v>0</v>
      </c>
      <c r="G123" s="10">
        <f t="shared" si="30"/>
        <v>0</v>
      </c>
      <c r="H123" s="35">
        <v>154569</v>
      </c>
      <c r="I123" s="19">
        <f t="shared" si="32"/>
        <v>0</v>
      </c>
      <c r="J123" s="33">
        <v>0</v>
      </c>
      <c r="K123" s="28">
        <f t="shared" si="27"/>
        <v>0</v>
      </c>
      <c r="L123" s="18">
        <f t="shared" si="28"/>
        <v>0</v>
      </c>
      <c r="M123" s="22">
        <f t="shared" si="28"/>
        <v>0</v>
      </c>
      <c r="N123" s="71">
        <f t="shared" si="31"/>
        <v>0</v>
      </c>
      <c r="O123" s="137"/>
    </row>
    <row r="124" spans="1:17" ht="23.4" customHeight="1">
      <c r="A124" s="76">
        <v>11</v>
      </c>
      <c r="B124" s="138" t="s">
        <v>122</v>
      </c>
      <c r="C124" s="35">
        <v>36223</v>
      </c>
      <c r="D124" s="35">
        <v>36223</v>
      </c>
      <c r="E124" s="17">
        <f t="shared" si="29"/>
        <v>0</v>
      </c>
      <c r="F124" s="33">
        <v>0</v>
      </c>
      <c r="G124" s="10">
        <f t="shared" si="30"/>
        <v>0</v>
      </c>
      <c r="H124" s="35">
        <v>36223</v>
      </c>
      <c r="I124" s="19">
        <f t="shared" si="32"/>
        <v>0</v>
      </c>
      <c r="J124" s="33">
        <v>0</v>
      </c>
      <c r="K124" s="28">
        <f t="shared" si="27"/>
        <v>0</v>
      </c>
      <c r="L124" s="18">
        <f t="shared" si="28"/>
        <v>0</v>
      </c>
      <c r="M124" s="22">
        <f t="shared" si="28"/>
        <v>0</v>
      </c>
      <c r="N124" s="71">
        <f t="shared" si="31"/>
        <v>0</v>
      </c>
      <c r="O124" s="37"/>
      <c r="Q124" s="38"/>
    </row>
    <row r="125" spans="1:17" ht="22.2" customHeight="1">
      <c r="A125" s="76">
        <v>12</v>
      </c>
      <c r="B125" s="138" t="s">
        <v>123</v>
      </c>
      <c r="C125" s="35">
        <v>15673</v>
      </c>
      <c r="D125" s="35">
        <v>15673</v>
      </c>
      <c r="E125" s="17">
        <f t="shared" si="29"/>
        <v>0</v>
      </c>
      <c r="F125" s="33">
        <v>0</v>
      </c>
      <c r="G125" s="78">
        <f t="shared" si="30"/>
        <v>0</v>
      </c>
      <c r="H125" s="35">
        <v>15673</v>
      </c>
      <c r="I125" s="19">
        <f t="shared" si="32"/>
        <v>0</v>
      </c>
      <c r="J125" s="33">
        <v>0</v>
      </c>
      <c r="K125" s="28">
        <f t="shared" si="27"/>
        <v>0</v>
      </c>
      <c r="L125" s="18">
        <f t="shared" si="28"/>
        <v>0</v>
      </c>
      <c r="M125" s="79">
        <f t="shared" si="28"/>
        <v>0</v>
      </c>
      <c r="N125" s="71">
        <f t="shared" si="31"/>
        <v>0</v>
      </c>
      <c r="O125" s="37"/>
      <c r="Q125" s="45"/>
    </row>
    <row r="126" spans="1:17" ht="21.6" customHeight="1">
      <c r="A126" s="76">
        <v>13</v>
      </c>
      <c r="B126" s="171" t="s">
        <v>124</v>
      </c>
      <c r="C126" s="35">
        <v>890.2</v>
      </c>
      <c r="D126" s="35">
        <v>890.2</v>
      </c>
      <c r="E126" s="17">
        <f t="shared" si="29"/>
        <v>0</v>
      </c>
      <c r="F126" s="35">
        <v>0</v>
      </c>
      <c r="G126" s="78">
        <f t="shared" si="30"/>
        <v>0</v>
      </c>
      <c r="H126" s="35">
        <v>890.2</v>
      </c>
      <c r="I126" s="19">
        <f t="shared" si="32"/>
        <v>0</v>
      </c>
      <c r="J126" s="35">
        <v>0</v>
      </c>
      <c r="K126" s="28">
        <f t="shared" si="27"/>
        <v>0</v>
      </c>
      <c r="L126" s="18">
        <f t="shared" si="28"/>
        <v>0</v>
      </c>
      <c r="M126" s="79">
        <f t="shared" si="28"/>
        <v>0</v>
      </c>
      <c r="N126" s="71">
        <f t="shared" si="31"/>
        <v>0</v>
      </c>
      <c r="O126" s="37"/>
      <c r="Q126" s="45"/>
    </row>
    <row r="127" spans="1:17" ht="21.6" customHeight="1">
      <c r="A127" s="76">
        <v>14</v>
      </c>
      <c r="B127" s="171" t="s">
        <v>174</v>
      </c>
      <c r="C127" s="35">
        <v>2401</v>
      </c>
      <c r="D127" s="35">
        <v>2401</v>
      </c>
      <c r="E127" s="17">
        <f t="shared" si="29"/>
        <v>0</v>
      </c>
      <c r="F127" s="35">
        <v>0</v>
      </c>
      <c r="G127" s="78">
        <f t="shared" si="30"/>
        <v>0</v>
      </c>
      <c r="H127" s="35">
        <v>2401</v>
      </c>
      <c r="I127" s="19">
        <f t="shared" si="32"/>
        <v>0</v>
      </c>
      <c r="J127" s="141">
        <v>0</v>
      </c>
      <c r="K127" s="28">
        <f t="shared" si="27"/>
        <v>0</v>
      </c>
      <c r="L127" s="18">
        <f t="shared" si="28"/>
        <v>0</v>
      </c>
      <c r="M127" s="79">
        <f t="shared" si="28"/>
        <v>0</v>
      </c>
      <c r="N127" s="71">
        <f t="shared" si="31"/>
        <v>0</v>
      </c>
      <c r="O127" s="37"/>
      <c r="Q127" s="45"/>
    </row>
    <row r="128" spans="1:17" ht="25.2" customHeight="1">
      <c r="A128" s="76">
        <v>15</v>
      </c>
      <c r="B128" s="138" t="s">
        <v>127</v>
      </c>
      <c r="C128" s="35">
        <v>0</v>
      </c>
      <c r="D128" s="35">
        <v>0</v>
      </c>
      <c r="E128" s="17">
        <f t="shared" si="29"/>
        <v>0</v>
      </c>
      <c r="F128" s="33">
        <v>0</v>
      </c>
      <c r="G128" s="78">
        <f t="shared" si="30"/>
        <v>0</v>
      </c>
      <c r="H128" s="35">
        <v>0</v>
      </c>
      <c r="I128" s="19">
        <f t="shared" si="32"/>
        <v>0</v>
      </c>
      <c r="J128" s="33">
        <v>0</v>
      </c>
      <c r="K128" s="28">
        <f t="shared" si="27"/>
        <v>0</v>
      </c>
      <c r="L128" s="18">
        <f t="shared" si="28"/>
        <v>0</v>
      </c>
      <c r="M128" s="79">
        <f t="shared" si="28"/>
        <v>0</v>
      </c>
      <c r="N128" s="71">
        <f t="shared" si="31"/>
        <v>0</v>
      </c>
      <c r="O128" s="77"/>
      <c r="Q128" s="45"/>
    </row>
    <row r="129" spans="1:16" ht="18">
      <c r="A129" s="196" t="s">
        <v>28</v>
      </c>
      <c r="B129" s="197"/>
      <c r="C129" s="123"/>
      <c r="D129" s="123"/>
      <c r="E129" s="40">
        <f>SUM(E114:E128)</f>
        <v>0</v>
      </c>
      <c r="F129" s="40">
        <f>SUM(F114:F128)</f>
        <v>0</v>
      </c>
      <c r="G129" s="39"/>
      <c r="H129" s="39"/>
      <c r="I129" s="40">
        <f>SUM(I114:I128)</f>
        <v>0</v>
      </c>
      <c r="J129" s="40">
        <f>SUM(J114:J128)</f>
        <v>0</v>
      </c>
      <c r="K129" s="145"/>
      <c r="L129" s="146">
        <f>SUM(L114:L128)</f>
        <v>0</v>
      </c>
      <c r="M129" s="147">
        <f>SUM(M114:M128)</f>
        <v>0</v>
      </c>
      <c r="N129" s="34"/>
      <c r="O129" s="37"/>
      <c r="P129" s="72"/>
    </row>
    <row r="130" spans="1:16" ht="21.6" thickBot="1">
      <c r="A130" s="148"/>
      <c r="B130" s="149"/>
      <c r="C130" s="149"/>
      <c r="D130" s="149"/>
      <c r="E130" s="149" t="s">
        <v>139</v>
      </c>
      <c r="F130" s="150">
        <f>F18+F24+F33+F39+F45+G110+F129</f>
        <v>9673.0299999999988</v>
      </c>
      <c r="G130" s="149"/>
      <c r="H130" s="149"/>
      <c r="I130" s="151" t="s">
        <v>140</v>
      </c>
      <c r="J130" s="150">
        <f>J18+J24+J33+J39+J45+M110+J129</f>
        <v>11598.51</v>
      </c>
      <c r="K130" s="198" t="s">
        <v>141</v>
      </c>
      <c r="L130" s="198"/>
      <c r="M130" s="198"/>
      <c r="N130" s="198"/>
      <c r="O130" s="152"/>
    </row>
    <row r="131" spans="1:16" ht="15">
      <c r="B131" s="153"/>
      <c r="C131" s="152"/>
      <c r="D131" s="152"/>
      <c r="E131" s="152"/>
      <c r="F131" s="152"/>
      <c r="G131" s="152"/>
      <c r="H131" s="152"/>
      <c r="I131" s="152"/>
      <c r="J131" s="154"/>
      <c r="K131" s="155" t="s">
        <v>142</v>
      </c>
      <c r="L131" s="199">
        <f>N2</f>
        <v>46212</v>
      </c>
      <c r="M131" s="200"/>
      <c r="N131" s="156"/>
      <c r="O131" s="157">
        <f>M129-N137</f>
        <v>0</v>
      </c>
    </row>
    <row r="132" spans="1:16" ht="18">
      <c r="B132" s="158" t="s">
        <v>143</v>
      </c>
      <c r="C132" s="159">
        <f>F130</f>
        <v>9673.0299999999988</v>
      </c>
      <c r="D132" s="160"/>
      <c r="E132" s="160"/>
      <c r="F132" s="159"/>
      <c r="G132" s="160"/>
      <c r="H132" s="160"/>
      <c r="I132" s="160"/>
      <c r="J132" s="45"/>
      <c r="K132" s="188" t="s">
        <v>144</v>
      </c>
      <c r="L132" s="189"/>
      <c r="M132" s="190"/>
      <c r="N132" s="161">
        <f>P110</f>
        <v>13483.169999999998</v>
      </c>
      <c r="O132" s="152"/>
    </row>
    <row r="133" spans="1:16" ht="18">
      <c r="B133" s="158" t="s">
        <v>145</v>
      </c>
      <c r="C133" s="159">
        <f>J130</f>
        <v>11598.51</v>
      </c>
      <c r="D133" s="160"/>
      <c r="E133" s="160"/>
      <c r="F133" s="159"/>
      <c r="G133" s="159"/>
      <c r="H133" s="160"/>
      <c r="I133" s="160"/>
      <c r="J133" s="45"/>
      <c r="K133" s="188" t="s">
        <v>146</v>
      </c>
      <c r="L133" s="189"/>
      <c r="M133" s="190"/>
      <c r="N133" s="161">
        <f>M18</f>
        <v>3999.3799999999992</v>
      </c>
      <c r="O133" s="152"/>
    </row>
    <row r="134" spans="1:16" ht="18">
      <c r="B134" s="158" t="s">
        <v>28</v>
      </c>
      <c r="C134" s="159">
        <f>C132+C133</f>
        <v>21271.54</v>
      </c>
      <c r="D134" s="160"/>
      <c r="E134" s="160"/>
      <c r="F134" s="160"/>
      <c r="G134" s="159"/>
      <c r="H134" s="160"/>
      <c r="I134" s="160"/>
      <c r="K134" s="188" t="s">
        <v>147</v>
      </c>
      <c r="L134" s="189"/>
      <c r="M134" s="190"/>
      <c r="N134" s="161">
        <f>M33</f>
        <v>1543.0099999999998</v>
      </c>
    </row>
    <row r="135" spans="1:16" ht="18">
      <c r="C135" s="45"/>
      <c r="D135" s="45"/>
      <c r="E135" s="45"/>
      <c r="F135" s="45"/>
      <c r="G135" s="45"/>
      <c r="H135" s="160" t="s">
        <v>94</v>
      </c>
      <c r="I135" s="45"/>
      <c r="K135" s="188" t="s">
        <v>148</v>
      </c>
      <c r="L135" s="189"/>
      <c r="M135" s="190"/>
      <c r="N135" s="161">
        <f>M39</f>
        <v>488.84000000000003</v>
      </c>
    </row>
    <row r="136" spans="1:16" ht="25.2" customHeight="1">
      <c r="B136" s="162" t="s">
        <v>149</v>
      </c>
      <c r="C136" s="193"/>
      <c r="D136" s="193"/>
      <c r="E136" s="193"/>
      <c r="F136" s="193"/>
      <c r="G136" s="193"/>
      <c r="H136" s="193"/>
      <c r="I136" s="193"/>
      <c r="J136" s="193"/>
      <c r="K136" s="188" t="s">
        <v>150</v>
      </c>
      <c r="L136" s="189"/>
      <c r="M136" s="190"/>
      <c r="N136" s="161">
        <f>M45</f>
        <v>1395.08</v>
      </c>
    </row>
    <row r="137" spans="1:16" ht="18">
      <c r="C137" s="45"/>
      <c r="D137" s="45"/>
      <c r="E137" s="26"/>
      <c r="F137" s="26"/>
      <c r="G137" s="45"/>
      <c r="H137" s="160"/>
      <c r="I137" s="45"/>
      <c r="K137" s="188" t="s">
        <v>151</v>
      </c>
      <c r="L137" s="189"/>
      <c r="M137" s="190"/>
      <c r="N137" s="161">
        <f>M118+M119+M120+M121</f>
        <v>0</v>
      </c>
    </row>
    <row r="138" spans="1:16" ht="18">
      <c r="E138" s="38"/>
      <c r="F138" s="45"/>
      <c r="G138" s="45"/>
      <c r="H138" s="160"/>
      <c r="I138" s="45"/>
      <c r="K138" s="188" t="s">
        <v>152</v>
      </c>
      <c r="L138" s="189"/>
      <c r="M138" s="190"/>
      <c r="N138" s="161">
        <f>O131</f>
        <v>0</v>
      </c>
    </row>
    <row r="139" spans="1:16" ht="18.600000000000001" thickBot="1">
      <c r="C139" s="38"/>
      <c r="D139" s="38"/>
      <c r="G139" s="163"/>
      <c r="H139" s="160"/>
      <c r="K139" s="188" t="s">
        <v>153</v>
      </c>
      <c r="L139" s="189"/>
      <c r="M139" s="190"/>
      <c r="N139" s="164">
        <f>M24</f>
        <v>362.06</v>
      </c>
      <c r="P139" s="38"/>
    </row>
    <row r="140" spans="1:16" ht="16.8" thickBot="1">
      <c r="C140" s="38"/>
      <c r="D140" s="38"/>
      <c r="E140" s="38"/>
      <c r="F140" s="38"/>
      <c r="H140" s="38"/>
      <c r="K140" s="191" t="s">
        <v>154</v>
      </c>
      <c r="L140" s="192"/>
      <c r="M140" s="192"/>
      <c r="N140" s="165">
        <f>SUM(N132:N139)</f>
        <v>21271.539999999997</v>
      </c>
    </row>
    <row r="141" spans="1:16">
      <c r="C141" s="38"/>
      <c r="D141" s="38"/>
      <c r="E141" s="159"/>
      <c r="F141" s="159"/>
      <c r="H141" s="38"/>
      <c r="I141" s="38"/>
    </row>
    <row r="142" spans="1:16">
      <c r="C142" s="38"/>
      <c r="D142" s="38"/>
      <c r="E142" s="38"/>
      <c r="F142" s="38"/>
      <c r="H142" s="160"/>
    </row>
    <row r="143" spans="1:16">
      <c r="A143" s="159"/>
      <c r="B143" s="159"/>
      <c r="C143" s="159"/>
      <c r="D143" s="159"/>
      <c r="E143" s="159"/>
      <c r="F143" s="159"/>
      <c r="G143" s="38"/>
      <c r="H143" s="38"/>
      <c r="N143" s="45"/>
    </row>
    <row r="144" spans="1:16">
      <c r="A144" s="159"/>
    </row>
  </sheetData>
  <mergeCells count="72">
    <mergeCell ref="K139:M139"/>
    <mergeCell ref="K140:M140"/>
    <mergeCell ref="K134:M134"/>
    <mergeCell ref="K135:M135"/>
    <mergeCell ref="C136:J136"/>
    <mergeCell ref="K136:M136"/>
    <mergeCell ref="K137:M137"/>
    <mergeCell ref="K138:M138"/>
    <mergeCell ref="K133:M133"/>
    <mergeCell ref="O47:O48"/>
    <mergeCell ref="P47:P48"/>
    <mergeCell ref="Q47:Q48"/>
    <mergeCell ref="R47:R48"/>
    <mergeCell ref="A111:L111"/>
    <mergeCell ref="A112:A113"/>
    <mergeCell ref="B112:B113"/>
    <mergeCell ref="C112:G112"/>
    <mergeCell ref="H112:K112"/>
    <mergeCell ref="M112:M113"/>
    <mergeCell ref="N112:N113"/>
    <mergeCell ref="A129:B129"/>
    <mergeCell ref="K130:N130"/>
    <mergeCell ref="L131:M131"/>
    <mergeCell ref="K132:M132"/>
    <mergeCell ref="M41:M42"/>
    <mergeCell ref="N41:N42"/>
    <mergeCell ref="A45:B45"/>
    <mergeCell ref="A46:L46"/>
    <mergeCell ref="A47:A48"/>
    <mergeCell ref="B47:B48"/>
    <mergeCell ref="C47:H47"/>
    <mergeCell ref="I47:N47"/>
    <mergeCell ref="A39:B39"/>
    <mergeCell ref="A40:L40"/>
    <mergeCell ref="A41:A42"/>
    <mergeCell ref="B41:B42"/>
    <mergeCell ref="C41:G41"/>
    <mergeCell ref="H41:K41"/>
    <mergeCell ref="M26:M27"/>
    <mergeCell ref="N26:N27"/>
    <mergeCell ref="A33:B33"/>
    <mergeCell ref="A34:L34"/>
    <mergeCell ref="A35:A36"/>
    <mergeCell ref="B35:B36"/>
    <mergeCell ref="C35:G35"/>
    <mergeCell ref="H35:K35"/>
    <mergeCell ref="M35:M36"/>
    <mergeCell ref="N35:N36"/>
    <mergeCell ref="A24:B24"/>
    <mergeCell ref="A25:L25"/>
    <mergeCell ref="A26:A27"/>
    <mergeCell ref="B26:B27"/>
    <mergeCell ref="C26:G26"/>
    <mergeCell ref="H26:K26"/>
    <mergeCell ref="O3:O4"/>
    <mergeCell ref="P3:P4"/>
    <mergeCell ref="A18:B18"/>
    <mergeCell ref="A19:L19"/>
    <mergeCell ref="A20:A21"/>
    <mergeCell ref="B20:B21"/>
    <mergeCell ref="C20:G20"/>
    <mergeCell ref="H20:K20"/>
    <mergeCell ref="M20:M21"/>
    <mergeCell ref="N20:N21"/>
    <mergeCell ref="A1:N1"/>
    <mergeCell ref="A2:L2"/>
    <mergeCell ref="A3:A4"/>
    <mergeCell ref="B3:B4"/>
    <mergeCell ref="C3:G3"/>
    <mergeCell ref="H3:L3"/>
    <mergeCell ref="M3:M4"/>
    <mergeCell ref="N3:N4"/>
  </mergeCells>
  <conditionalFormatting sqref="N7:N19 N22:N23 N28:N32 N37:N38 N43:N44">
    <cfRule type="cellIs" dxfId="35" priority="2" operator="greaterThan">
      <formula>40</formula>
    </cfRule>
  </conditionalFormatting>
  <conditionalFormatting sqref="Q49:Q110">
    <cfRule type="cellIs" dxfId="34" priority="1" operator="lessThan">
      <formula>0.5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617A8-EC88-49E9-B3C0-07236F0920F5}">
  <dimension ref="A1:AA144"/>
  <sheetViews>
    <sheetView zoomScale="74" zoomScaleNormal="74" workbookViewId="0">
      <pane ySplit="1" topLeftCell="A86" activePane="bottomLeft" state="frozen"/>
      <selection pane="bottomLeft" activeCell="R11" sqref="R11"/>
    </sheetView>
  </sheetViews>
  <sheetFormatPr defaultColWidth="9" defaultRowHeight="14.4"/>
  <cols>
    <col min="1" max="1" width="8.5546875" customWidth="1"/>
    <col min="2" max="2" width="29.44140625" bestFit="1" customWidth="1"/>
    <col min="3" max="3" width="11.6640625" customWidth="1"/>
    <col min="4" max="4" width="11.21875" customWidth="1"/>
    <col min="5" max="5" width="9.77734375" customWidth="1"/>
    <col min="6" max="6" width="13.6640625" customWidth="1"/>
    <col min="7" max="7" width="10" customWidth="1"/>
    <col min="8" max="8" width="9.77734375" customWidth="1"/>
    <col min="9" max="9" width="12.77734375" bestFit="1" customWidth="1"/>
    <col min="10" max="10" width="10.6640625" bestFit="1" customWidth="1"/>
    <col min="11" max="11" width="15.77734375" customWidth="1"/>
    <col min="12" max="12" width="10.77734375" customWidth="1"/>
    <col min="13" max="13" width="12.5546875" customWidth="1"/>
    <col min="14" max="14" width="17.88671875" customWidth="1"/>
    <col min="15" max="15" width="12.5546875" customWidth="1"/>
    <col min="16" max="16" width="10.44140625" customWidth="1"/>
    <col min="17" max="17" width="11.109375" bestFit="1" customWidth="1"/>
    <col min="19" max="19" width="9.21875" bestFit="1" customWidth="1"/>
    <col min="20" max="20" width="8.21875" bestFit="1" customWidth="1"/>
    <col min="21" max="22" width="11.21875" customWidth="1"/>
  </cols>
  <sheetData>
    <row r="1" spans="1:22" ht="18.600000000000001" thickBot="1">
      <c r="A1" s="249" t="s">
        <v>0</v>
      </c>
      <c r="B1" s="249"/>
      <c r="C1" s="249"/>
      <c r="D1" s="249"/>
      <c r="E1" s="249"/>
      <c r="F1" s="249"/>
      <c r="G1" s="249"/>
      <c r="H1" s="249"/>
      <c r="I1" s="249"/>
      <c r="J1" s="249"/>
      <c r="K1" s="249"/>
      <c r="L1" s="249"/>
      <c r="M1" s="249"/>
      <c r="N1" s="249"/>
      <c r="O1" s="1"/>
      <c r="V1" s="2"/>
    </row>
    <row r="2" spans="1:22" ht="19.8" customHeight="1" thickBot="1">
      <c r="A2" s="250" t="s">
        <v>1</v>
      </c>
      <c r="B2" s="251"/>
      <c r="C2" s="252"/>
      <c r="D2" s="252"/>
      <c r="E2" s="252"/>
      <c r="F2" s="252"/>
      <c r="G2" s="252"/>
      <c r="H2" s="252"/>
      <c r="I2" s="252"/>
      <c r="J2" s="252"/>
      <c r="K2" s="252"/>
      <c r="L2" s="251"/>
      <c r="M2" s="3" t="s">
        <v>2</v>
      </c>
      <c r="N2" s="4">
        <v>46213</v>
      </c>
      <c r="O2" s="1"/>
    </row>
    <row r="3" spans="1:22" ht="18" customHeight="1">
      <c r="A3" s="209" t="s">
        <v>3</v>
      </c>
      <c r="B3" s="211" t="s">
        <v>4</v>
      </c>
      <c r="C3" s="213" t="s">
        <v>5</v>
      </c>
      <c r="D3" s="214"/>
      <c r="E3" s="214"/>
      <c r="F3" s="214"/>
      <c r="G3" s="215"/>
      <c r="H3" s="253" t="s">
        <v>6</v>
      </c>
      <c r="I3" s="254"/>
      <c r="J3" s="254"/>
      <c r="K3" s="254"/>
      <c r="L3" s="255"/>
      <c r="M3" s="219" t="s">
        <v>7</v>
      </c>
      <c r="N3" s="194" t="s">
        <v>8</v>
      </c>
      <c r="O3" s="243" t="s">
        <v>9</v>
      </c>
      <c r="P3" s="222" t="s">
        <v>10</v>
      </c>
    </row>
    <row r="4" spans="1:22" ht="22.8" customHeight="1">
      <c r="A4" s="247"/>
      <c r="B4" s="248"/>
      <c r="C4" s="6" t="s">
        <v>11</v>
      </c>
      <c r="D4" s="6" t="s">
        <v>12</v>
      </c>
      <c r="E4" s="6" t="s">
        <v>13</v>
      </c>
      <c r="F4" s="6" t="s">
        <v>14</v>
      </c>
      <c r="G4" s="6" t="s">
        <v>8</v>
      </c>
      <c r="H4" s="6" t="s">
        <v>12</v>
      </c>
      <c r="I4" s="6" t="s">
        <v>13</v>
      </c>
      <c r="J4" s="6" t="s">
        <v>14</v>
      </c>
      <c r="K4" s="7" t="s">
        <v>8</v>
      </c>
      <c r="L4" s="8" t="s">
        <v>15</v>
      </c>
      <c r="M4" s="236"/>
      <c r="N4" s="237"/>
      <c r="O4" s="248"/>
      <c r="P4" s="243"/>
    </row>
    <row r="5" spans="1:22" ht="22.8" customHeight="1">
      <c r="A5" s="5">
        <v>1</v>
      </c>
      <c r="B5" s="9" t="s">
        <v>175</v>
      </c>
      <c r="C5" s="2">
        <v>31991.200000000001</v>
      </c>
      <c r="D5" s="2">
        <v>32003.5</v>
      </c>
      <c r="E5" s="2">
        <f>D5-C5</f>
        <v>12.299999999999272</v>
      </c>
      <c r="F5" s="2">
        <v>439.7</v>
      </c>
      <c r="G5" s="10">
        <f>IFERROR(F5/E5,0)</f>
        <v>35.747967479676909</v>
      </c>
      <c r="H5" s="2">
        <v>32003.5</v>
      </c>
      <c r="I5" s="167">
        <f>H5-D5</f>
        <v>0</v>
      </c>
      <c r="J5" s="2">
        <v>0</v>
      </c>
      <c r="K5" s="11">
        <f>IFERROR(J5/I5,0)</f>
        <v>0</v>
      </c>
      <c r="L5" s="12">
        <f>E5+I5</f>
        <v>12.299999999999272</v>
      </c>
      <c r="M5" s="13">
        <f>F5+J5</f>
        <v>439.7</v>
      </c>
      <c r="N5" s="14">
        <f>IFERROR(M5/L5,0)</f>
        <v>35.747967479676909</v>
      </c>
      <c r="O5" s="2">
        <v>22</v>
      </c>
      <c r="P5" s="5"/>
    </row>
    <row r="6" spans="1:22" ht="22.8" customHeight="1">
      <c r="A6" s="81">
        <v>2</v>
      </c>
      <c r="B6" s="16" t="s">
        <v>170</v>
      </c>
      <c r="C6" s="49">
        <v>33774.699999999997</v>
      </c>
      <c r="D6" s="49">
        <v>33779.699999999997</v>
      </c>
      <c r="E6" s="2">
        <f>D6-C6</f>
        <v>5</v>
      </c>
      <c r="F6" s="49">
        <v>149</v>
      </c>
      <c r="G6" s="10">
        <f>IFERROR(F6/E6,0)</f>
        <v>29.8</v>
      </c>
      <c r="H6" s="49">
        <v>33786.400000000001</v>
      </c>
      <c r="I6" s="167">
        <f>H6-D6</f>
        <v>6.7000000000043656</v>
      </c>
      <c r="J6" s="49">
        <v>193</v>
      </c>
      <c r="K6" s="11">
        <f>IFERROR(J6/I6,0)</f>
        <v>28.805970149234962</v>
      </c>
      <c r="L6" s="169">
        <v>0</v>
      </c>
      <c r="M6" s="13">
        <f>F6+J6</f>
        <v>342</v>
      </c>
      <c r="N6" s="14">
        <f>IFERROR(M6/L6,0)</f>
        <v>0</v>
      </c>
      <c r="O6" s="49">
        <v>147</v>
      </c>
      <c r="P6" s="81"/>
    </row>
    <row r="7" spans="1:22" ht="24" customHeight="1">
      <c r="A7" s="5">
        <v>3</v>
      </c>
      <c r="B7" s="16" t="s">
        <v>17</v>
      </c>
      <c r="C7" s="17">
        <v>32493.3</v>
      </c>
      <c r="D7" s="17">
        <v>32493.3</v>
      </c>
      <c r="E7" s="17">
        <f t="shared" ref="E7:E17" si="0">D7-C7</f>
        <v>0</v>
      </c>
      <c r="F7" s="18">
        <v>0</v>
      </c>
      <c r="G7" s="10">
        <f>IFERROR(F7/E7,0)</f>
        <v>0</v>
      </c>
      <c r="H7" s="17">
        <v>32493.3</v>
      </c>
      <c r="I7" s="19">
        <f t="shared" ref="I7:I14" si="1">H7-D7</f>
        <v>0</v>
      </c>
      <c r="J7" s="20">
        <v>0</v>
      </c>
      <c r="K7" s="21">
        <f>IFERROR(J7/I7,0)</f>
        <v>0</v>
      </c>
      <c r="L7" s="18">
        <f>E7+I7</f>
        <v>0</v>
      </c>
      <c r="M7" s="22">
        <f>F7+J7</f>
        <v>0</v>
      </c>
      <c r="N7" s="23">
        <f>IFERROR(M7/L7,0)</f>
        <v>0</v>
      </c>
      <c r="O7" s="24">
        <v>0</v>
      </c>
      <c r="P7" s="25"/>
      <c r="Q7" s="26"/>
    </row>
    <row r="8" spans="1:22" ht="25.8" customHeight="1">
      <c r="A8" s="81">
        <v>4</v>
      </c>
      <c r="B8" s="16" t="s">
        <v>18</v>
      </c>
      <c r="C8" s="17">
        <v>24602.799999999999</v>
      </c>
      <c r="D8" s="17">
        <v>24615.7</v>
      </c>
      <c r="E8" s="17">
        <f t="shared" si="0"/>
        <v>12.900000000001455</v>
      </c>
      <c r="F8" s="18">
        <v>418.54</v>
      </c>
      <c r="G8" s="10">
        <f t="shared" ref="G8:G13" si="2">IFERROR(F8/E8,0)</f>
        <v>32.444961240306419</v>
      </c>
      <c r="H8" s="17">
        <v>24626.7</v>
      </c>
      <c r="I8" s="19">
        <f t="shared" si="1"/>
        <v>11</v>
      </c>
      <c r="J8" s="20">
        <v>393</v>
      </c>
      <c r="K8" s="28">
        <f t="shared" ref="K8:K14" si="3">IFERROR(J8/I8,0)</f>
        <v>35.727272727272727</v>
      </c>
      <c r="L8" s="18">
        <f t="shared" ref="L8:M16" si="4">E8+I8</f>
        <v>23.900000000001455</v>
      </c>
      <c r="M8" s="22">
        <f t="shared" si="4"/>
        <v>811.54</v>
      </c>
      <c r="N8" s="23">
        <f t="shared" ref="N8:N17" si="5">IFERROR(M8/L8,0)</f>
        <v>33.955648535562787</v>
      </c>
      <c r="O8" s="29">
        <v>295</v>
      </c>
      <c r="P8" s="30"/>
      <c r="Q8" s="26"/>
      <c r="S8" s="26"/>
    </row>
    <row r="9" spans="1:22" ht="25.8" customHeight="1">
      <c r="A9" s="5">
        <v>5</v>
      </c>
      <c r="B9" s="31" t="s">
        <v>19</v>
      </c>
      <c r="C9" s="17">
        <v>32524.7</v>
      </c>
      <c r="D9" s="17">
        <v>32530.400000000001</v>
      </c>
      <c r="E9" s="17">
        <f t="shared" si="0"/>
        <v>5.7000000000007276</v>
      </c>
      <c r="F9" s="32">
        <v>175.51</v>
      </c>
      <c r="G9" s="10">
        <f t="shared" si="2"/>
        <v>30.791228070171506</v>
      </c>
      <c r="H9" s="17">
        <v>32537.7</v>
      </c>
      <c r="I9" s="19">
        <f t="shared" si="1"/>
        <v>7.2999999999992724</v>
      </c>
      <c r="J9" s="33">
        <v>250.16</v>
      </c>
      <c r="K9" s="28">
        <f t="shared" si="3"/>
        <v>34.26849315068835</v>
      </c>
      <c r="L9" s="18">
        <f t="shared" si="4"/>
        <v>13</v>
      </c>
      <c r="M9" s="22">
        <f t="shared" si="4"/>
        <v>425.66999999999996</v>
      </c>
      <c r="N9" s="23">
        <f t="shared" si="5"/>
        <v>32.74384615384615</v>
      </c>
      <c r="O9" s="29">
        <v>178</v>
      </c>
      <c r="P9" s="30"/>
      <c r="Q9" s="26"/>
      <c r="S9" s="26"/>
    </row>
    <row r="10" spans="1:22" ht="25.8" customHeight="1">
      <c r="A10" s="81">
        <v>6</v>
      </c>
      <c r="B10" s="16" t="s">
        <v>20</v>
      </c>
      <c r="C10" s="17">
        <v>33481.5</v>
      </c>
      <c r="D10" s="17">
        <v>33495.4</v>
      </c>
      <c r="E10" s="17">
        <f>D10-C10</f>
        <v>13.900000000001455</v>
      </c>
      <c r="F10" s="34">
        <v>420</v>
      </c>
      <c r="G10" s="10">
        <f>IFERROR(F10/E10,0)</f>
        <v>30.215827338126331</v>
      </c>
      <c r="H10" s="17">
        <v>33502.1</v>
      </c>
      <c r="I10" s="19">
        <f>H10-D10</f>
        <v>6.6999999999970896</v>
      </c>
      <c r="J10" s="33">
        <v>231.71</v>
      </c>
      <c r="K10" s="28">
        <f>IFERROR(J10/I10,0)</f>
        <v>34.583582089567265</v>
      </c>
      <c r="L10" s="18">
        <f>E10+I10</f>
        <v>20.599999999998545</v>
      </c>
      <c r="M10" s="22">
        <f>F10+J10</f>
        <v>651.71</v>
      </c>
      <c r="N10" s="23">
        <f>IFERROR(M10/L10,0)</f>
        <v>31.636407766992527</v>
      </c>
      <c r="O10" s="29">
        <v>231</v>
      </c>
      <c r="P10" s="30"/>
      <c r="Q10" s="26"/>
      <c r="S10" s="26"/>
    </row>
    <row r="11" spans="1:22" ht="22.8" customHeight="1">
      <c r="A11" s="5">
        <v>7</v>
      </c>
      <c r="B11" s="16" t="s">
        <v>21</v>
      </c>
      <c r="C11" s="17">
        <v>27955.8</v>
      </c>
      <c r="D11" s="17">
        <v>27955.8</v>
      </c>
      <c r="E11" s="17">
        <f t="shared" si="0"/>
        <v>0</v>
      </c>
      <c r="F11" s="32">
        <v>0</v>
      </c>
      <c r="G11" s="10">
        <f t="shared" si="2"/>
        <v>0</v>
      </c>
      <c r="H11" s="17">
        <v>28006.3</v>
      </c>
      <c r="I11" s="19">
        <f t="shared" si="1"/>
        <v>50.5</v>
      </c>
      <c r="J11" s="20">
        <v>228</v>
      </c>
      <c r="K11" s="28">
        <f t="shared" si="3"/>
        <v>4.5148514851485144</v>
      </c>
      <c r="L11" s="18">
        <f t="shared" si="4"/>
        <v>50.5</v>
      </c>
      <c r="M11" s="22">
        <f t="shared" si="4"/>
        <v>228</v>
      </c>
      <c r="N11" s="23">
        <f t="shared" si="5"/>
        <v>4.5148514851485144</v>
      </c>
      <c r="O11" s="29">
        <v>85</v>
      </c>
      <c r="P11" s="30"/>
      <c r="Q11" s="26"/>
      <c r="S11" s="26"/>
    </row>
    <row r="12" spans="1:22" ht="22.8" customHeight="1">
      <c r="A12" s="81">
        <v>8</v>
      </c>
      <c r="B12" s="31" t="s">
        <v>22</v>
      </c>
      <c r="C12" s="35">
        <v>27364.3</v>
      </c>
      <c r="D12" s="35">
        <v>27377.599999999999</v>
      </c>
      <c r="E12" s="17">
        <f t="shared" si="0"/>
        <v>13.299999999999272</v>
      </c>
      <c r="F12" s="32">
        <v>342.74</v>
      </c>
      <c r="G12" s="10">
        <f t="shared" si="2"/>
        <v>25.769924812031487</v>
      </c>
      <c r="H12" s="35">
        <v>27387.4</v>
      </c>
      <c r="I12" s="19">
        <f t="shared" si="1"/>
        <v>9.8000000000029104</v>
      </c>
      <c r="J12" s="33">
        <v>282.64999999999998</v>
      </c>
      <c r="K12" s="28">
        <f t="shared" si="3"/>
        <v>28.841836734685309</v>
      </c>
      <c r="L12" s="18">
        <f t="shared" si="4"/>
        <v>23.100000000002183</v>
      </c>
      <c r="M12" s="22">
        <f t="shared" si="4"/>
        <v>625.39</v>
      </c>
      <c r="N12" s="23">
        <f t="shared" si="5"/>
        <v>27.073160173157614</v>
      </c>
      <c r="O12" s="29">
        <v>215</v>
      </c>
      <c r="P12" s="30"/>
      <c r="Q12" s="26"/>
      <c r="S12" s="26"/>
    </row>
    <row r="13" spans="1:22" ht="24" customHeight="1">
      <c r="A13" s="5">
        <v>9</v>
      </c>
      <c r="B13" s="31" t="s">
        <v>23</v>
      </c>
      <c r="C13" s="17">
        <v>22507.88</v>
      </c>
      <c r="D13" s="17">
        <v>22519.45</v>
      </c>
      <c r="E13" s="17">
        <f t="shared" si="0"/>
        <v>11.569999999999709</v>
      </c>
      <c r="F13" s="34">
        <v>364</v>
      </c>
      <c r="G13" s="10">
        <f t="shared" si="2"/>
        <v>31.460674157304162</v>
      </c>
      <c r="H13" s="17">
        <v>22528.34</v>
      </c>
      <c r="I13" s="19">
        <f t="shared" si="1"/>
        <v>8.8899999999994179</v>
      </c>
      <c r="J13" s="20">
        <v>317.16000000000003</v>
      </c>
      <c r="K13" s="28">
        <f t="shared" si="3"/>
        <v>35.676040494940473</v>
      </c>
      <c r="L13" s="18">
        <f t="shared" si="4"/>
        <v>20.459999999999127</v>
      </c>
      <c r="M13" s="22">
        <f t="shared" si="4"/>
        <v>681.16000000000008</v>
      </c>
      <c r="N13" s="23">
        <f t="shared" si="5"/>
        <v>33.292277614859685</v>
      </c>
      <c r="O13" s="29">
        <v>264</v>
      </c>
      <c r="P13" s="36"/>
      <c r="Q13" s="26"/>
      <c r="S13" s="26"/>
    </row>
    <row r="14" spans="1:22" ht="24" customHeight="1">
      <c r="A14" s="81">
        <v>10</v>
      </c>
      <c r="B14" s="31" t="s">
        <v>24</v>
      </c>
      <c r="C14" s="17">
        <v>22478.35</v>
      </c>
      <c r="D14" s="17">
        <v>22492.12</v>
      </c>
      <c r="E14" s="17">
        <f t="shared" si="0"/>
        <v>13.770000000000437</v>
      </c>
      <c r="F14" s="32">
        <v>452</v>
      </c>
      <c r="G14" s="10">
        <f>IFERROR(F14/E14,0)</f>
        <v>32.824981844588649</v>
      </c>
      <c r="H14" s="17">
        <v>22499.63</v>
      </c>
      <c r="I14" s="19">
        <f t="shared" si="1"/>
        <v>7.5100000000020373</v>
      </c>
      <c r="J14" s="20">
        <v>248.69</v>
      </c>
      <c r="K14" s="28">
        <f t="shared" si="3"/>
        <v>33.114513981349205</v>
      </c>
      <c r="L14" s="18">
        <f t="shared" si="4"/>
        <v>21.280000000002474</v>
      </c>
      <c r="M14" s="22">
        <f t="shared" si="4"/>
        <v>700.69</v>
      </c>
      <c r="N14" s="23">
        <f t="shared" si="5"/>
        <v>32.92716165413151</v>
      </c>
      <c r="O14" s="29">
        <v>245</v>
      </c>
      <c r="P14" s="37"/>
      <c r="Q14" s="26"/>
      <c r="S14" s="26"/>
    </row>
    <row r="15" spans="1:22" ht="24" customHeight="1">
      <c r="A15" s="5">
        <v>11</v>
      </c>
      <c r="B15" s="31" t="s">
        <v>25</v>
      </c>
      <c r="C15" s="17">
        <v>19969.38</v>
      </c>
      <c r="D15" s="17">
        <v>19981.05</v>
      </c>
      <c r="E15" s="17">
        <f t="shared" si="0"/>
        <v>11.669999999998254</v>
      </c>
      <c r="F15" s="32">
        <v>491.81</v>
      </c>
      <c r="G15" s="10">
        <f>IFERROR(F15/E15,0)</f>
        <v>42.143101970871776</v>
      </c>
      <c r="H15" s="17">
        <v>19990.419999999998</v>
      </c>
      <c r="I15" s="19">
        <f>H15-D15</f>
        <v>9.3699999999989814</v>
      </c>
      <c r="J15" s="20">
        <v>434.87</v>
      </c>
      <c r="K15" s="28">
        <f>IFERROR(J15/I15,0)</f>
        <v>46.410885805768118</v>
      </c>
      <c r="L15" s="18">
        <f>E15+I15</f>
        <v>21.039999999997235</v>
      </c>
      <c r="M15" s="22">
        <f t="shared" si="4"/>
        <v>926.68000000000006</v>
      </c>
      <c r="N15" s="23">
        <f t="shared" si="5"/>
        <v>44.043726235747236</v>
      </c>
      <c r="O15" s="29">
        <v>255</v>
      </c>
      <c r="P15" s="37"/>
      <c r="Q15" s="26"/>
      <c r="S15" s="26"/>
      <c r="T15" s="38"/>
    </row>
    <row r="16" spans="1:22" ht="24" customHeight="1">
      <c r="A16" s="81">
        <v>12</v>
      </c>
      <c r="B16" s="31" t="s">
        <v>27</v>
      </c>
      <c r="C16" s="17">
        <v>18238</v>
      </c>
      <c r="D16" s="17">
        <v>18238</v>
      </c>
      <c r="E16" s="17">
        <f t="shared" si="0"/>
        <v>0</v>
      </c>
      <c r="F16" s="18">
        <v>0</v>
      </c>
      <c r="G16" s="10">
        <f>IFERROR(F16/E16,0)</f>
        <v>0</v>
      </c>
      <c r="H16" s="17">
        <v>18238</v>
      </c>
      <c r="I16" s="19">
        <f t="shared" ref="I16" si="6">H16-D16</f>
        <v>0</v>
      </c>
      <c r="J16" s="20">
        <v>0</v>
      </c>
      <c r="K16" s="28">
        <f t="shared" ref="K16" si="7">IFERROR(J16/I16,0)</f>
        <v>0</v>
      </c>
      <c r="L16" s="18">
        <f t="shared" ref="L16" si="8">E16+I16</f>
        <v>0</v>
      </c>
      <c r="M16" s="22">
        <f t="shared" si="4"/>
        <v>0</v>
      </c>
      <c r="N16" s="23">
        <f t="shared" si="5"/>
        <v>0</v>
      </c>
      <c r="O16" s="29">
        <v>0</v>
      </c>
      <c r="P16" s="37"/>
      <c r="Q16" s="26"/>
      <c r="S16" s="26"/>
      <c r="T16" s="38"/>
    </row>
    <row r="17" spans="1:20" ht="24" customHeight="1">
      <c r="A17" s="5">
        <v>13</v>
      </c>
      <c r="B17" s="31" t="s">
        <v>26</v>
      </c>
      <c r="C17" s="17">
        <v>15231.7</v>
      </c>
      <c r="D17" s="17">
        <v>15231.7</v>
      </c>
      <c r="E17" s="17">
        <f t="shared" si="0"/>
        <v>0</v>
      </c>
      <c r="F17" s="32">
        <v>0</v>
      </c>
      <c r="G17" s="10">
        <f>IFERROR(F17/E17,0)</f>
        <v>0</v>
      </c>
      <c r="H17" s="17">
        <v>15231.7</v>
      </c>
      <c r="I17" s="19">
        <f>H17-D17</f>
        <v>0</v>
      </c>
      <c r="J17" s="20">
        <v>0</v>
      </c>
      <c r="K17" s="28">
        <f>IFERROR(J17/I17,0)</f>
        <v>0</v>
      </c>
      <c r="L17" s="18">
        <f>E17+I17</f>
        <v>0</v>
      </c>
      <c r="M17" s="22">
        <f>F17+J17</f>
        <v>0</v>
      </c>
      <c r="N17" s="23">
        <f t="shared" si="5"/>
        <v>0</v>
      </c>
      <c r="O17" s="29">
        <v>0</v>
      </c>
      <c r="P17" s="37"/>
      <c r="Q17" s="26"/>
      <c r="S17" s="26"/>
      <c r="T17" s="38"/>
    </row>
    <row r="18" spans="1:20" ht="24" customHeight="1">
      <c r="A18" s="196" t="s">
        <v>28</v>
      </c>
      <c r="B18" s="197"/>
      <c r="C18" s="39"/>
      <c r="D18" s="39"/>
      <c r="E18" s="40">
        <f>SUM(E7:E17)</f>
        <v>82.81000000000131</v>
      </c>
      <c r="F18" s="41">
        <f>SUM(F5:F17)</f>
        <v>3253.2999999999997</v>
      </c>
      <c r="G18" s="39"/>
      <c r="H18" s="39"/>
      <c r="I18" s="40">
        <f>SUM(I7:I17)</f>
        <v>111.06999999999971</v>
      </c>
      <c r="J18" s="41">
        <f>SUM(J5:J17)</f>
        <v>2579.2399999999998</v>
      </c>
      <c r="K18" s="28">
        <f>IFERROR(J18/I18,0)</f>
        <v>23.221752048257915</v>
      </c>
      <c r="L18" s="42">
        <f>SUM(L7:L17)</f>
        <v>193.88000000000102</v>
      </c>
      <c r="M18" s="43">
        <f>SUM(M5:M17)</f>
        <v>5832.5400000000009</v>
      </c>
      <c r="N18" s="23">
        <f>IFERROR(M18/L18,0)</f>
        <v>30.083247369506758</v>
      </c>
      <c r="O18" s="44">
        <f>SUM(O5:O17)</f>
        <v>1937</v>
      </c>
      <c r="P18" s="45"/>
      <c r="S18" s="26"/>
    </row>
    <row r="19" spans="1:20" ht="18" customHeight="1" thickBot="1">
      <c r="A19" s="206" t="s">
        <v>29</v>
      </c>
      <c r="B19" s="207"/>
      <c r="C19" s="207"/>
      <c r="D19" s="207"/>
      <c r="E19" s="207"/>
      <c r="F19" s="207"/>
      <c r="G19" s="207"/>
      <c r="H19" s="207"/>
      <c r="I19" s="207"/>
      <c r="J19" s="207"/>
      <c r="K19" s="207"/>
      <c r="L19" s="208"/>
      <c r="M19" s="46"/>
      <c r="N19" s="47"/>
      <c r="O19" s="37"/>
    </row>
    <row r="20" spans="1:20" ht="22.8" customHeight="1">
      <c r="A20" s="209" t="s">
        <v>3</v>
      </c>
      <c r="B20" s="211" t="s">
        <v>4</v>
      </c>
      <c r="C20" s="234" t="s">
        <v>5</v>
      </c>
      <c r="D20" s="234"/>
      <c r="E20" s="234"/>
      <c r="F20" s="234"/>
      <c r="G20" s="234"/>
      <c r="H20" s="235" t="s">
        <v>6</v>
      </c>
      <c r="I20" s="235"/>
      <c r="J20" s="235"/>
      <c r="K20" s="235"/>
      <c r="L20" s="48"/>
      <c r="M20" s="219" t="s">
        <v>7</v>
      </c>
      <c r="N20" s="194" t="s">
        <v>8</v>
      </c>
      <c r="O20" s="37"/>
    </row>
    <row r="21" spans="1:20" s="51" customFormat="1" ht="24" customHeight="1" thickBot="1">
      <c r="A21" s="210"/>
      <c r="B21" s="212"/>
      <c r="C21" s="49" t="s">
        <v>11</v>
      </c>
      <c r="D21" s="49" t="s">
        <v>12</v>
      </c>
      <c r="E21" s="49" t="s">
        <v>13</v>
      </c>
      <c r="F21" s="2" t="s">
        <v>14</v>
      </c>
      <c r="G21" s="2" t="s">
        <v>8</v>
      </c>
      <c r="H21" s="49" t="s">
        <v>12</v>
      </c>
      <c r="I21" s="49" t="s">
        <v>13</v>
      </c>
      <c r="J21" s="49" t="s">
        <v>14</v>
      </c>
      <c r="K21" s="7" t="s">
        <v>8</v>
      </c>
      <c r="L21" s="50" t="s">
        <v>15</v>
      </c>
      <c r="M21" s="220"/>
      <c r="N21" s="195"/>
      <c r="O21" s="37"/>
      <c r="Q21"/>
      <c r="R21"/>
      <c r="S21"/>
      <c r="T21"/>
    </row>
    <row r="22" spans="1:20" s="51" customFormat="1" ht="24" customHeight="1">
      <c r="A22" s="27">
        <v>1</v>
      </c>
      <c r="B22" s="52" t="s">
        <v>30</v>
      </c>
      <c r="C22" s="6">
        <v>18792.5</v>
      </c>
      <c r="D22" s="6">
        <v>18801.400000000001</v>
      </c>
      <c r="E22" s="53">
        <f>D22-C22</f>
        <v>8.9000000000014552</v>
      </c>
      <c r="F22" s="54">
        <v>105</v>
      </c>
      <c r="G22" s="55">
        <f>IFERROR(F22/E22,0)</f>
        <v>11.797752808986836</v>
      </c>
      <c r="H22" s="6">
        <v>18808</v>
      </c>
      <c r="I22" s="56">
        <f>H22-D22</f>
        <v>6.5999999999985448</v>
      </c>
      <c r="J22" s="54">
        <v>92</v>
      </c>
      <c r="K22" s="57">
        <f>IFERROR(J22/I22,0)</f>
        <v>13.939393939397013</v>
      </c>
      <c r="L22" s="58">
        <f>E22+I22</f>
        <v>15.5</v>
      </c>
      <c r="M22" s="59">
        <f t="shared" ref="M22:M23" si="9">F22+J22</f>
        <v>197</v>
      </c>
      <c r="N22" s="60">
        <f>IFERROR(M22/L22,0)</f>
        <v>12.709677419354838</v>
      </c>
      <c r="O22" s="61"/>
      <c r="Q22"/>
      <c r="R22"/>
      <c r="S22"/>
      <c r="T22"/>
    </row>
    <row r="23" spans="1:20" ht="24" customHeight="1">
      <c r="A23" s="62">
        <v>2</v>
      </c>
      <c r="B23" s="52" t="s">
        <v>31</v>
      </c>
      <c r="C23" s="63">
        <v>11185.4</v>
      </c>
      <c r="D23" s="63">
        <v>11193.5</v>
      </c>
      <c r="E23" s="53">
        <f>D23-C23</f>
        <v>8.1000000000003638</v>
      </c>
      <c r="F23" s="54">
        <v>128</v>
      </c>
      <c r="G23" s="55">
        <f>IFERROR(F23/E23,0)</f>
        <v>15.802469135801759</v>
      </c>
      <c r="H23" s="63">
        <v>11200.6</v>
      </c>
      <c r="I23" s="64">
        <f>H23-D23</f>
        <v>7.1000000000003638</v>
      </c>
      <c r="J23" s="54">
        <v>132.36000000000001</v>
      </c>
      <c r="K23" s="57">
        <f>IFERROR(J23/I23,0)</f>
        <v>18.642253521125806</v>
      </c>
      <c r="L23" s="58">
        <f>E23+I23</f>
        <v>15.200000000000728</v>
      </c>
      <c r="M23" s="59">
        <f t="shared" si="9"/>
        <v>260.36</v>
      </c>
      <c r="N23" s="60">
        <f>IFERROR(M23/L23,0)</f>
        <v>17.128947368420235</v>
      </c>
      <c r="O23" s="65"/>
    </row>
    <row r="24" spans="1:20" ht="24" customHeight="1" thickBot="1">
      <c r="A24" s="238" t="s">
        <v>28</v>
      </c>
      <c r="B24" s="239"/>
      <c r="C24" s="66"/>
      <c r="D24" s="66"/>
      <c r="E24" s="67">
        <f>SUM(E22:E23)</f>
        <v>17.000000000001819</v>
      </c>
      <c r="F24" s="67">
        <f>SUM(F22:F23)</f>
        <v>233</v>
      </c>
      <c r="G24" s="68"/>
      <c r="H24" s="68"/>
      <c r="I24" s="67">
        <f>SUM(I22:I23)</f>
        <v>13.699999999998909</v>
      </c>
      <c r="J24" s="67">
        <f>SUM(J22:J23)</f>
        <v>224.36</v>
      </c>
      <c r="K24" s="69">
        <f>SUM(K22:K23)</f>
        <v>32.581647460522817</v>
      </c>
      <c r="L24" s="70">
        <f>SUM(L22:L23)</f>
        <v>30.700000000000728</v>
      </c>
      <c r="M24" s="43">
        <f>SUM(M22:M23)</f>
        <v>457.36</v>
      </c>
      <c r="N24" s="71"/>
      <c r="O24" s="37"/>
      <c r="P24" s="72"/>
    </row>
    <row r="25" spans="1:20" ht="18" customHeight="1" thickBot="1">
      <c r="A25" s="245" t="s">
        <v>32</v>
      </c>
      <c r="B25" s="246"/>
      <c r="C25" s="226"/>
      <c r="D25" s="226"/>
      <c r="E25" s="226"/>
      <c r="F25" s="226"/>
      <c r="G25" s="226"/>
      <c r="H25" s="226"/>
      <c r="I25" s="226"/>
      <c r="J25" s="226"/>
      <c r="K25" s="226"/>
      <c r="L25" s="246"/>
      <c r="M25" s="46"/>
      <c r="N25" s="47"/>
      <c r="O25" s="37"/>
    </row>
    <row r="26" spans="1:20" ht="22.8" customHeight="1">
      <c r="A26" s="209" t="s">
        <v>3</v>
      </c>
      <c r="B26" s="211" t="s">
        <v>4</v>
      </c>
      <c r="C26" s="234" t="s">
        <v>5</v>
      </c>
      <c r="D26" s="234"/>
      <c r="E26" s="234"/>
      <c r="F26" s="234"/>
      <c r="G26" s="234"/>
      <c r="H26" s="235" t="s">
        <v>6</v>
      </c>
      <c r="I26" s="235"/>
      <c r="J26" s="235"/>
      <c r="K26" s="235"/>
      <c r="L26" s="48"/>
      <c r="M26" s="219" t="s">
        <v>7</v>
      </c>
      <c r="N26" s="194" t="s">
        <v>8</v>
      </c>
      <c r="O26" s="37"/>
      <c r="S26" s="51"/>
    </row>
    <row r="27" spans="1:20" ht="24" customHeight="1">
      <c r="A27" s="247"/>
      <c r="B27" s="248"/>
      <c r="C27" s="6" t="s">
        <v>11</v>
      </c>
      <c r="D27" s="6" t="s">
        <v>12</v>
      </c>
      <c r="E27" s="6" t="s">
        <v>13</v>
      </c>
      <c r="F27" s="6" t="s">
        <v>14</v>
      </c>
      <c r="G27" s="6" t="s">
        <v>8</v>
      </c>
      <c r="H27" s="6" t="s">
        <v>12</v>
      </c>
      <c r="I27" s="6" t="s">
        <v>13</v>
      </c>
      <c r="J27" s="6" t="s">
        <v>14</v>
      </c>
      <c r="K27" s="7" t="s">
        <v>8</v>
      </c>
      <c r="L27" s="73" t="s">
        <v>15</v>
      </c>
      <c r="M27" s="236"/>
      <c r="N27" s="237"/>
      <c r="O27" s="37"/>
      <c r="P27" s="74"/>
      <c r="S27" s="51"/>
      <c r="T27" s="75"/>
    </row>
    <row r="28" spans="1:20" ht="24" customHeight="1">
      <c r="A28" s="76">
        <v>1</v>
      </c>
      <c r="B28" s="31" t="s">
        <v>33</v>
      </c>
      <c r="C28" s="35">
        <v>21565.599999999999</v>
      </c>
      <c r="D28" s="35">
        <v>21572.6</v>
      </c>
      <c r="E28" s="35">
        <f>D28-C28</f>
        <v>7</v>
      </c>
      <c r="F28" s="33">
        <v>120</v>
      </c>
      <c r="G28" s="10">
        <f t="shared" ref="G28:G32" si="10">IFERROR(F28/E28,0)</f>
        <v>17.142857142857142</v>
      </c>
      <c r="H28" s="35">
        <v>21580.799999999999</v>
      </c>
      <c r="I28" s="56">
        <f>H28-D28</f>
        <v>8.2000000000007276</v>
      </c>
      <c r="J28" s="33">
        <v>182.69</v>
      </c>
      <c r="K28" s="28">
        <f t="shared" ref="K28:K32" si="11">IFERROR(J28/I28,0)</f>
        <v>22.27926829268095</v>
      </c>
      <c r="L28" s="18">
        <f t="shared" ref="L28:M32" si="12">E28+I28</f>
        <v>15.200000000000728</v>
      </c>
      <c r="M28" s="22">
        <f t="shared" si="12"/>
        <v>302.69</v>
      </c>
      <c r="N28" s="23">
        <f>IFERROR(M28/L28,0)</f>
        <v>19.913815789472732</v>
      </c>
      <c r="O28" s="37"/>
    </row>
    <row r="29" spans="1:20" ht="24" customHeight="1">
      <c r="A29" s="76">
        <v>2</v>
      </c>
      <c r="B29" s="31" t="s">
        <v>34</v>
      </c>
      <c r="C29" s="35">
        <v>21040.2</v>
      </c>
      <c r="D29" s="35">
        <v>21053.200000000001</v>
      </c>
      <c r="E29" s="35">
        <f>D29-C29</f>
        <v>13</v>
      </c>
      <c r="F29" s="33">
        <v>235</v>
      </c>
      <c r="G29" s="10">
        <f t="shared" si="10"/>
        <v>18.076923076923077</v>
      </c>
      <c r="H29" s="35">
        <v>21057.4</v>
      </c>
      <c r="I29" s="56">
        <f>H29-D29</f>
        <v>4.2000000000007276</v>
      </c>
      <c r="J29" s="33">
        <v>102.18</v>
      </c>
      <c r="K29" s="28">
        <f>IFERROR(J29/I29,0)</f>
        <v>24.328571428567216</v>
      </c>
      <c r="L29" s="18">
        <f t="shared" si="12"/>
        <v>17.200000000000728</v>
      </c>
      <c r="M29" s="22">
        <f t="shared" si="12"/>
        <v>337.18</v>
      </c>
      <c r="N29" s="23">
        <f>IFERROR(M29/L29,0)</f>
        <v>19.603488372092194</v>
      </c>
      <c r="O29" s="37"/>
    </row>
    <row r="30" spans="1:20" ht="24" customHeight="1">
      <c r="A30" s="76">
        <v>3</v>
      </c>
      <c r="B30" s="31" t="s">
        <v>35</v>
      </c>
      <c r="C30" s="35">
        <v>8910.9</v>
      </c>
      <c r="D30" s="35">
        <v>8910.9</v>
      </c>
      <c r="E30" s="17">
        <f t="shared" ref="E30:E32" si="13">D30-C30</f>
        <v>0</v>
      </c>
      <c r="F30" s="33">
        <v>0</v>
      </c>
      <c r="G30" s="10">
        <f t="shared" si="10"/>
        <v>0</v>
      </c>
      <c r="H30" s="35">
        <v>8910.9</v>
      </c>
      <c r="I30" s="19">
        <f>H30-D30</f>
        <v>0</v>
      </c>
      <c r="J30" s="33">
        <v>0</v>
      </c>
      <c r="K30" s="28">
        <f t="shared" si="11"/>
        <v>0</v>
      </c>
      <c r="L30" s="18">
        <f t="shared" si="12"/>
        <v>0</v>
      </c>
      <c r="M30" s="22">
        <f t="shared" si="12"/>
        <v>0</v>
      </c>
      <c r="N30" s="23">
        <f>IFERROR(M30/L30,0)</f>
        <v>0</v>
      </c>
      <c r="O30" s="77"/>
    </row>
    <row r="31" spans="1:20" ht="24.6" customHeight="1">
      <c r="A31" s="76">
        <v>4</v>
      </c>
      <c r="B31" s="31" t="s">
        <v>36</v>
      </c>
      <c r="C31" s="35">
        <v>3345.2</v>
      </c>
      <c r="D31" s="35">
        <v>3353.1</v>
      </c>
      <c r="E31" s="17">
        <f t="shared" si="13"/>
        <v>7.9000000000000909</v>
      </c>
      <c r="F31" s="33">
        <v>198.16</v>
      </c>
      <c r="G31" s="78">
        <f t="shared" si="10"/>
        <v>25.083544303797179</v>
      </c>
      <c r="H31" s="35">
        <v>3360</v>
      </c>
      <c r="I31" s="19">
        <f t="shared" ref="I31:I32" si="14">H31-D31</f>
        <v>6.9000000000000909</v>
      </c>
      <c r="J31" s="33">
        <v>171</v>
      </c>
      <c r="K31" s="28">
        <f t="shared" si="11"/>
        <v>24.782608695651849</v>
      </c>
      <c r="L31" s="18">
        <f t="shared" si="12"/>
        <v>14.800000000000182</v>
      </c>
      <c r="M31" s="79">
        <f t="shared" si="12"/>
        <v>369.15999999999997</v>
      </c>
      <c r="N31" s="23">
        <f>IFERROR(M31/L31,0)</f>
        <v>24.943243243242936</v>
      </c>
      <c r="O31" s="80"/>
    </row>
    <row r="32" spans="1:20" ht="24.6" customHeight="1">
      <c r="A32" s="76">
        <v>5</v>
      </c>
      <c r="B32" s="31" t="s">
        <v>37</v>
      </c>
      <c r="C32" s="35">
        <v>667.7</v>
      </c>
      <c r="D32" s="35">
        <v>678.6</v>
      </c>
      <c r="E32" s="17">
        <f t="shared" si="13"/>
        <v>10.899999999999977</v>
      </c>
      <c r="F32" s="33">
        <v>273</v>
      </c>
      <c r="G32" s="78">
        <f t="shared" si="10"/>
        <v>25.045871559633081</v>
      </c>
      <c r="H32" s="35">
        <v>685.3</v>
      </c>
      <c r="I32" s="19">
        <f t="shared" si="14"/>
        <v>6.6999999999999318</v>
      </c>
      <c r="J32" s="33">
        <v>156.58000000000001</v>
      </c>
      <c r="K32" s="28">
        <f t="shared" si="11"/>
        <v>23.370149253731583</v>
      </c>
      <c r="L32" s="18">
        <f t="shared" si="12"/>
        <v>17.599999999999909</v>
      </c>
      <c r="M32" s="79">
        <f t="shared" si="12"/>
        <v>429.58000000000004</v>
      </c>
      <c r="N32" s="23">
        <f>IFERROR(M32/L32,0)</f>
        <v>24.407954545454675</v>
      </c>
      <c r="O32" s="80"/>
    </row>
    <row r="33" spans="1:26" ht="22.8" customHeight="1" thickBot="1">
      <c r="A33" s="238" t="s">
        <v>28</v>
      </c>
      <c r="B33" s="239"/>
      <c r="C33" s="66"/>
      <c r="D33" s="66"/>
      <c r="E33" s="67">
        <f>SUM(E28:E32)</f>
        <v>38.800000000000068</v>
      </c>
      <c r="F33" s="67">
        <f>SUM(F28:F32)</f>
        <v>826.16</v>
      </c>
      <c r="G33" s="68"/>
      <c r="H33" s="68"/>
      <c r="I33" s="67">
        <f>SUM(I28:I32)</f>
        <v>26.000000000001478</v>
      </c>
      <c r="J33" s="67">
        <f>SUM(J28:J32)</f>
        <v>612.45000000000005</v>
      </c>
      <c r="K33" s="69">
        <f>SUM(K28:K32)</f>
        <v>94.760597670631597</v>
      </c>
      <c r="L33" s="70">
        <f>SUM(L28:L32)</f>
        <v>64.800000000001546</v>
      </c>
      <c r="M33" s="43">
        <f>SUM(M28:M32)</f>
        <v>1438.6100000000001</v>
      </c>
      <c r="N33" s="71">
        <f>IFERROR(M33/K33,0)</f>
        <v>15.181520962967261</v>
      </c>
      <c r="O33" s="37"/>
      <c r="P33" s="72"/>
      <c r="S33" s="51"/>
    </row>
    <row r="34" spans="1:26" ht="24" customHeight="1">
      <c r="A34" s="240" t="s">
        <v>38</v>
      </c>
      <c r="B34" s="241"/>
      <c r="C34" s="241"/>
      <c r="D34" s="241"/>
      <c r="E34" s="241"/>
      <c r="F34" s="241"/>
      <c r="G34" s="241"/>
      <c r="H34" s="241"/>
      <c r="I34" s="241"/>
      <c r="J34" s="241"/>
      <c r="K34" s="241"/>
      <c r="L34" s="242"/>
      <c r="M34" s="46"/>
      <c r="N34" s="47"/>
      <c r="O34" s="61"/>
      <c r="S34" s="51"/>
    </row>
    <row r="35" spans="1:26" ht="24" customHeight="1">
      <c r="A35" s="243" t="s">
        <v>3</v>
      </c>
      <c r="B35" s="243" t="s">
        <v>4</v>
      </c>
      <c r="C35" s="213" t="s">
        <v>5</v>
      </c>
      <c r="D35" s="214"/>
      <c r="E35" s="214"/>
      <c r="F35" s="214"/>
      <c r="G35" s="215"/>
      <c r="H35" s="216" t="s">
        <v>6</v>
      </c>
      <c r="I35" s="217"/>
      <c r="J35" s="217"/>
      <c r="K35" s="218"/>
      <c r="L35" s="5"/>
      <c r="M35" s="221" t="s">
        <v>7</v>
      </c>
      <c r="N35" s="222" t="s">
        <v>8</v>
      </c>
      <c r="O35" s="37"/>
    </row>
    <row r="36" spans="1:26" ht="24" customHeight="1">
      <c r="A36" s="244"/>
      <c r="B36" s="244"/>
      <c r="C36" s="2" t="s">
        <v>11</v>
      </c>
      <c r="D36" s="2" t="s">
        <v>12</v>
      </c>
      <c r="E36" s="2" t="s">
        <v>13</v>
      </c>
      <c r="F36" s="2" t="s">
        <v>14</v>
      </c>
      <c r="G36" s="2" t="s">
        <v>8</v>
      </c>
      <c r="H36" s="2" t="s">
        <v>12</v>
      </c>
      <c r="I36" s="2" t="s">
        <v>13</v>
      </c>
      <c r="J36" s="2" t="s">
        <v>14</v>
      </c>
      <c r="K36" s="82" t="s">
        <v>8</v>
      </c>
      <c r="L36" s="12" t="s">
        <v>15</v>
      </c>
      <c r="M36" s="221"/>
      <c r="N36" s="222"/>
      <c r="O36" s="37"/>
    </row>
    <row r="37" spans="1:26" ht="24" customHeight="1">
      <c r="A37" s="76">
        <v>1</v>
      </c>
      <c r="B37" s="31" t="s">
        <v>39</v>
      </c>
      <c r="C37" s="83">
        <v>16554</v>
      </c>
      <c r="D37" s="83">
        <v>16554</v>
      </c>
      <c r="E37" s="35">
        <f>D37-C37</f>
        <v>0</v>
      </c>
      <c r="F37" s="33">
        <v>0</v>
      </c>
      <c r="G37" s="78">
        <f t="shared" ref="G37:G38" si="15">IFERROR(F37/E37,0)</f>
        <v>0</v>
      </c>
      <c r="H37" s="83">
        <v>16554</v>
      </c>
      <c r="I37" s="56">
        <f>H37-D37</f>
        <v>0</v>
      </c>
      <c r="J37" s="33">
        <v>0</v>
      </c>
      <c r="K37" s="28">
        <f>IFERROR(J37/I37,0)</f>
        <v>0</v>
      </c>
      <c r="L37" s="84">
        <f t="shared" ref="L37:L38" si="16">E37+I37</f>
        <v>0</v>
      </c>
      <c r="M37" s="79">
        <f>F37+J37</f>
        <v>0</v>
      </c>
      <c r="N37" s="34">
        <f>IFERROR(M37/L37,0)</f>
        <v>0</v>
      </c>
      <c r="O37" s="37"/>
    </row>
    <row r="38" spans="1:26" ht="27" customHeight="1">
      <c r="A38" s="76">
        <v>2</v>
      </c>
      <c r="B38" s="31" t="s">
        <v>40</v>
      </c>
      <c r="C38" s="35">
        <v>4357.8</v>
      </c>
      <c r="D38" s="35">
        <v>4368.7</v>
      </c>
      <c r="E38" s="17">
        <f>D38-C38</f>
        <v>10.899999999999636</v>
      </c>
      <c r="F38" s="33">
        <v>200</v>
      </c>
      <c r="G38" s="10">
        <f t="shared" si="15"/>
        <v>18.34862385321162</v>
      </c>
      <c r="H38" s="35">
        <v>4378</v>
      </c>
      <c r="I38" s="19">
        <f>H38-D38</f>
        <v>9.3000000000001819</v>
      </c>
      <c r="J38" s="33">
        <v>207</v>
      </c>
      <c r="K38" s="28">
        <f>IFERROR(J38/I38,0)</f>
        <v>22.258064516128599</v>
      </c>
      <c r="L38" s="18">
        <f t="shared" si="16"/>
        <v>20.199999999999818</v>
      </c>
      <c r="M38" s="22">
        <f>F38+J38</f>
        <v>407</v>
      </c>
      <c r="N38" s="23">
        <f>IFERROR(M38/L38,0)</f>
        <v>20.148514851485331</v>
      </c>
      <c r="O38" s="37"/>
      <c r="S38" s="51"/>
    </row>
    <row r="39" spans="1:26" ht="22.8" customHeight="1" thickBot="1">
      <c r="A39" s="196" t="s">
        <v>28</v>
      </c>
      <c r="B39" s="233"/>
      <c r="C39" s="68"/>
      <c r="D39" s="66"/>
      <c r="E39" s="67">
        <f>SUM(E37:E38)</f>
        <v>10.899999999999636</v>
      </c>
      <c r="F39" s="67">
        <f>SUM(F37:F38:F38)</f>
        <v>200</v>
      </c>
      <c r="G39" s="68"/>
      <c r="H39" s="68"/>
      <c r="I39" s="67">
        <f>SUM(I37:I38)</f>
        <v>9.3000000000001819</v>
      </c>
      <c r="J39" s="67">
        <f>SUM(J37:J38)</f>
        <v>207</v>
      </c>
      <c r="K39" s="69">
        <f>SUM(K37:K38)</f>
        <v>22.258064516128599</v>
      </c>
      <c r="L39" s="70">
        <f>SUM(L37:L38)</f>
        <v>20.199999999999818</v>
      </c>
      <c r="M39" s="43">
        <f>SUM(M37:M38)</f>
        <v>407</v>
      </c>
      <c r="N39" s="71">
        <f>IFERROR(M39/K39,0)</f>
        <v>18.285507246377168</v>
      </c>
      <c r="O39" s="37"/>
      <c r="P39" s="72"/>
      <c r="S39" s="51"/>
    </row>
    <row r="40" spans="1:26" ht="24" customHeight="1">
      <c r="A40" s="225" t="s">
        <v>41</v>
      </c>
      <c r="B40" s="226"/>
      <c r="C40" s="226"/>
      <c r="D40" s="226"/>
      <c r="E40" s="226"/>
      <c r="F40" s="226"/>
      <c r="G40" s="226"/>
      <c r="H40" s="226"/>
      <c r="I40" s="226"/>
      <c r="J40" s="226"/>
      <c r="K40" s="226"/>
      <c r="L40" s="226"/>
      <c r="M40" s="46"/>
      <c r="N40" s="47"/>
      <c r="O40" s="61"/>
    </row>
    <row r="41" spans="1:26" ht="24" customHeight="1">
      <c r="A41" s="222" t="s">
        <v>3</v>
      </c>
      <c r="B41" s="222" t="s">
        <v>4</v>
      </c>
      <c r="C41" s="234" t="s">
        <v>5</v>
      </c>
      <c r="D41" s="234"/>
      <c r="E41" s="234"/>
      <c r="F41" s="234"/>
      <c r="G41" s="234"/>
      <c r="H41" s="235" t="s">
        <v>6</v>
      </c>
      <c r="I41" s="235"/>
      <c r="J41" s="235"/>
      <c r="K41" s="235"/>
      <c r="L41" s="5"/>
      <c r="M41" s="221" t="s">
        <v>7</v>
      </c>
      <c r="N41" s="222" t="s">
        <v>8</v>
      </c>
      <c r="O41" s="37"/>
    </row>
    <row r="42" spans="1:26" ht="25.8" customHeight="1">
      <c r="A42" s="222"/>
      <c r="B42" s="222"/>
      <c r="C42" s="2" t="s">
        <v>11</v>
      </c>
      <c r="D42" s="2" t="s">
        <v>12</v>
      </c>
      <c r="E42" s="2" t="s">
        <v>13</v>
      </c>
      <c r="F42" s="2" t="s">
        <v>14</v>
      </c>
      <c r="G42" s="2" t="s">
        <v>8</v>
      </c>
      <c r="H42" s="2" t="s">
        <v>12</v>
      </c>
      <c r="I42" s="2" t="s">
        <v>13</v>
      </c>
      <c r="J42" s="2" t="s">
        <v>14</v>
      </c>
      <c r="K42" s="82" t="s">
        <v>8</v>
      </c>
      <c r="L42" s="12" t="s">
        <v>15</v>
      </c>
      <c r="M42" s="221"/>
      <c r="N42" s="222"/>
      <c r="O42" s="37"/>
    </row>
    <row r="43" spans="1:26" ht="24.6" customHeight="1">
      <c r="A43" s="76">
        <v>1</v>
      </c>
      <c r="B43" s="85" t="s">
        <v>42</v>
      </c>
      <c r="C43" s="33">
        <v>8610.2999999999993</v>
      </c>
      <c r="D43" s="33">
        <v>8610.2999999999993</v>
      </c>
      <c r="E43" s="20">
        <f>D43-C43</f>
        <v>0</v>
      </c>
      <c r="F43" s="33">
        <v>0</v>
      </c>
      <c r="G43" s="10">
        <f t="shared" ref="G43:G44" si="17">IFERROR(F43/E43,0)</f>
        <v>0</v>
      </c>
      <c r="H43" s="33">
        <v>8623.4</v>
      </c>
      <c r="I43" s="86">
        <f>H43-D43</f>
        <v>13.100000000000364</v>
      </c>
      <c r="J43" s="33">
        <v>529.87</v>
      </c>
      <c r="K43" s="28">
        <f>IFERROR(J43/I43,0)</f>
        <v>40.448091603052312</v>
      </c>
      <c r="L43" s="18">
        <f>E43+I43</f>
        <v>13.100000000000364</v>
      </c>
      <c r="M43" s="22">
        <f>F43+J43</f>
        <v>529.87</v>
      </c>
      <c r="N43" s="23">
        <f>IFERROR(M43/L43,0)</f>
        <v>40.448091603052312</v>
      </c>
      <c r="O43" s="87"/>
      <c r="S43" s="51"/>
    </row>
    <row r="44" spans="1:26" ht="22.8" customHeight="1">
      <c r="A44" s="76">
        <v>2</v>
      </c>
      <c r="B44" s="85" t="s">
        <v>43</v>
      </c>
      <c r="C44" s="33">
        <v>1601.9</v>
      </c>
      <c r="D44" s="33">
        <v>1601.9</v>
      </c>
      <c r="E44" s="20">
        <f>D44-C44</f>
        <v>0</v>
      </c>
      <c r="F44" s="33">
        <v>0</v>
      </c>
      <c r="G44" s="10">
        <f t="shared" si="17"/>
        <v>0</v>
      </c>
      <c r="H44" s="33">
        <v>1613</v>
      </c>
      <c r="I44" s="86">
        <f>H44-D44</f>
        <v>11.099999999999909</v>
      </c>
      <c r="J44" s="33">
        <v>455.5</v>
      </c>
      <c r="K44" s="28">
        <f>IFERROR(J44/I44,0)</f>
        <v>41.036036036036371</v>
      </c>
      <c r="L44" s="18">
        <f>E44+I44</f>
        <v>11.099999999999909</v>
      </c>
      <c r="M44" s="22">
        <f t="shared" ref="M44" si="18">F44+J44</f>
        <v>455.5</v>
      </c>
      <c r="N44" s="23">
        <f>IFERROR(M44/L44,0)</f>
        <v>41.036036036036371</v>
      </c>
      <c r="O44" s="87"/>
      <c r="P44" s="88"/>
      <c r="Q44" s="89"/>
    </row>
    <row r="45" spans="1:26" ht="24" customHeight="1" thickBot="1">
      <c r="A45" s="223" t="s">
        <v>28</v>
      </c>
      <c r="B45" s="224"/>
      <c r="C45" s="90"/>
      <c r="D45" s="90"/>
      <c r="E45" s="91">
        <f>SUM(E43:E44)</f>
        <v>0</v>
      </c>
      <c r="F45" s="91">
        <f>SUM(F43:F44)</f>
        <v>0</v>
      </c>
      <c r="G45" s="92"/>
      <c r="H45" s="92"/>
      <c r="I45" s="91">
        <f>SUM(I43:I44)</f>
        <v>24.200000000000273</v>
      </c>
      <c r="J45" s="91">
        <f>SUM(J43:J44)</f>
        <v>985.37</v>
      </c>
      <c r="K45" s="93">
        <f>SUM(K43:K44)</f>
        <v>81.484127639088683</v>
      </c>
      <c r="L45" s="94">
        <f>SUM(L43:L44)</f>
        <v>24.200000000000273</v>
      </c>
      <c r="M45" s="95">
        <f>SUM(M43:M44)</f>
        <v>985.37</v>
      </c>
      <c r="N45" s="96">
        <f>M45/L45</f>
        <v>40.717768595040866</v>
      </c>
      <c r="O45" s="37"/>
      <c r="P45" s="97"/>
      <c r="Q45" s="89"/>
    </row>
    <row r="46" spans="1:26" ht="24" customHeight="1">
      <c r="A46" s="225" t="s">
        <v>44</v>
      </c>
      <c r="B46" s="226"/>
      <c r="C46" s="226"/>
      <c r="D46" s="226"/>
      <c r="E46" s="226"/>
      <c r="F46" s="226"/>
      <c r="G46" s="226"/>
      <c r="H46" s="226"/>
      <c r="I46" s="226"/>
      <c r="J46" s="226"/>
      <c r="K46" s="226"/>
      <c r="L46" s="226"/>
      <c r="M46" s="98"/>
      <c r="N46" s="99"/>
      <c r="O46" s="37"/>
      <c r="P46" s="100"/>
      <c r="Q46" s="100"/>
    </row>
    <row r="47" spans="1:26" ht="24" customHeight="1">
      <c r="A47" s="222" t="s">
        <v>3</v>
      </c>
      <c r="B47" s="222" t="s">
        <v>4</v>
      </c>
      <c r="C47" s="227" t="s">
        <v>5</v>
      </c>
      <c r="D47" s="228"/>
      <c r="E47" s="228"/>
      <c r="F47" s="228"/>
      <c r="G47" s="228"/>
      <c r="H47" s="229"/>
      <c r="I47" s="230" t="s">
        <v>6</v>
      </c>
      <c r="J47" s="231"/>
      <c r="K47" s="231"/>
      <c r="L47" s="231"/>
      <c r="M47" s="231"/>
      <c r="N47" s="232"/>
      <c r="O47" s="201" t="s">
        <v>45</v>
      </c>
      <c r="P47" s="203" t="s">
        <v>46</v>
      </c>
      <c r="Q47" s="203" t="s">
        <v>47</v>
      </c>
      <c r="R47" s="205" t="s">
        <v>48</v>
      </c>
      <c r="Z47" s="101"/>
    </row>
    <row r="48" spans="1:26" ht="33" customHeight="1">
      <c r="A48" s="222"/>
      <c r="B48" s="222"/>
      <c r="C48" s="2" t="s">
        <v>49</v>
      </c>
      <c r="D48" s="2" t="s">
        <v>50</v>
      </c>
      <c r="E48" s="2" t="s">
        <v>51</v>
      </c>
      <c r="F48" s="102" t="s">
        <v>11</v>
      </c>
      <c r="G48" s="2" t="s">
        <v>14</v>
      </c>
      <c r="H48" s="2" t="s">
        <v>8</v>
      </c>
      <c r="I48" s="2" t="s">
        <v>50</v>
      </c>
      <c r="J48" s="2" t="s">
        <v>45</v>
      </c>
      <c r="K48" s="102" t="s">
        <v>12</v>
      </c>
      <c r="L48" s="102" t="s">
        <v>15</v>
      </c>
      <c r="M48" s="2" t="s">
        <v>14</v>
      </c>
      <c r="N48" s="82" t="s">
        <v>8</v>
      </c>
      <c r="O48" s="202"/>
      <c r="P48" s="204"/>
      <c r="Q48" s="204"/>
      <c r="R48" s="205"/>
    </row>
    <row r="49" spans="1:27" ht="21" customHeight="1">
      <c r="A49" s="81">
        <v>1</v>
      </c>
      <c r="B49" s="103" t="s">
        <v>52</v>
      </c>
      <c r="C49" s="2">
        <v>278939.8</v>
      </c>
      <c r="D49" s="2">
        <v>278939.8</v>
      </c>
      <c r="E49" s="104">
        <f t="shared" ref="E49:E109" si="19">D49-C49</f>
        <v>0</v>
      </c>
      <c r="F49" s="105">
        <v>22080.39</v>
      </c>
      <c r="G49" s="49">
        <v>0</v>
      </c>
      <c r="H49" s="10">
        <f t="shared" ref="H49:H109" si="20">IFERROR(E49/G49,0)</f>
        <v>0</v>
      </c>
      <c r="I49" s="2">
        <v>279081.5</v>
      </c>
      <c r="J49" s="106">
        <f t="shared" ref="J49:J109" si="21">I49-D49</f>
        <v>141.70000000001164</v>
      </c>
      <c r="K49" s="105">
        <v>22090.49</v>
      </c>
      <c r="L49" s="107">
        <f t="shared" ref="L49:L109" si="22">K49-F49</f>
        <v>10.100000000002183</v>
      </c>
      <c r="M49" s="2">
        <v>182</v>
      </c>
      <c r="N49" s="28">
        <f t="shared" ref="N49:N109" si="23">IFERROR(J49/M49,0)</f>
        <v>0.77857142857149253</v>
      </c>
      <c r="O49" s="84">
        <f t="shared" ref="O49:O109" si="24">J49+E49</f>
        <v>141.70000000001164</v>
      </c>
      <c r="P49" s="79">
        <f t="shared" ref="P49:P109" si="25">G49+M49</f>
        <v>182</v>
      </c>
      <c r="Q49" s="34">
        <f t="shared" ref="Q49:Q109" si="26">IFERROR(O49/P49,0)</f>
        <v>0.77857142857149253</v>
      </c>
      <c r="R49" s="108">
        <v>10</v>
      </c>
    </row>
    <row r="50" spans="1:27" ht="21" customHeight="1">
      <c r="A50" s="81">
        <v>2</v>
      </c>
      <c r="B50" s="103" t="s">
        <v>155</v>
      </c>
      <c r="C50" s="2">
        <v>301061</v>
      </c>
      <c r="D50" s="2">
        <v>301230</v>
      </c>
      <c r="E50" s="104">
        <f t="shared" si="19"/>
        <v>169</v>
      </c>
      <c r="F50" s="105">
        <v>30446</v>
      </c>
      <c r="G50" s="49">
        <v>213</v>
      </c>
      <c r="H50" s="10">
        <f t="shared" si="20"/>
        <v>0.79342723004694837</v>
      </c>
      <c r="I50" s="2">
        <v>301363</v>
      </c>
      <c r="J50" s="106">
        <f t="shared" si="21"/>
        <v>133</v>
      </c>
      <c r="K50" s="105">
        <v>30468</v>
      </c>
      <c r="L50" s="107">
        <f t="shared" si="22"/>
        <v>22</v>
      </c>
      <c r="M50" s="2">
        <v>186</v>
      </c>
      <c r="N50" s="28">
        <f t="shared" si="23"/>
        <v>0.71505376344086025</v>
      </c>
      <c r="O50" s="84">
        <f t="shared" si="24"/>
        <v>302</v>
      </c>
      <c r="P50" s="79">
        <f t="shared" si="25"/>
        <v>399</v>
      </c>
      <c r="Q50" s="34">
        <f t="shared" si="26"/>
        <v>0.75689223057644106</v>
      </c>
      <c r="R50" s="108">
        <v>38</v>
      </c>
    </row>
    <row r="51" spans="1:27" ht="21" customHeight="1">
      <c r="A51" s="81">
        <v>3</v>
      </c>
      <c r="B51" s="103" t="s">
        <v>171</v>
      </c>
      <c r="C51" s="2">
        <v>310439</v>
      </c>
      <c r="D51" s="2">
        <v>310612</v>
      </c>
      <c r="E51" s="104">
        <f t="shared" si="19"/>
        <v>173</v>
      </c>
      <c r="F51" s="105">
        <v>31027</v>
      </c>
      <c r="G51" s="49">
        <v>239</v>
      </c>
      <c r="H51" s="10">
        <f t="shared" si="20"/>
        <v>0.72384937238493718</v>
      </c>
      <c r="I51" s="2">
        <v>310778</v>
      </c>
      <c r="J51" s="106">
        <f t="shared" si="21"/>
        <v>166</v>
      </c>
      <c r="K51" s="105">
        <v>31051</v>
      </c>
      <c r="L51" s="107">
        <f t="shared" si="22"/>
        <v>24</v>
      </c>
      <c r="M51" s="2">
        <v>260</v>
      </c>
      <c r="N51" s="28">
        <f t="shared" si="23"/>
        <v>0.63846153846153841</v>
      </c>
      <c r="O51" s="84">
        <f t="shared" si="24"/>
        <v>339</v>
      </c>
      <c r="P51" s="79">
        <f t="shared" si="25"/>
        <v>499</v>
      </c>
      <c r="Q51" s="34">
        <f t="shared" si="26"/>
        <v>0.67935871743486975</v>
      </c>
      <c r="R51" s="108">
        <v>36</v>
      </c>
    </row>
    <row r="52" spans="1:27" ht="21" customHeight="1">
      <c r="A52" s="81">
        <v>4</v>
      </c>
      <c r="B52" s="103" t="s">
        <v>156</v>
      </c>
      <c r="C52" s="2">
        <v>260992</v>
      </c>
      <c r="D52" s="2">
        <v>261156</v>
      </c>
      <c r="E52" s="104">
        <f t="shared" si="19"/>
        <v>164</v>
      </c>
      <c r="F52" s="105">
        <v>27690</v>
      </c>
      <c r="G52" s="49">
        <v>217.34</v>
      </c>
      <c r="H52" s="10">
        <f t="shared" si="20"/>
        <v>0.75457808042698071</v>
      </c>
      <c r="I52" s="2">
        <v>261295</v>
      </c>
      <c r="J52" s="106">
        <f t="shared" si="21"/>
        <v>139</v>
      </c>
      <c r="K52" s="105">
        <v>27710</v>
      </c>
      <c r="L52" s="107">
        <f t="shared" si="22"/>
        <v>20</v>
      </c>
      <c r="M52" s="2">
        <v>190</v>
      </c>
      <c r="N52" s="28">
        <f t="shared" si="23"/>
        <v>0.73157894736842111</v>
      </c>
      <c r="O52" s="84">
        <f t="shared" si="24"/>
        <v>303</v>
      </c>
      <c r="P52" s="79">
        <f t="shared" si="25"/>
        <v>407.34000000000003</v>
      </c>
      <c r="Q52" s="34">
        <f t="shared" si="26"/>
        <v>0.7438503461481808</v>
      </c>
      <c r="R52" s="108">
        <v>36</v>
      </c>
    </row>
    <row r="53" spans="1:27" ht="21" customHeight="1">
      <c r="A53" s="81">
        <v>5</v>
      </c>
      <c r="B53" s="103" t="s">
        <v>157</v>
      </c>
      <c r="C53" s="2">
        <v>276173</v>
      </c>
      <c r="D53" s="2">
        <v>276287</v>
      </c>
      <c r="E53" s="104">
        <f t="shared" si="19"/>
        <v>114</v>
      </c>
      <c r="F53" s="105">
        <v>28039</v>
      </c>
      <c r="G53" s="49">
        <v>185</v>
      </c>
      <c r="H53" s="10">
        <f t="shared" si="20"/>
        <v>0.61621621621621625</v>
      </c>
      <c r="I53" s="2">
        <v>276441</v>
      </c>
      <c r="J53" s="106">
        <f t="shared" si="21"/>
        <v>154</v>
      </c>
      <c r="K53" s="105">
        <v>28058</v>
      </c>
      <c r="L53" s="107">
        <f t="shared" si="22"/>
        <v>19</v>
      </c>
      <c r="M53" s="2">
        <v>263</v>
      </c>
      <c r="N53" s="28">
        <f t="shared" si="23"/>
        <v>0.5855513307984791</v>
      </c>
      <c r="O53" s="84">
        <f t="shared" si="24"/>
        <v>268</v>
      </c>
      <c r="P53" s="79">
        <f t="shared" si="25"/>
        <v>448</v>
      </c>
      <c r="Q53" s="34">
        <f t="shared" si="26"/>
        <v>0.5982142857142857</v>
      </c>
      <c r="R53" s="108">
        <v>39</v>
      </c>
    </row>
    <row r="54" spans="1:27" ht="21" customHeight="1">
      <c r="A54" s="81">
        <v>6</v>
      </c>
      <c r="B54" s="103" t="s">
        <v>172</v>
      </c>
      <c r="C54" s="2">
        <v>266601</v>
      </c>
      <c r="D54" s="2">
        <v>266608</v>
      </c>
      <c r="E54" s="104">
        <f t="shared" si="19"/>
        <v>7</v>
      </c>
      <c r="F54" s="105">
        <v>26391</v>
      </c>
      <c r="G54" s="49">
        <v>197.57</v>
      </c>
      <c r="H54" s="10">
        <f t="shared" si="20"/>
        <v>3.5430480336083411E-2</v>
      </c>
      <c r="I54" s="2">
        <v>266608</v>
      </c>
      <c r="J54" s="106">
        <f t="shared" si="21"/>
        <v>0</v>
      </c>
      <c r="K54" s="105">
        <v>26393</v>
      </c>
      <c r="L54" s="107">
        <f t="shared" si="22"/>
        <v>2</v>
      </c>
      <c r="M54" s="2">
        <v>0</v>
      </c>
      <c r="N54" s="28">
        <f t="shared" si="23"/>
        <v>0</v>
      </c>
      <c r="O54" s="84">
        <f t="shared" si="24"/>
        <v>7</v>
      </c>
      <c r="P54" s="79">
        <f t="shared" si="25"/>
        <v>197.57</v>
      </c>
      <c r="Q54" s="34">
        <f t="shared" si="26"/>
        <v>3.5430480336083411E-2</v>
      </c>
      <c r="R54" s="108">
        <v>0</v>
      </c>
    </row>
    <row r="55" spans="1:27" ht="21" customHeight="1">
      <c r="A55" s="81">
        <v>7</v>
      </c>
      <c r="B55" s="103" t="s">
        <v>173</v>
      </c>
      <c r="C55" s="2">
        <v>295692</v>
      </c>
      <c r="D55" s="2">
        <v>295692</v>
      </c>
      <c r="E55" s="104">
        <f t="shared" si="19"/>
        <v>0</v>
      </c>
      <c r="F55" s="105">
        <v>28768</v>
      </c>
      <c r="G55" s="49">
        <v>0</v>
      </c>
      <c r="H55" s="10">
        <f t="shared" si="20"/>
        <v>0</v>
      </c>
      <c r="I55" s="2">
        <v>295692</v>
      </c>
      <c r="J55" s="106">
        <f t="shared" si="21"/>
        <v>0</v>
      </c>
      <c r="K55" s="105">
        <v>28768</v>
      </c>
      <c r="L55" s="107">
        <f t="shared" si="22"/>
        <v>0</v>
      </c>
      <c r="M55" s="2">
        <v>0</v>
      </c>
      <c r="N55" s="28">
        <f t="shared" si="23"/>
        <v>0</v>
      </c>
      <c r="O55" s="84">
        <f t="shared" si="24"/>
        <v>0</v>
      </c>
      <c r="P55" s="79">
        <f t="shared" si="25"/>
        <v>0</v>
      </c>
      <c r="Q55" s="34">
        <f t="shared" si="26"/>
        <v>0</v>
      </c>
      <c r="R55" s="108">
        <v>0</v>
      </c>
    </row>
    <row r="56" spans="1:27" ht="24" customHeight="1">
      <c r="A56" s="81">
        <v>8</v>
      </c>
      <c r="B56" s="31" t="s">
        <v>53</v>
      </c>
      <c r="C56" s="35">
        <v>334306.5</v>
      </c>
      <c r="D56" s="35">
        <v>334306.5</v>
      </c>
      <c r="E56" s="104">
        <f t="shared" si="19"/>
        <v>0</v>
      </c>
      <c r="F56" s="110">
        <v>29835</v>
      </c>
      <c r="G56" s="111">
        <v>0</v>
      </c>
      <c r="H56" s="10">
        <f t="shared" si="20"/>
        <v>0</v>
      </c>
      <c r="I56" s="35">
        <v>334306.5</v>
      </c>
      <c r="J56" s="106">
        <f t="shared" si="21"/>
        <v>0</v>
      </c>
      <c r="K56" s="110">
        <v>29835</v>
      </c>
      <c r="L56" s="107">
        <f t="shared" si="22"/>
        <v>0</v>
      </c>
      <c r="M56" s="112">
        <v>0</v>
      </c>
      <c r="N56" s="28">
        <f t="shared" si="23"/>
        <v>0</v>
      </c>
      <c r="O56" s="84">
        <f t="shared" si="24"/>
        <v>0</v>
      </c>
      <c r="P56" s="79">
        <f t="shared" si="25"/>
        <v>0</v>
      </c>
      <c r="Q56" s="34">
        <f t="shared" si="26"/>
        <v>0</v>
      </c>
      <c r="R56" s="1">
        <v>0</v>
      </c>
    </row>
    <row r="57" spans="1:27" ht="24" customHeight="1">
      <c r="A57" s="81">
        <v>9</v>
      </c>
      <c r="B57" s="31" t="s">
        <v>54</v>
      </c>
      <c r="C57" s="104">
        <v>292386.5</v>
      </c>
      <c r="D57" s="104">
        <v>292386.5</v>
      </c>
      <c r="E57" s="104">
        <f t="shared" si="19"/>
        <v>0</v>
      </c>
      <c r="F57" s="110">
        <v>28015.51</v>
      </c>
      <c r="G57" s="111">
        <v>0</v>
      </c>
      <c r="H57" s="10">
        <f t="shared" si="20"/>
        <v>0</v>
      </c>
      <c r="I57" s="104">
        <v>292479.59999999998</v>
      </c>
      <c r="J57" s="106">
        <f>I57-D57</f>
        <v>93.099999999976717</v>
      </c>
      <c r="K57" s="110">
        <v>28024.31</v>
      </c>
      <c r="L57" s="107">
        <f t="shared" si="22"/>
        <v>8.8000000000029104</v>
      </c>
      <c r="M57" s="111">
        <v>154</v>
      </c>
      <c r="N57" s="28">
        <f t="shared" si="23"/>
        <v>0.6045454545453034</v>
      </c>
      <c r="O57" s="84">
        <f t="shared" si="24"/>
        <v>93.099999999976717</v>
      </c>
      <c r="P57" s="79">
        <f t="shared" si="25"/>
        <v>154</v>
      </c>
      <c r="Q57" s="34">
        <f t="shared" si="26"/>
        <v>0.6045454545453034</v>
      </c>
      <c r="R57" s="1">
        <v>12</v>
      </c>
      <c r="AA57" s="101"/>
    </row>
    <row r="58" spans="1:27" ht="24" customHeight="1">
      <c r="A58" s="81">
        <v>10</v>
      </c>
      <c r="B58" s="31" t="s">
        <v>55</v>
      </c>
      <c r="C58" s="104">
        <v>298907.40000000002</v>
      </c>
      <c r="D58" s="104">
        <v>298907.40000000002</v>
      </c>
      <c r="E58" s="104">
        <f t="shared" si="19"/>
        <v>0</v>
      </c>
      <c r="F58" s="110">
        <v>27086</v>
      </c>
      <c r="G58" s="111">
        <v>0</v>
      </c>
      <c r="H58" s="10">
        <f t="shared" si="20"/>
        <v>0</v>
      </c>
      <c r="I58" s="104">
        <v>298907.40000000002</v>
      </c>
      <c r="J58" s="106">
        <f>I58-D58</f>
        <v>0</v>
      </c>
      <c r="K58" s="110">
        <v>27086</v>
      </c>
      <c r="L58" s="107">
        <f t="shared" si="22"/>
        <v>0</v>
      </c>
      <c r="M58" s="111">
        <v>0</v>
      </c>
      <c r="N58" s="28">
        <f t="shared" si="23"/>
        <v>0</v>
      </c>
      <c r="O58" s="84">
        <f t="shared" si="24"/>
        <v>0</v>
      </c>
      <c r="P58" s="79">
        <f t="shared" si="25"/>
        <v>0</v>
      </c>
      <c r="Q58" s="34">
        <f t="shared" si="26"/>
        <v>0</v>
      </c>
      <c r="R58" s="1">
        <v>0</v>
      </c>
      <c r="AA58" s="101"/>
    </row>
    <row r="59" spans="1:27" ht="24" customHeight="1">
      <c r="A59" s="81">
        <v>11</v>
      </c>
      <c r="B59" s="31" t="s">
        <v>56</v>
      </c>
      <c r="C59" s="104">
        <v>340324.9</v>
      </c>
      <c r="D59" s="104">
        <v>340491.8</v>
      </c>
      <c r="E59" s="104">
        <f t="shared" si="19"/>
        <v>166.89999999996508</v>
      </c>
      <c r="F59" s="110">
        <v>26879.48</v>
      </c>
      <c r="G59" s="111">
        <v>259</v>
      </c>
      <c r="H59" s="10">
        <f t="shared" si="20"/>
        <v>0.64440154440140951</v>
      </c>
      <c r="I59" s="104">
        <v>340604.5</v>
      </c>
      <c r="J59" s="106">
        <f>I59-D59</f>
        <v>112.70000000001164</v>
      </c>
      <c r="K59" s="110">
        <v>26901.42</v>
      </c>
      <c r="L59" s="107">
        <f t="shared" si="22"/>
        <v>21.93999999999869</v>
      </c>
      <c r="M59" s="111">
        <v>167</v>
      </c>
      <c r="N59" s="28">
        <f t="shared" si="23"/>
        <v>0.67485029940126728</v>
      </c>
      <c r="O59" s="84">
        <f t="shared" si="24"/>
        <v>279.59999999997672</v>
      </c>
      <c r="P59" s="79">
        <f t="shared" si="25"/>
        <v>426</v>
      </c>
      <c r="Q59" s="34">
        <f t="shared" si="26"/>
        <v>0.65633802816895948</v>
      </c>
      <c r="R59" s="1">
        <v>39</v>
      </c>
      <c r="AA59" s="101"/>
    </row>
    <row r="60" spans="1:27" ht="24" customHeight="1">
      <c r="A60" s="81">
        <v>12</v>
      </c>
      <c r="B60" s="31" t="s">
        <v>57</v>
      </c>
      <c r="C60" s="104">
        <v>343181.7</v>
      </c>
      <c r="D60" s="104">
        <v>343369.9</v>
      </c>
      <c r="E60" s="104">
        <f t="shared" si="19"/>
        <v>188.20000000001164</v>
      </c>
      <c r="F60" s="110">
        <v>26697.02</v>
      </c>
      <c r="G60" s="111">
        <v>218</v>
      </c>
      <c r="H60" s="10">
        <f t="shared" si="20"/>
        <v>0.8633027522936314</v>
      </c>
      <c r="I60" s="104">
        <v>343527.7</v>
      </c>
      <c r="J60" s="106">
        <f>I60-D60</f>
        <v>157.79999999998836</v>
      </c>
      <c r="K60" s="110">
        <v>26717</v>
      </c>
      <c r="L60" s="107">
        <f t="shared" si="22"/>
        <v>19.979999999999563</v>
      </c>
      <c r="M60" s="111">
        <v>188.74</v>
      </c>
      <c r="N60" s="28">
        <f t="shared" si="23"/>
        <v>0.83607078520710154</v>
      </c>
      <c r="O60" s="84">
        <f t="shared" si="24"/>
        <v>346</v>
      </c>
      <c r="P60" s="79">
        <f t="shared" si="25"/>
        <v>406.74</v>
      </c>
      <c r="Q60" s="34">
        <f t="shared" si="26"/>
        <v>0.85066627329497957</v>
      </c>
      <c r="R60" s="1">
        <v>35</v>
      </c>
      <c r="AA60" s="101"/>
    </row>
    <row r="61" spans="1:27" ht="24" customHeight="1">
      <c r="A61" s="81">
        <v>13</v>
      </c>
      <c r="B61" s="31" t="s">
        <v>58</v>
      </c>
      <c r="C61" s="35">
        <v>300189.40000000002</v>
      </c>
      <c r="D61" s="35">
        <v>300189.40000000002</v>
      </c>
      <c r="E61" s="104">
        <f t="shared" si="19"/>
        <v>0</v>
      </c>
      <c r="F61" s="110">
        <v>26676.37</v>
      </c>
      <c r="G61" s="111">
        <v>0</v>
      </c>
      <c r="H61" s="10">
        <f t="shared" si="20"/>
        <v>0</v>
      </c>
      <c r="I61" s="35">
        <v>300261.2</v>
      </c>
      <c r="J61" s="106">
        <f t="shared" si="21"/>
        <v>71.799999999988358</v>
      </c>
      <c r="K61" s="110">
        <v>26682.57</v>
      </c>
      <c r="L61" s="107">
        <f t="shared" si="22"/>
        <v>6.2000000000007276</v>
      </c>
      <c r="M61" s="112">
        <v>91</v>
      </c>
      <c r="N61" s="28">
        <f>IFERROR(J61/M61,0)</f>
        <v>0.78901098901086109</v>
      </c>
      <c r="O61" s="84">
        <f t="shared" si="24"/>
        <v>71.799999999988358</v>
      </c>
      <c r="P61" s="79">
        <f t="shared" si="25"/>
        <v>91</v>
      </c>
      <c r="Q61" s="34">
        <f t="shared" si="26"/>
        <v>0.78901098901086109</v>
      </c>
      <c r="R61" s="1">
        <v>0</v>
      </c>
      <c r="U61" s="113"/>
    </row>
    <row r="62" spans="1:27" ht="24" customHeight="1">
      <c r="A62" s="81">
        <v>14</v>
      </c>
      <c r="B62" s="31" t="s">
        <v>59</v>
      </c>
      <c r="C62" s="35">
        <v>272216.8</v>
      </c>
      <c r="D62" s="35">
        <v>272269.90000000002</v>
      </c>
      <c r="E62" s="104">
        <f t="shared" si="19"/>
        <v>53.100000000034925</v>
      </c>
      <c r="F62" s="110">
        <v>25444.58</v>
      </c>
      <c r="G62" s="111">
        <v>80.760000000000005</v>
      </c>
      <c r="H62" s="10">
        <f t="shared" si="20"/>
        <v>0.65750371471068503</v>
      </c>
      <c r="I62" s="35">
        <v>272390.5</v>
      </c>
      <c r="J62" s="106">
        <f>I62-D62</f>
        <v>120.59999999997672</v>
      </c>
      <c r="K62" s="110">
        <v>25458</v>
      </c>
      <c r="L62" s="107">
        <f t="shared" si="22"/>
        <v>13.419999999998254</v>
      </c>
      <c r="M62" s="111">
        <v>186.5</v>
      </c>
      <c r="N62" s="28">
        <f>IFERROR(J62/M62,0)</f>
        <v>0.64664879356555882</v>
      </c>
      <c r="O62" s="84">
        <f t="shared" si="24"/>
        <v>173.70000000001164</v>
      </c>
      <c r="P62" s="79">
        <f t="shared" si="25"/>
        <v>267.26</v>
      </c>
      <c r="Q62" s="34">
        <f t="shared" si="26"/>
        <v>0.64992890817934468</v>
      </c>
      <c r="R62" s="1">
        <v>33</v>
      </c>
      <c r="X62" t="s">
        <v>60</v>
      </c>
    </row>
    <row r="63" spans="1:27" ht="24" customHeight="1">
      <c r="A63" s="81">
        <v>15</v>
      </c>
      <c r="B63" s="31" t="s">
        <v>61</v>
      </c>
      <c r="C63" s="104">
        <v>285351.09999999998</v>
      </c>
      <c r="D63" s="104">
        <v>285476.5</v>
      </c>
      <c r="E63" s="104">
        <f t="shared" si="19"/>
        <v>125.40000000002328</v>
      </c>
      <c r="F63" s="110">
        <v>26630.400000000001</v>
      </c>
      <c r="G63" s="111">
        <v>202.84</v>
      </c>
      <c r="H63" s="10">
        <f t="shared" si="20"/>
        <v>0.61822125813460505</v>
      </c>
      <c r="I63" s="104">
        <v>285605.7</v>
      </c>
      <c r="J63" s="106">
        <f>I63-D63</f>
        <v>129.20000000001164</v>
      </c>
      <c r="K63" s="110">
        <v>26650</v>
      </c>
      <c r="L63" s="107">
        <f t="shared" si="22"/>
        <v>19.599999999998545</v>
      </c>
      <c r="M63" s="112">
        <v>207.52</v>
      </c>
      <c r="N63" s="28">
        <f t="shared" si="23"/>
        <v>0.62259059367777392</v>
      </c>
      <c r="O63" s="84">
        <f t="shared" si="24"/>
        <v>254.60000000003492</v>
      </c>
      <c r="P63" s="79">
        <f t="shared" si="25"/>
        <v>410.36</v>
      </c>
      <c r="Q63" s="34">
        <f t="shared" si="26"/>
        <v>0.62043084121267889</v>
      </c>
      <c r="R63" s="1">
        <v>42</v>
      </c>
    </row>
    <row r="64" spans="1:27" ht="24" customHeight="1">
      <c r="A64" s="81">
        <v>16</v>
      </c>
      <c r="B64" s="31" t="s">
        <v>62</v>
      </c>
      <c r="C64" s="35">
        <v>303523</v>
      </c>
      <c r="D64" s="35">
        <v>303658.40000000002</v>
      </c>
      <c r="E64" s="104">
        <f t="shared" si="19"/>
        <v>135.40000000002328</v>
      </c>
      <c r="F64" s="110">
        <v>27308.02</v>
      </c>
      <c r="G64" s="111">
        <v>237</v>
      </c>
      <c r="H64" s="10">
        <f t="shared" si="20"/>
        <v>0.57130801687773536</v>
      </c>
      <c r="I64" s="35">
        <v>303701.40000000002</v>
      </c>
      <c r="J64" s="106">
        <f t="shared" si="21"/>
        <v>43</v>
      </c>
      <c r="K64" s="110">
        <v>27323.56</v>
      </c>
      <c r="L64" s="107">
        <f t="shared" si="22"/>
        <v>15.540000000000873</v>
      </c>
      <c r="M64" s="112">
        <v>73</v>
      </c>
      <c r="N64" s="28">
        <f t="shared" si="23"/>
        <v>0.58904109589041098</v>
      </c>
      <c r="O64" s="84">
        <f t="shared" si="24"/>
        <v>178.40000000002328</v>
      </c>
      <c r="P64" s="79">
        <f t="shared" si="25"/>
        <v>310</v>
      </c>
      <c r="Q64" s="34">
        <f t="shared" si="26"/>
        <v>0.57548387096781706</v>
      </c>
      <c r="R64" s="1">
        <v>11</v>
      </c>
    </row>
    <row r="65" spans="1:18" ht="24" customHeight="1">
      <c r="A65" s="81">
        <v>17</v>
      </c>
      <c r="B65" s="31" t="s">
        <v>158</v>
      </c>
      <c r="C65" s="17">
        <v>274856</v>
      </c>
      <c r="D65" s="17">
        <v>275008</v>
      </c>
      <c r="E65" s="104">
        <f t="shared" si="19"/>
        <v>152</v>
      </c>
      <c r="F65" s="110">
        <v>25069</v>
      </c>
      <c r="G65" s="111">
        <v>206</v>
      </c>
      <c r="H65" s="10">
        <f t="shared" si="20"/>
        <v>0.73786407766990292</v>
      </c>
      <c r="I65" s="17">
        <v>275150</v>
      </c>
      <c r="J65" s="106">
        <f t="shared" si="21"/>
        <v>142</v>
      </c>
      <c r="K65" s="110">
        <v>25090</v>
      </c>
      <c r="L65" s="107">
        <f t="shared" si="22"/>
        <v>21</v>
      </c>
      <c r="M65" s="111">
        <v>252</v>
      </c>
      <c r="N65" s="28">
        <f t="shared" si="23"/>
        <v>0.56349206349206349</v>
      </c>
      <c r="O65" s="84">
        <f t="shared" si="24"/>
        <v>294</v>
      </c>
      <c r="P65" s="79">
        <f t="shared" si="25"/>
        <v>458</v>
      </c>
      <c r="Q65" s="34">
        <f t="shared" si="26"/>
        <v>0.64192139737991272</v>
      </c>
      <c r="R65" s="1">
        <v>35</v>
      </c>
    </row>
    <row r="66" spans="1:18" ht="24" customHeight="1">
      <c r="A66" s="81">
        <v>18</v>
      </c>
      <c r="B66" s="31" t="s">
        <v>159</v>
      </c>
      <c r="C66" s="17">
        <v>278241</v>
      </c>
      <c r="D66" s="17">
        <v>278403</v>
      </c>
      <c r="E66" s="104">
        <f t="shared" si="19"/>
        <v>162</v>
      </c>
      <c r="F66" s="110">
        <v>25930</v>
      </c>
      <c r="G66" s="111">
        <v>247.07</v>
      </c>
      <c r="H66" s="10">
        <f t="shared" si="20"/>
        <v>0.65568462379082848</v>
      </c>
      <c r="I66" s="17">
        <v>278485</v>
      </c>
      <c r="J66" s="106">
        <f t="shared" si="21"/>
        <v>82</v>
      </c>
      <c r="K66" s="110">
        <v>25950</v>
      </c>
      <c r="L66" s="107">
        <f t="shared" si="22"/>
        <v>20</v>
      </c>
      <c r="M66" s="111">
        <v>140</v>
      </c>
      <c r="N66" s="28">
        <f t="shared" si="23"/>
        <v>0.58571428571428574</v>
      </c>
      <c r="O66" s="84">
        <f t="shared" si="24"/>
        <v>244</v>
      </c>
      <c r="P66" s="79">
        <f t="shared" si="25"/>
        <v>387.07</v>
      </c>
      <c r="Q66" s="34">
        <f t="shared" si="26"/>
        <v>0.63037693440462972</v>
      </c>
      <c r="R66" s="1">
        <v>39</v>
      </c>
    </row>
    <row r="67" spans="1:18" ht="24" customHeight="1">
      <c r="A67" s="81">
        <v>19</v>
      </c>
      <c r="B67" s="31" t="s">
        <v>160</v>
      </c>
      <c r="C67" s="17">
        <v>305329</v>
      </c>
      <c r="D67" s="17">
        <v>305329</v>
      </c>
      <c r="E67" s="104">
        <f t="shared" si="19"/>
        <v>0</v>
      </c>
      <c r="F67" s="110">
        <v>25121</v>
      </c>
      <c r="G67" s="111">
        <v>0</v>
      </c>
      <c r="H67" s="10">
        <f t="shared" si="20"/>
        <v>0</v>
      </c>
      <c r="I67" s="17">
        <v>305329</v>
      </c>
      <c r="J67" s="106">
        <f t="shared" si="21"/>
        <v>0</v>
      </c>
      <c r="K67" s="110">
        <v>25121</v>
      </c>
      <c r="L67" s="107">
        <f t="shared" si="22"/>
        <v>0</v>
      </c>
      <c r="M67" s="111">
        <v>0</v>
      </c>
      <c r="N67" s="28">
        <f t="shared" si="23"/>
        <v>0</v>
      </c>
      <c r="O67" s="84">
        <f t="shared" si="24"/>
        <v>0</v>
      </c>
      <c r="P67" s="79">
        <f t="shared" si="25"/>
        <v>0</v>
      </c>
      <c r="Q67" s="34">
        <f t="shared" si="26"/>
        <v>0</v>
      </c>
      <c r="R67" s="1">
        <v>0</v>
      </c>
    </row>
    <row r="68" spans="1:18" ht="24" customHeight="1">
      <c r="A68" s="81">
        <v>20</v>
      </c>
      <c r="B68" s="31" t="s">
        <v>161</v>
      </c>
      <c r="C68" s="17">
        <v>304013</v>
      </c>
      <c r="D68" s="17">
        <v>304173</v>
      </c>
      <c r="E68" s="104">
        <f t="shared" si="19"/>
        <v>160</v>
      </c>
      <c r="F68" s="110">
        <v>25401</v>
      </c>
      <c r="G68" s="116">
        <v>230</v>
      </c>
      <c r="H68" s="10">
        <f t="shared" si="20"/>
        <v>0.69565217391304346</v>
      </c>
      <c r="I68" s="17">
        <v>304327</v>
      </c>
      <c r="J68" s="106">
        <f t="shared" si="21"/>
        <v>154</v>
      </c>
      <c r="K68" s="110">
        <v>25423</v>
      </c>
      <c r="L68" s="107">
        <f t="shared" si="22"/>
        <v>22</v>
      </c>
      <c r="M68" s="111">
        <v>240</v>
      </c>
      <c r="N68" s="28">
        <f t="shared" si="23"/>
        <v>0.64166666666666672</v>
      </c>
      <c r="O68" s="84">
        <f t="shared" si="24"/>
        <v>314</v>
      </c>
      <c r="P68" s="79">
        <f t="shared" si="25"/>
        <v>470</v>
      </c>
      <c r="Q68" s="34">
        <f t="shared" si="26"/>
        <v>0.66808510638297869</v>
      </c>
      <c r="R68" s="1">
        <v>37</v>
      </c>
    </row>
    <row r="69" spans="1:18" ht="24" customHeight="1">
      <c r="A69" s="81">
        <v>21</v>
      </c>
      <c r="B69" s="31" t="s">
        <v>162</v>
      </c>
      <c r="C69" s="17">
        <v>320819</v>
      </c>
      <c r="D69" s="17">
        <v>320961</v>
      </c>
      <c r="E69" s="104">
        <f t="shared" si="19"/>
        <v>142</v>
      </c>
      <c r="F69" s="110">
        <v>26600</v>
      </c>
      <c r="G69" s="111">
        <v>199.44</v>
      </c>
      <c r="H69" s="10">
        <f t="shared" si="20"/>
        <v>0.7119935820296831</v>
      </c>
      <c r="I69" s="17">
        <v>321070</v>
      </c>
      <c r="J69" s="106">
        <f t="shared" si="21"/>
        <v>109</v>
      </c>
      <c r="K69" s="110">
        <v>26620</v>
      </c>
      <c r="L69" s="107">
        <f t="shared" si="22"/>
        <v>20</v>
      </c>
      <c r="M69" s="111">
        <v>153</v>
      </c>
      <c r="N69" s="28">
        <f t="shared" si="23"/>
        <v>0.71241830065359479</v>
      </c>
      <c r="O69" s="84">
        <f t="shared" si="24"/>
        <v>251</v>
      </c>
      <c r="P69" s="79">
        <f t="shared" si="25"/>
        <v>352.44</v>
      </c>
      <c r="Q69" s="34">
        <f t="shared" si="26"/>
        <v>0.71217795936897066</v>
      </c>
      <c r="R69" s="1">
        <v>42</v>
      </c>
    </row>
    <row r="70" spans="1:18" ht="24" customHeight="1">
      <c r="A70" s="81">
        <v>22</v>
      </c>
      <c r="B70" s="31" t="s">
        <v>68</v>
      </c>
      <c r="C70" s="17">
        <v>276418.40000000002</v>
      </c>
      <c r="D70" s="17">
        <v>276473.7</v>
      </c>
      <c r="E70" s="104">
        <f t="shared" si="19"/>
        <v>55.299999999988358</v>
      </c>
      <c r="F70" s="110">
        <v>22436</v>
      </c>
      <c r="G70" s="111">
        <v>85</v>
      </c>
      <c r="H70" s="10">
        <f t="shared" si="20"/>
        <v>0.65058823529398069</v>
      </c>
      <c r="I70" s="17">
        <v>276585</v>
      </c>
      <c r="J70" s="106">
        <f t="shared" si="21"/>
        <v>111.29999999998836</v>
      </c>
      <c r="K70" s="110">
        <v>22450</v>
      </c>
      <c r="L70" s="107">
        <f t="shared" si="22"/>
        <v>14</v>
      </c>
      <c r="M70" s="112">
        <v>192</v>
      </c>
      <c r="N70" s="28">
        <f t="shared" si="23"/>
        <v>0.5796874999999394</v>
      </c>
      <c r="O70" s="84">
        <f t="shared" si="24"/>
        <v>166.59999999997672</v>
      </c>
      <c r="P70" s="79">
        <f t="shared" si="25"/>
        <v>277</v>
      </c>
      <c r="Q70" s="34">
        <f t="shared" si="26"/>
        <v>0.60144404332121559</v>
      </c>
      <c r="R70" s="1">
        <v>32</v>
      </c>
    </row>
    <row r="71" spans="1:18" ht="24" customHeight="1">
      <c r="A71" s="81">
        <v>23</v>
      </c>
      <c r="B71" s="31" t="s">
        <v>69</v>
      </c>
      <c r="C71" s="17">
        <v>258446.1</v>
      </c>
      <c r="D71" s="17">
        <v>258503.6</v>
      </c>
      <c r="E71" s="104">
        <f t="shared" si="19"/>
        <v>57.5</v>
      </c>
      <c r="F71" s="110">
        <v>19805</v>
      </c>
      <c r="G71" s="111">
        <v>95.61</v>
      </c>
      <c r="H71" s="10">
        <f t="shared" si="20"/>
        <v>0.60140152703692085</v>
      </c>
      <c r="I71" s="17">
        <v>258547.8</v>
      </c>
      <c r="J71" s="106">
        <f t="shared" si="21"/>
        <v>44.199999999982538</v>
      </c>
      <c r="K71" s="110">
        <v>19813</v>
      </c>
      <c r="L71" s="107">
        <f t="shared" si="22"/>
        <v>8</v>
      </c>
      <c r="M71" s="112">
        <v>70</v>
      </c>
      <c r="N71" s="28">
        <f t="shared" si="23"/>
        <v>0.63142857142832198</v>
      </c>
      <c r="O71" s="84">
        <f t="shared" si="24"/>
        <v>101.69999999998254</v>
      </c>
      <c r="P71" s="79">
        <f t="shared" si="25"/>
        <v>165.61</v>
      </c>
      <c r="Q71" s="34">
        <f t="shared" si="26"/>
        <v>0.61409335185062819</v>
      </c>
      <c r="R71" s="1">
        <v>26</v>
      </c>
    </row>
    <row r="72" spans="1:18" ht="24" customHeight="1">
      <c r="A72" s="81">
        <v>24</v>
      </c>
      <c r="B72" s="31" t="s">
        <v>70</v>
      </c>
      <c r="C72" s="104">
        <v>302719.59999999998</v>
      </c>
      <c r="D72" s="104">
        <v>302833</v>
      </c>
      <c r="E72" s="104">
        <f t="shared" si="19"/>
        <v>113.40000000002328</v>
      </c>
      <c r="F72" s="110">
        <v>4970</v>
      </c>
      <c r="G72" s="111">
        <v>189.34</v>
      </c>
      <c r="H72" s="10">
        <f t="shared" si="20"/>
        <v>0.59892257314895569</v>
      </c>
      <c r="I72" s="104">
        <v>302922.90000000002</v>
      </c>
      <c r="J72" s="106">
        <f t="shared" si="21"/>
        <v>89.900000000023283</v>
      </c>
      <c r="K72" s="110">
        <v>4989</v>
      </c>
      <c r="L72" s="107">
        <f t="shared" si="22"/>
        <v>19</v>
      </c>
      <c r="M72" s="111">
        <v>116</v>
      </c>
      <c r="N72" s="28">
        <f t="shared" si="23"/>
        <v>0.77500000000020075</v>
      </c>
      <c r="O72" s="84">
        <f t="shared" si="24"/>
        <v>203.30000000004657</v>
      </c>
      <c r="P72" s="79">
        <f t="shared" si="25"/>
        <v>305.34000000000003</v>
      </c>
      <c r="Q72" s="34">
        <f t="shared" si="26"/>
        <v>0.66581515687445647</v>
      </c>
      <c r="R72" s="1">
        <v>49</v>
      </c>
    </row>
    <row r="73" spans="1:18" ht="24" customHeight="1">
      <c r="A73" s="81">
        <v>25</v>
      </c>
      <c r="B73" s="31" t="s">
        <v>71</v>
      </c>
      <c r="C73" s="35">
        <v>313044.2</v>
      </c>
      <c r="D73" s="35">
        <v>313166.2</v>
      </c>
      <c r="E73" s="104">
        <f t="shared" si="19"/>
        <v>122</v>
      </c>
      <c r="F73" s="110">
        <v>22892</v>
      </c>
      <c r="G73" s="111">
        <v>179.36</v>
      </c>
      <c r="H73" s="10">
        <f t="shared" si="20"/>
        <v>0.68019625334522738</v>
      </c>
      <c r="I73" s="35">
        <v>313276.90000000002</v>
      </c>
      <c r="J73" s="106">
        <f t="shared" si="21"/>
        <v>110.70000000001164</v>
      </c>
      <c r="K73" s="110">
        <v>22913</v>
      </c>
      <c r="L73" s="107">
        <f t="shared" si="22"/>
        <v>21</v>
      </c>
      <c r="M73" s="111">
        <v>182</v>
      </c>
      <c r="N73" s="28">
        <f>IFERROR(J73/M73,0)</f>
        <v>0.60824175824182225</v>
      </c>
      <c r="O73" s="84">
        <f t="shared" si="24"/>
        <v>232.70000000001164</v>
      </c>
      <c r="P73" s="79">
        <f>G73+M73</f>
        <v>361.36</v>
      </c>
      <c r="Q73" s="34">
        <f t="shared" si="26"/>
        <v>0.64395616559666713</v>
      </c>
      <c r="R73" s="1">
        <v>30</v>
      </c>
    </row>
    <row r="74" spans="1:18" ht="24" customHeight="1">
      <c r="A74" s="81">
        <v>26</v>
      </c>
      <c r="B74" s="31" t="s">
        <v>72</v>
      </c>
      <c r="C74" s="35">
        <v>283292.79999999999</v>
      </c>
      <c r="D74" s="35">
        <v>283435.90000000002</v>
      </c>
      <c r="E74" s="104">
        <f t="shared" si="19"/>
        <v>143.10000000003492</v>
      </c>
      <c r="F74" s="110">
        <v>20489</v>
      </c>
      <c r="G74" s="111">
        <v>212.62</v>
      </c>
      <c r="H74" s="10">
        <f t="shared" si="20"/>
        <v>0.67303169974619004</v>
      </c>
      <c r="I74" s="35">
        <v>283589.2</v>
      </c>
      <c r="J74" s="106">
        <f t="shared" si="21"/>
        <v>153.29999999998836</v>
      </c>
      <c r="K74" s="110">
        <v>20509</v>
      </c>
      <c r="L74" s="107">
        <f t="shared" si="22"/>
        <v>20</v>
      </c>
      <c r="M74" s="112">
        <v>233</v>
      </c>
      <c r="N74" s="28">
        <f t="shared" si="23"/>
        <v>0.65793991416304021</v>
      </c>
      <c r="O74" s="84">
        <f t="shared" si="24"/>
        <v>296.40000000002328</v>
      </c>
      <c r="P74" s="79">
        <f t="shared" si="25"/>
        <v>445.62</v>
      </c>
      <c r="Q74" s="34">
        <f t="shared" si="26"/>
        <v>0.66514070284103788</v>
      </c>
      <c r="R74" s="1">
        <v>37</v>
      </c>
    </row>
    <row r="75" spans="1:18" ht="24" customHeight="1">
      <c r="A75" s="81">
        <v>27</v>
      </c>
      <c r="B75" s="31" t="s">
        <v>73</v>
      </c>
      <c r="C75" s="104">
        <v>311618.2</v>
      </c>
      <c r="D75" s="104">
        <v>311732.2</v>
      </c>
      <c r="E75" s="104">
        <f t="shared" si="19"/>
        <v>114</v>
      </c>
      <c r="F75" s="110">
        <v>22614</v>
      </c>
      <c r="G75" s="111">
        <v>209.02</v>
      </c>
      <c r="H75" s="10">
        <f t="shared" si="20"/>
        <v>0.54540235384173763</v>
      </c>
      <c r="I75" s="104">
        <v>311852.79999999999</v>
      </c>
      <c r="J75" s="106">
        <f t="shared" si="21"/>
        <v>120.59999999997672</v>
      </c>
      <c r="K75" s="110">
        <v>22636</v>
      </c>
      <c r="L75" s="107">
        <f t="shared" si="22"/>
        <v>22</v>
      </c>
      <c r="M75" s="112">
        <v>194</v>
      </c>
      <c r="N75" s="28">
        <f t="shared" si="23"/>
        <v>0.62164948453596247</v>
      </c>
      <c r="O75" s="84">
        <f t="shared" si="24"/>
        <v>234.59999999997672</v>
      </c>
      <c r="P75" s="79">
        <f t="shared" si="25"/>
        <v>403.02</v>
      </c>
      <c r="Q75" s="34">
        <f t="shared" si="26"/>
        <v>0.58210510644627245</v>
      </c>
      <c r="R75" s="1">
        <v>54</v>
      </c>
    </row>
    <row r="76" spans="1:18" ht="24" customHeight="1">
      <c r="A76" s="81">
        <v>28</v>
      </c>
      <c r="B76" s="31" t="s">
        <v>74</v>
      </c>
      <c r="C76" s="35">
        <v>281866.8</v>
      </c>
      <c r="D76" s="35">
        <v>281950.2</v>
      </c>
      <c r="E76" s="104">
        <f t="shared" si="19"/>
        <v>83.400000000023283</v>
      </c>
      <c r="F76" s="110">
        <v>4143</v>
      </c>
      <c r="G76" s="111">
        <v>161</v>
      </c>
      <c r="H76" s="10">
        <f t="shared" si="20"/>
        <v>0.51801242236039302</v>
      </c>
      <c r="I76" s="35">
        <v>281950.2</v>
      </c>
      <c r="J76" s="106">
        <f t="shared" si="21"/>
        <v>0</v>
      </c>
      <c r="K76" s="110">
        <v>4154</v>
      </c>
      <c r="L76" s="107">
        <f>K76-F76</f>
        <v>11</v>
      </c>
      <c r="M76" s="111">
        <v>0</v>
      </c>
      <c r="N76" s="28">
        <f t="shared" si="23"/>
        <v>0</v>
      </c>
      <c r="O76" s="84">
        <f t="shared" si="24"/>
        <v>83.400000000023283</v>
      </c>
      <c r="P76" s="79">
        <f t="shared" si="25"/>
        <v>161</v>
      </c>
      <c r="Q76" s="34">
        <f t="shared" si="26"/>
        <v>0.51801242236039302</v>
      </c>
      <c r="R76" s="1">
        <v>22</v>
      </c>
    </row>
    <row r="77" spans="1:18" ht="24" customHeight="1">
      <c r="A77" s="81">
        <v>29</v>
      </c>
      <c r="B77" s="31" t="s">
        <v>75</v>
      </c>
      <c r="C77" s="104">
        <v>299686.7</v>
      </c>
      <c r="D77" s="104">
        <v>299794.40000000002</v>
      </c>
      <c r="E77" s="104">
        <f t="shared" si="19"/>
        <v>107.70000000001164</v>
      </c>
      <c r="F77" s="110">
        <v>21565</v>
      </c>
      <c r="G77" s="111">
        <v>154.31</v>
      </c>
      <c r="H77" s="10">
        <f t="shared" si="20"/>
        <v>0.69794569373346926</v>
      </c>
      <c r="I77" s="104">
        <v>299870.7</v>
      </c>
      <c r="J77" s="106">
        <f t="shared" si="21"/>
        <v>76.299999999988358</v>
      </c>
      <c r="K77" s="110">
        <v>21581</v>
      </c>
      <c r="L77" s="107">
        <f t="shared" si="22"/>
        <v>16</v>
      </c>
      <c r="M77" s="112">
        <v>128.9</v>
      </c>
      <c r="N77" s="28">
        <f t="shared" si="23"/>
        <v>0.59193173002318356</v>
      </c>
      <c r="O77" s="84">
        <f t="shared" si="24"/>
        <v>184</v>
      </c>
      <c r="P77" s="79">
        <f t="shared" si="25"/>
        <v>283.21000000000004</v>
      </c>
      <c r="Q77" s="34">
        <f t="shared" si="26"/>
        <v>0.64969457293174671</v>
      </c>
      <c r="R77" s="1">
        <v>40</v>
      </c>
    </row>
    <row r="78" spans="1:18" ht="24" customHeight="1">
      <c r="A78" s="81">
        <v>30</v>
      </c>
      <c r="B78" s="31" t="s">
        <v>76</v>
      </c>
      <c r="C78" s="104">
        <v>264431.3</v>
      </c>
      <c r="D78" s="104">
        <v>264519.7</v>
      </c>
      <c r="E78" s="104">
        <f t="shared" si="19"/>
        <v>88.400000000023283</v>
      </c>
      <c r="F78" s="110">
        <v>19506</v>
      </c>
      <c r="G78" s="111">
        <v>176</v>
      </c>
      <c r="H78" s="10">
        <f t="shared" si="20"/>
        <v>0.50227272727285954</v>
      </c>
      <c r="I78" s="104">
        <v>264623.8</v>
      </c>
      <c r="J78" s="106">
        <f t="shared" si="21"/>
        <v>104.09999999997672</v>
      </c>
      <c r="K78" s="110">
        <v>19527</v>
      </c>
      <c r="L78" s="107">
        <f t="shared" si="22"/>
        <v>21</v>
      </c>
      <c r="M78" s="111">
        <v>148</v>
      </c>
      <c r="N78" s="28">
        <f t="shared" si="23"/>
        <v>0.70337837837822104</v>
      </c>
      <c r="O78" s="84">
        <f t="shared" si="24"/>
        <v>192.5</v>
      </c>
      <c r="P78" s="79">
        <f t="shared" si="25"/>
        <v>324</v>
      </c>
      <c r="Q78" s="34">
        <f t="shared" si="26"/>
        <v>0.59413580246913578</v>
      </c>
      <c r="R78" s="1">
        <v>47</v>
      </c>
    </row>
    <row r="79" spans="1:18" ht="24" customHeight="1">
      <c r="A79" s="81">
        <v>31</v>
      </c>
      <c r="B79" s="31" t="s">
        <v>77</v>
      </c>
      <c r="C79" s="83">
        <v>262555.40000000002</v>
      </c>
      <c r="D79" s="83">
        <v>262713.7</v>
      </c>
      <c r="E79" s="104">
        <f t="shared" si="19"/>
        <v>158.29999999998836</v>
      </c>
      <c r="F79" s="110">
        <v>19210</v>
      </c>
      <c r="G79" s="111">
        <v>254.59</v>
      </c>
      <c r="H79" s="10">
        <f t="shared" si="20"/>
        <v>0.62178404493494777</v>
      </c>
      <c r="I79" s="83">
        <v>262713.7</v>
      </c>
      <c r="J79" s="106">
        <f t="shared" si="21"/>
        <v>0</v>
      </c>
      <c r="K79" s="110">
        <v>19222</v>
      </c>
      <c r="L79" s="107">
        <f>K79-F79</f>
        <v>12</v>
      </c>
      <c r="M79" s="111">
        <v>0</v>
      </c>
      <c r="N79" s="28">
        <f t="shared" si="23"/>
        <v>0</v>
      </c>
      <c r="O79" s="84">
        <f t="shared" si="24"/>
        <v>158.29999999998836</v>
      </c>
      <c r="P79" s="79">
        <f t="shared" si="25"/>
        <v>254.59</v>
      </c>
      <c r="Q79" s="34">
        <f t="shared" si="26"/>
        <v>0.62178404493494777</v>
      </c>
      <c r="R79" s="1">
        <v>23</v>
      </c>
    </row>
    <row r="80" spans="1:18" ht="24" customHeight="1">
      <c r="A80" s="81">
        <v>32</v>
      </c>
      <c r="B80" s="31" t="s">
        <v>78</v>
      </c>
      <c r="C80" s="104">
        <v>288370</v>
      </c>
      <c r="D80" s="104">
        <v>288467.09999999998</v>
      </c>
      <c r="E80" s="104">
        <f t="shared" si="19"/>
        <v>97.099999999976717</v>
      </c>
      <c r="F80" s="110">
        <v>20804</v>
      </c>
      <c r="G80" s="111">
        <v>188</v>
      </c>
      <c r="H80" s="10">
        <f t="shared" si="20"/>
        <v>0.51648936170200377</v>
      </c>
      <c r="I80" s="104">
        <v>288561.09999999998</v>
      </c>
      <c r="J80" s="106">
        <f t="shared" si="21"/>
        <v>94</v>
      </c>
      <c r="K80" s="110">
        <v>20824</v>
      </c>
      <c r="L80" s="107">
        <f t="shared" si="22"/>
        <v>20</v>
      </c>
      <c r="M80" s="111">
        <v>137</v>
      </c>
      <c r="N80" s="28">
        <f t="shared" si="23"/>
        <v>0.68613138686131392</v>
      </c>
      <c r="O80" s="84">
        <f t="shared" si="24"/>
        <v>191.09999999997672</v>
      </c>
      <c r="P80" s="79">
        <f t="shared" si="25"/>
        <v>325</v>
      </c>
      <c r="Q80" s="34">
        <f t="shared" si="26"/>
        <v>0.58799999999992836</v>
      </c>
      <c r="R80" s="1">
        <v>31</v>
      </c>
    </row>
    <row r="81" spans="1:19" ht="24" customHeight="1">
      <c r="A81" s="81">
        <v>33</v>
      </c>
      <c r="B81" s="31" t="s">
        <v>79</v>
      </c>
      <c r="C81" s="104">
        <v>303054.90000000002</v>
      </c>
      <c r="D81" s="104">
        <v>303176.09999999998</v>
      </c>
      <c r="E81" s="104">
        <f t="shared" si="19"/>
        <v>121.19999999995343</v>
      </c>
      <c r="F81" s="110">
        <v>21534</v>
      </c>
      <c r="G81" s="111">
        <v>203.6</v>
      </c>
      <c r="H81" s="10">
        <f t="shared" si="20"/>
        <v>0.59528487229839611</v>
      </c>
      <c r="I81" s="104">
        <v>303249.40000000002</v>
      </c>
      <c r="J81" s="106">
        <f t="shared" si="21"/>
        <v>73.300000000046566</v>
      </c>
      <c r="K81" s="110">
        <v>21554</v>
      </c>
      <c r="L81" s="107">
        <f t="shared" si="22"/>
        <v>20</v>
      </c>
      <c r="M81" s="111">
        <v>125.23</v>
      </c>
      <c r="N81" s="28">
        <f t="shared" si="23"/>
        <v>0.58532300566993978</v>
      </c>
      <c r="O81" s="84">
        <f t="shared" si="24"/>
        <v>194.5</v>
      </c>
      <c r="P81" s="79">
        <f t="shared" si="25"/>
        <v>328.83</v>
      </c>
      <c r="Q81" s="34">
        <f t="shared" si="26"/>
        <v>0.59149104400450081</v>
      </c>
      <c r="R81" s="1">
        <v>52</v>
      </c>
    </row>
    <row r="82" spans="1:19" ht="24" customHeight="1">
      <c r="A82" s="81">
        <v>34</v>
      </c>
      <c r="B82" s="31" t="s">
        <v>163</v>
      </c>
      <c r="C82" s="104">
        <v>244017.3</v>
      </c>
      <c r="D82" s="104">
        <v>244078.4</v>
      </c>
      <c r="E82" s="104">
        <f t="shared" si="19"/>
        <v>61.100000000005821</v>
      </c>
      <c r="F82" s="110">
        <v>18216</v>
      </c>
      <c r="G82" s="111">
        <v>82</v>
      </c>
      <c r="H82" s="10">
        <f t="shared" si="20"/>
        <v>0.74512195121958313</v>
      </c>
      <c r="I82" s="104">
        <v>244141.4</v>
      </c>
      <c r="J82" s="106">
        <f t="shared" si="21"/>
        <v>63</v>
      </c>
      <c r="K82" s="110">
        <v>18226</v>
      </c>
      <c r="L82" s="107">
        <f t="shared" si="22"/>
        <v>10</v>
      </c>
      <c r="M82" s="111">
        <v>88</v>
      </c>
      <c r="N82" s="28">
        <f t="shared" si="23"/>
        <v>0.71590909090909094</v>
      </c>
      <c r="O82" s="84">
        <f t="shared" si="24"/>
        <v>124.10000000000582</v>
      </c>
      <c r="P82" s="79">
        <f t="shared" si="25"/>
        <v>170</v>
      </c>
      <c r="Q82" s="34">
        <f t="shared" si="26"/>
        <v>0.73000000000003429</v>
      </c>
      <c r="R82" s="1">
        <v>35</v>
      </c>
    </row>
    <row r="83" spans="1:19" ht="24" customHeight="1">
      <c r="A83" s="81">
        <v>35</v>
      </c>
      <c r="B83" s="31" t="s">
        <v>164</v>
      </c>
      <c r="C83" s="104">
        <v>243490.2</v>
      </c>
      <c r="D83" s="104">
        <v>243490.2</v>
      </c>
      <c r="E83" s="104">
        <f t="shared" si="19"/>
        <v>0</v>
      </c>
      <c r="F83" s="110">
        <v>18191</v>
      </c>
      <c r="G83" s="111">
        <v>0</v>
      </c>
      <c r="H83" s="10">
        <f t="shared" si="20"/>
        <v>0</v>
      </c>
      <c r="I83" s="104">
        <v>243628.1</v>
      </c>
      <c r="J83" s="106">
        <f t="shared" si="21"/>
        <v>137.89999999999418</v>
      </c>
      <c r="K83" s="110">
        <v>18201</v>
      </c>
      <c r="L83" s="107">
        <f t="shared" si="22"/>
        <v>10</v>
      </c>
      <c r="M83" s="111">
        <v>175</v>
      </c>
      <c r="N83" s="28">
        <f t="shared" si="23"/>
        <v>0.78799999999996673</v>
      </c>
      <c r="O83" s="84">
        <f t="shared" si="24"/>
        <v>137.89999999999418</v>
      </c>
      <c r="P83" s="79">
        <f t="shared" si="25"/>
        <v>175</v>
      </c>
      <c r="Q83" s="34">
        <f t="shared" si="26"/>
        <v>0.78799999999996673</v>
      </c>
      <c r="R83" s="1">
        <v>43</v>
      </c>
    </row>
    <row r="84" spans="1:19" ht="24" customHeight="1">
      <c r="A84" s="81">
        <v>36</v>
      </c>
      <c r="B84" s="31" t="s">
        <v>165</v>
      </c>
      <c r="C84" s="104">
        <v>250360.3</v>
      </c>
      <c r="D84" s="104">
        <v>250513</v>
      </c>
      <c r="E84" s="104">
        <f t="shared" si="19"/>
        <v>152.70000000001164</v>
      </c>
      <c r="F84" s="110">
        <v>17824</v>
      </c>
      <c r="G84" s="111">
        <v>194</v>
      </c>
      <c r="H84" s="10">
        <f t="shared" si="20"/>
        <v>0.78711340206191571</v>
      </c>
      <c r="I84" s="104">
        <v>250585.2</v>
      </c>
      <c r="J84" s="106">
        <f t="shared" si="21"/>
        <v>72.200000000011642</v>
      </c>
      <c r="K84" s="110">
        <v>17842</v>
      </c>
      <c r="L84" s="107">
        <f t="shared" si="22"/>
        <v>18</v>
      </c>
      <c r="M84" s="112">
        <v>113</v>
      </c>
      <c r="N84" s="28">
        <f t="shared" si="23"/>
        <v>0.63893805309744811</v>
      </c>
      <c r="O84" s="84">
        <f t="shared" si="24"/>
        <v>224.90000000002328</v>
      </c>
      <c r="P84" s="79">
        <f t="shared" si="25"/>
        <v>307</v>
      </c>
      <c r="Q84" s="34">
        <f t="shared" si="26"/>
        <v>0.73257328990235593</v>
      </c>
      <c r="R84" s="1">
        <v>50</v>
      </c>
    </row>
    <row r="85" spans="1:19" ht="24" customHeight="1">
      <c r="A85" s="81">
        <v>37</v>
      </c>
      <c r="B85" s="31" t="s">
        <v>83</v>
      </c>
      <c r="C85" s="104">
        <v>258930.4</v>
      </c>
      <c r="D85" s="104">
        <v>259101</v>
      </c>
      <c r="E85" s="104">
        <f t="shared" si="19"/>
        <v>170.60000000000582</v>
      </c>
      <c r="F85" s="110">
        <v>18353</v>
      </c>
      <c r="G85" s="111">
        <v>225.17</v>
      </c>
      <c r="H85" s="10">
        <f t="shared" si="20"/>
        <v>0.75764977572503367</v>
      </c>
      <c r="I85" s="104">
        <v>259165.3</v>
      </c>
      <c r="J85" s="106">
        <f t="shared" si="21"/>
        <v>64.299999999988358</v>
      </c>
      <c r="K85" s="110">
        <v>18372</v>
      </c>
      <c r="L85" s="107">
        <f t="shared" si="22"/>
        <v>19</v>
      </c>
      <c r="M85" s="112">
        <v>100</v>
      </c>
      <c r="N85" s="28">
        <f t="shared" si="23"/>
        <v>0.64299999999988355</v>
      </c>
      <c r="O85" s="84">
        <f t="shared" si="24"/>
        <v>234.89999999999418</v>
      </c>
      <c r="P85" s="79">
        <f t="shared" si="25"/>
        <v>325.16999999999996</v>
      </c>
      <c r="Q85" s="34">
        <f t="shared" si="26"/>
        <v>0.72239136451700403</v>
      </c>
      <c r="R85" s="1">
        <v>47</v>
      </c>
    </row>
    <row r="86" spans="1:19" ht="24" customHeight="1">
      <c r="A86" s="81">
        <v>38</v>
      </c>
      <c r="B86" s="31" t="s">
        <v>84</v>
      </c>
      <c r="C86" s="104">
        <v>270304.59999999998</v>
      </c>
      <c r="D86" s="104">
        <v>270446.7</v>
      </c>
      <c r="E86" s="104">
        <f t="shared" si="19"/>
        <v>142.10000000003492</v>
      </c>
      <c r="F86" s="110">
        <v>17715</v>
      </c>
      <c r="G86" s="111">
        <v>187</v>
      </c>
      <c r="H86" s="10">
        <f t="shared" si="20"/>
        <v>0.75989304812852898</v>
      </c>
      <c r="I86" s="104">
        <v>270527.5</v>
      </c>
      <c r="J86" s="106">
        <f t="shared" si="21"/>
        <v>80.799999999988358</v>
      </c>
      <c r="K86" s="110">
        <v>17734</v>
      </c>
      <c r="L86" s="107">
        <f t="shared" si="22"/>
        <v>19</v>
      </c>
      <c r="M86" s="112">
        <v>116</v>
      </c>
      <c r="N86" s="28">
        <f t="shared" si="23"/>
        <v>0.69655172413783073</v>
      </c>
      <c r="O86" s="84">
        <f t="shared" si="24"/>
        <v>222.90000000002328</v>
      </c>
      <c r="P86" s="79">
        <f t="shared" si="25"/>
        <v>303</v>
      </c>
      <c r="Q86" s="34">
        <f t="shared" si="26"/>
        <v>0.73564356435651246</v>
      </c>
      <c r="R86" s="1">
        <v>52</v>
      </c>
    </row>
    <row r="87" spans="1:19" ht="24" customHeight="1">
      <c r="A87" s="81">
        <v>39</v>
      </c>
      <c r="B87" s="31" t="s">
        <v>85</v>
      </c>
      <c r="C87" s="35">
        <v>278392.3</v>
      </c>
      <c r="D87" s="35">
        <v>278472.7</v>
      </c>
      <c r="E87" s="104">
        <f t="shared" si="19"/>
        <v>80.400000000023283</v>
      </c>
      <c r="F87" s="110">
        <v>19638</v>
      </c>
      <c r="G87" s="111">
        <v>137</v>
      </c>
      <c r="H87" s="10">
        <f t="shared" si="20"/>
        <v>0.58686131386878304</v>
      </c>
      <c r="I87" s="35">
        <v>278588.90000000002</v>
      </c>
      <c r="J87" s="106">
        <f t="shared" si="21"/>
        <v>116.20000000001164</v>
      </c>
      <c r="K87" s="110">
        <v>19656</v>
      </c>
      <c r="L87" s="107">
        <f t="shared" si="22"/>
        <v>18</v>
      </c>
      <c r="M87" s="112">
        <v>149</v>
      </c>
      <c r="N87" s="28">
        <f t="shared" si="23"/>
        <v>0.77986577181215866</v>
      </c>
      <c r="O87" s="84">
        <f t="shared" si="24"/>
        <v>196.60000000003492</v>
      </c>
      <c r="P87" s="79">
        <f t="shared" si="25"/>
        <v>286</v>
      </c>
      <c r="Q87" s="34">
        <f t="shared" si="26"/>
        <v>0.6874125874127095</v>
      </c>
      <c r="R87" s="1">
        <v>43</v>
      </c>
    </row>
    <row r="88" spans="1:19" ht="24" customHeight="1">
      <c r="A88" s="81">
        <v>40</v>
      </c>
      <c r="B88" s="31" t="s">
        <v>86</v>
      </c>
      <c r="C88" s="104">
        <v>249324</v>
      </c>
      <c r="D88" s="104">
        <v>249405.8</v>
      </c>
      <c r="E88" s="104">
        <f t="shared" si="19"/>
        <v>81.799999999988358</v>
      </c>
      <c r="F88" s="110">
        <v>17706</v>
      </c>
      <c r="G88" s="111">
        <v>136.37</v>
      </c>
      <c r="H88" s="10">
        <f t="shared" si="20"/>
        <v>0.59983867419511883</v>
      </c>
      <c r="I88" s="104">
        <v>249520.3</v>
      </c>
      <c r="J88" s="106">
        <f t="shared" si="21"/>
        <v>114.5</v>
      </c>
      <c r="K88" s="110">
        <v>17725</v>
      </c>
      <c r="L88" s="107">
        <f t="shared" si="22"/>
        <v>19</v>
      </c>
      <c r="M88" s="112">
        <v>161</v>
      </c>
      <c r="N88" s="28">
        <f t="shared" si="23"/>
        <v>0.71118012422360244</v>
      </c>
      <c r="O88" s="84">
        <f t="shared" si="24"/>
        <v>196.29999999998836</v>
      </c>
      <c r="P88" s="79">
        <f t="shared" si="25"/>
        <v>297.37</v>
      </c>
      <c r="Q88" s="34">
        <f t="shared" si="26"/>
        <v>0.66012038874125956</v>
      </c>
      <c r="R88" s="1">
        <v>51</v>
      </c>
    </row>
    <row r="89" spans="1:19" ht="24" customHeight="1">
      <c r="A89" s="81">
        <v>41</v>
      </c>
      <c r="B89" s="31" t="s">
        <v>87</v>
      </c>
      <c r="C89" s="104">
        <v>277990.59999999998</v>
      </c>
      <c r="D89" s="104">
        <v>278090.40000000002</v>
      </c>
      <c r="E89" s="104">
        <f t="shared" si="19"/>
        <v>99.800000000046566</v>
      </c>
      <c r="F89" s="110">
        <v>19191</v>
      </c>
      <c r="G89" s="111">
        <v>149</v>
      </c>
      <c r="H89" s="10">
        <f t="shared" si="20"/>
        <v>0.66979865771843328</v>
      </c>
      <c r="I89" s="104">
        <v>278164.40000000002</v>
      </c>
      <c r="J89" s="106">
        <f t="shared" si="21"/>
        <v>74</v>
      </c>
      <c r="K89" s="110">
        <v>19210</v>
      </c>
      <c r="L89" s="107">
        <f t="shared" si="22"/>
        <v>19</v>
      </c>
      <c r="M89" s="111">
        <v>116</v>
      </c>
      <c r="N89" s="28">
        <f t="shared" si="23"/>
        <v>0.63793103448275867</v>
      </c>
      <c r="O89" s="84">
        <f t="shared" si="24"/>
        <v>173.80000000004657</v>
      </c>
      <c r="P89" s="79">
        <f t="shared" si="25"/>
        <v>265</v>
      </c>
      <c r="Q89" s="34">
        <f t="shared" si="26"/>
        <v>0.65584905660394932</v>
      </c>
      <c r="R89" s="1">
        <v>31</v>
      </c>
    </row>
    <row r="90" spans="1:19" ht="24" customHeight="1">
      <c r="A90" s="81">
        <v>42</v>
      </c>
      <c r="B90" s="31" t="s">
        <v>88</v>
      </c>
      <c r="C90" s="104">
        <v>273954.8</v>
      </c>
      <c r="D90" s="104">
        <v>274060.90000000002</v>
      </c>
      <c r="E90" s="104">
        <f t="shared" si="19"/>
        <v>106.10000000003492</v>
      </c>
      <c r="F90" s="110">
        <v>18580</v>
      </c>
      <c r="G90" s="111">
        <v>155</v>
      </c>
      <c r="H90" s="10">
        <f t="shared" si="20"/>
        <v>0.68451612903248338</v>
      </c>
      <c r="I90" s="104">
        <v>274143.3</v>
      </c>
      <c r="J90" s="106">
        <f t="shared" si="21"/>
        <v>82.399999999965075</v>
      </c>
      <c r="K90" s="110">
        <v>18598</v>
      </c>
      <c r="L90" s="107">
        <f t="shared" si="22"/>
        <v>18</v>
      </c>
      <c r="M90" s="111">
        <v>119</v>
      </c>
      <c r="N90" s="28">
        <f t="shared" si="23"/>
        <v>0.69243697478962252</v>
      </c>
      <c r="O90" s="84">
        <f t="shared" si="24"/>
        <v>188.5</v>
      </c>
      <c r="P90" s="79">
        <f t="shared" si="25"/>
        <v>274</v>
      </c>
      <c r="Q90" s="34">
        <f t="shared" si="26"/>
        <v>0.68795620437956206</v>
      </c>
      <c r="R90" s="1">
        <v>41</v>
      </c>
    </row>
    <row r="91" spans="1:19" ht="24" customHeight="1">
      <c r="A91" s="81">
        <v>43</v>
      </c>
      <c r="B91" s="31" t="s">
        <v>89</v>
      </c>
      <c r="C91" s="35">
        <v>266386.7</v>
      </c>
      <c r="D91" s="35">
        <v>266519.8</v>
      </c>
      <c r="E91" s="104">
        <f t="shared" si="19"/>
        <v>133.09999999997672</v>
      </c>
      <c r="F91" s="110">
        <v>18239</v>
      </c>
      <c r="G91" s="111">
        <v>190.85</v>
      </c>
      <c r="H91" s="10">
        <f t="shared" si="20"/>
        <v>0.6974063400575149</v>
      </c>
      <c r="I91" s="35">
        <v>266606.2</v>
      </c>
      <c r="J91" s="106">
        <f t="shared" si="21"/>
        <v>86.400000000023283</v>
      </c>
      <c r="K91" s="110">
        <v>18260</v>
      </c>
      <c r="L91" s="107">
        <f t="shared" si="22"/>
        <v>21</v>
      </c>
      <c r="M91" s="111">
        <v>148</v>
      </c>
      <c r="N91" s="28">
        <f t="shared" si="23"/>
        <v>0.58378378378394113</v>
      </c>
      <c r="O91" s="84">
        <f t="shared" si="24"/>
        <v>219.5</v>
      </c>
      <c r="P91" s="79">
        <f t="shared" si="25"/>
        <v>338.85</v>
      </c>
      <c r="Q91" s="34">
        <f t="shared" si="26"/>
        <v>0.64777925335694253</v>
      </c>
      <c r="R91" s="1">
        <v>48</v>
      </c>
    </row>
    <row r="92" spans="1:19" ht="24" customHeight="1">
      <c r="A92" s="81">
        <v>44</v>
      </c>
      <c r="B92" s="31" t="s">
        <v>90</v>
      </c>
      <c r="C92" s="104">
        <v>243731.9</v>
      </c>
      <c r="D92" s="104">
        <v>243871.1</v>
      </c>
      <c r="E92" s="104">
        <f t="shared" si="19"/>
        <v>139.20000000001164</v>
      </c>
      <c r="F92" s="110">
        <v>17561</v>
      </c>
      <c r="G92" s="111">
        <v>236.62</v>
      </c>
      <c r="H92" s="10">
        <f>IFERROR(E92/G92,0)</f>
        <v>0.58828501394646115</v>
      </c>
      <c r="I92" s="104">
        <v>243977.5</v>
      </c>
      <c r="J92" s="106">
        <f t="shared" si="21"/>
        <v>106.39999999999418</v>
      </c>
      <c r="K92" s="110">
        <v>17582</v>
      </c>
      <c r="L92" s="107">
        <f t="shared" si="22"/>
        <v>21</v>
      </c>
      <c r="M92" s="111">
        <v>168</v>
      </c>
      <c r="N92" s="28">
        <f t="shared" si="23"/>
        <v>0.63333333333329866</v>
      </c>
      <c r="O92" s="84">
        <f t="shared" si="24"/>
        <v>245.60000000000582</v>
      </c>
      <c r="P92" s="79">
        <f t="shared" si="25"/>
        <v>404.62</v>
      </c>
      <c r="Q92" s="34">
        <f t="shared" si="26"/>
        <v>0.60698927388662405</v>
      </c>
      <c r="R92" s="1">
        <v>41</v>
      </c>
    </row>
    <row r="93" spans="1:19" ht="24" customHeight="1">
      <c r="A93" s="81">
        <v>45</v>
      </c>
      <c r="B93" s="31" t="s">
        <v>91</v>
      </c>
      <c r="C93" s="104">
        <v>254153.9</v>
      </c>
      <c r="D93" s="104">
        <v>254153.9</v>
      </c>
      <c r="E93" s="104">
        <f t="shared" si="19"/>
        <v>0</v>
      </c>
      <c r="F93" s="110">
        <v>17731</v>
      </c>
      <c r="G93" s="111">
        <v>0</v>
      </c>
      <c r="H93" s="10">
        <f t="shared" si="20"/>
        <v>0</v>
      </c>
      <c r="I93" s="104">
        <v>254153.9</v>
      </c>
      <c r="J93" s="106">
        <f t="shared" si="21"/>
        <v>0</v>
      </c>
      <c r="K93" s="110">
        <v>17731</v>
      </c>
      <c r="L93" s="107">
        <f t="shared" si="22"/>
        <v>0</v>
      </c>
      <c r="M93" s="111">
        <v>0</v>
      </c>
      <c r="N93" s="28">
        <f t="shared" si="23"/>
        <v>0</v>
      </c>
      <c r="O93" s="84">
        <f t="shared" si="24"/>
        <v>0</v>
      </c>
      <c r="P93" s="79">
        <f t="shared" si="25"/>
        <v>0</v>
      </c>
      <c r="Q93" s="34">
        <f t="shared" si="26"/>
        <v>0</v>
      </c>
      <c r="R93" s="1">
        <v>0</v>
      </c>
    </row>
    <row r="94" spans="1:19" ht="24" customHeight="1">
      <c r="A94" s="81">
        <v>46</v>
      </c>
      <c r="B94" s="31" t="s">
        <v>92</v>
      </c>
      <c r="C94" s="35">
        <v>237739.8</v>
      </c>
      <c r="D94" s="35">
        <v>237881.4</v>
      </c>
      <c r="E94" s="104">
        <f>D94-C94</f>
        <v>141.60000000000582</v>
      </c>
      <c r="F94" s="110">
        <v>17205</v>
      </c>
      <c r="G94" s="111">
        <v>198</v>
      </c>
      <c r="H94" s="10">
        <f t="shared" si="20"/>
        <v>0.71515151515154451</v>
      </c>
      <c r="I94" s="35">
        <v>238002.1</v>
      </c>
      <c r="J94" s="106">
        <f>I94-D94</f>
        <v>120.70000000001164</v>
      </c>
      <c r="K94" s="110">
        <v>17226</v>
      </c>
      <c r="L94" s="107">
        <f t="shared" si="22"/>
        <v>21</v>
      </c>
      <c r="M94" s="111">
        <v>168</v>
      </c>
      <c r="N94" s="28">
        <f t="shared" si="23"/>
        <v>0.71845238095245023</v>
      </c>
      <c r="O94" s="84">
        <f t="shared" si="24"/>
        <v>262.30000000001746</v>
      </c>
      <c r="P94" s="79">
        <f>G94+M94</f>
        <v>366</v>
      </c>
      <c r="Q94" s="34">
        <f t="shared" si="26"/>
        <v>0.71666666666671441</v>
      </c>
      <c r="R94" s="1">
        <v>39</v>
      </c>
    </row>
    <row r="95" spans="1:19" ht="24" customHeight="1">
      <c r="A95" s="81">
        <v>47</v>
      </c>
      <c r="B95" s="31" t="s">
        <v>93</v>
      </c>
      <c r="C95" s="104">
        <v>246052.7</v>
      </c>
      <c r="D95" s="104">
        <v>246181.4</v>
      </c>
      <c r="E95" s="104">
        <f>D95-C95</f>
        <v>128.69999999998254</v>
      </c>
      <c r="F95" s="110">
        <v>16684</v>
      </c>
      <c r="G95" s="111">
        <v>192.77</v>
      </c>
      <c r="H95" s="10">
        <f t="shared" si="20"/>
        <v>0.66763500544681498</v>
      </c>
      <c r="I95" s="104">
        <v>246318.8</v>
      </c>
      <c r="J95" s="106">
        <f>I95-D95</f>
        <v>137.39999999999418</v>
      </c>
      <c r="K95" s="110">
        <v>16705</v>
      </c>
      <c r="L95" s="107">
        <f t="shared" si="22"/>
        <v>21</v>
      </c>
      <c r="M95" s="111">
        <v>184</v>
      </c>
      <c r="N95" s="28">
        <f t="shared" si="23"/>
        <v>0.74673913043475093</v>
      </c>
      <c r="O95" s="84">
        <f t="shared" si="24"/>
        <v>266.09999999997672</v>
      </c>
      <c r="P95" s="79">
        <f t="shared" si="25"/>
        <v>376.77</v>
      </c>
      <c r="Q95" s="34">
        <f t="shared" si="26"/>
        <v>0.70626642248580496</v>
      </c>
      <c r="R95" s="1">
        <v>48</v>
      </c>
      <c r="S95" t="s">
        <v>94</v>
      </c>
    </row>
    <row r="96" spans="1:19" ht="24" customHeight="1">
      <c r="A96" s="81">
        <v>48</v>
      </c>
      <c r="B96" s="31" t="s">
        <v>95</v>
      </c>
      <c r="C96" s="104">
        <v>243189.9</v>
      </c>
      <c r="D96" s="104">
        <v>243348.4</v>
      </c>
      <c r="E96" s="104">
        <f t="shared" si="19"/>
        <v>158.5</v>
      </c>
      <c r="F96" s="110">
        <v>18126</v>
      </c>
      <c r="G96" s="111">
        <v>238</v>
      </c>
      <c r="H96" s="10">
        <f t="shared" si="20"/>
        <v>0.66596638655462181</v>
      </c>
      <c r="I96" s="104">
        <v>243497</v>
      </c>
      <c r="J96" s="106">
        <f t="shared" si="21"/>
        <v>148.60000000000582</v>
      </c>
      <c r="K96" s="110">
        <v>18148</v>
      </c>
      <c r="L96" s="107">
        <f t="shared" si="22"/>
        <v>22</v>
      </c>
      <c r="M96" s="111">
        <v>214</v>
      </c>
      <c r="N96" s="28">
        <f t="shared" si="23"/>
        <v>0.69439252336451318</v>
      </c>
      <c r="O96" s="84">
        <f t="shared" si="24"/>
        <v>307.10000000000582</v>
      </c>
      <c r="P96" s="79">
        <f t="shared" si="25"/>
        <v>452</v>
      </c>
      <c r="Q96" s="34">
        <f t="shared" si="26"/>
        <v>0.67942477876107488</v>
      </c>
      <c r="R96" s="1">
        <v>39</v>
      </c>
    </row>
    <row r="97" spans="1:18" ht="24" customHeight="1">
      <c r="A97" s="81">
        <v>49</v>
      </c>
      <c r="B97" s="31" t="s">
        <v>96</v>
      </c>
      <c r="C97" s="35">
        <v>247786.2</v>
      </c>
      <c r="D97" s="35">
        <v>247906.2</v>
      </c>
      <c r="E97" s="104">
        <f t="shared" si="19"/>
        <v>120</v>
      </c>
      <c r="F97" s="110">
        <v>17806</v>
      </c>
      <c r="G97" s="111">
        <v>216.08</v>
      </c>
      <c r="H97" s="10">
        <f>IFERROR(E97/G97,0)</f>
        <v>0.55534987041836359</v>
      </c>
      <c r="I97" s="35">
        <v>248041</v>
      </c>
      <c r="J97" s="106">
        <f t="shared" si="21"/>
        <v>134.79999999998836</v>
      </c>
      <c r="K97" s="110">
        <v>17826</v>
      </c>
      <c r="L97" s="107">
        <f t="shared" si="22"/>
        <v>20</v>
      </c>
      <c r="M97" s="111">
        <v>187.9</v>
      </c>
      <c r="N97" s="28">
        <f t="shared" si="23"/>
        <v>0.71740287386901735</v>
      </c>
      <c r="O97" s="84">
        <f t="shared" si="24"/>
        <v>254.79999999998836</v>
      </c>
      <c r="P97" s="79">
        <f t="shared" si="25"/>
        <v>403.98</v>
      </c>
      <c r="Q97" s="34">
        <f t="shared" si="26"/>
        <v>0.63072429328181678</v>
      </c>
      <c r="R97" s="1">
        <v>40</v>
      </c>
    </row>
    <row r="98" spans="1:18" ht="24" customHeight="1">
      <c r="A98" s="81">
        <v>50</v>
      </c>
      <c r="B98" s="31" t="s">
        <v>97</v>
      </c>
      <c r="C98" s="104">
        <v>236257.1</v>
      </c>
      <c r="D98" s="104">
        <v>236429.1</v>
      </c>
      <c r="E98" s="104">
        <f t="shared" si="19"/>
        <v>172</v>
      </c>
      <c r="F98" s="110">
        <v>16322</v>
      </c>
      <c r="G98" s="111">
        <v>249.78</v>
      </c>
      <c r="H98" s="10">
        <f t="shared" si="20"/>
        <v>0.68860597325646566</v>
      </c>
      <c r="I98" s="104">
        <v>236600.4</v>
      </c>
      <c r="J98" s="106">
        <f t="shared" si="21"/>
        <v>171.29999999998836</v>
      </c>
      <c r="K98" s="110">
        <v>16344</v>
      </c>
      <c r="L98" s="107">
        <f t="shared" si="22"/>
        <v>22</v>
      </c>
      <c r="M98" s="111">
        <v>252</v>
      </c>
      <c r="N98" s="28">
        <f t="shared" si="23"/>
        <v>0.6797619047618586</v>
      </c>
      <c r="O98" s="84">
        <f t="shared" si="24"/>
        <v>343.29999999998836</v>
      </c>
      <c r="P98" s="79">
        <f t="shared" si="25"/>
        <v>501.78</v>
      </c>
      <c r="Q98" s="34">
        <f t="shared" si="26"/>
        <v>0.68416437482559767</v>
      </c>
      <c r="R98" s="1">
        <v>39</v>
      </c>
    </row>
    <row r="99" spans="1:18" ht="24" customHeight="1">
      <c r="A99" s="81">
        <v>51</v>
      </c>
      <c r="B99" s="121" t="s">
        <v>166</v>
      </c>
      <c r="C99" s="104">
        <v>204670</v>
      </c>
      <c r="D99" s="104">
        <v>204670</v>
      </c>
      <c r="E99" s="118">
        <f t="shared" si="19"/>
        <v>0</v>
      </c>
      <c r="F99" s="110">
        <v>17434</v>
      </c>
      <c r="G99" s="111">
        <v>0</v>
      </c>
      <c r="H99" s="55">
        <f t="shared" si="20"/>
        <v>0</v>
      </c>
      <c r="I99" s="104">
        <v>204670</v>
      </c>
      <c r="J99" s="119">
        <f t="shared" si="21"/>
        <v>0</v>
      </c>
      <c r="K99" s="110">
        <v>17434</v>
      </c>
      <c r="L99" s="120">
        <f t="shared" si="22"/>
        <v>0</v>
      </c>
      <c r="M99" s="111">
        <v>0</v>
      </c>
      <c r="N99" s="28">
        <f t="shared" si="23"/>
        <v>0</v>
      </c>
      <c r="O99" s="58">
        <f t="shared" si="24"/>
        <v>0</v>
      </c>
      <c r="P99" s="79">
        <f t="shared" si="25"/>
        <v>0</v>
      </c>
      <c r="Q99" s="34">
        <f t="shared" si="26"/>
        <v>0</v>
      </c>
      <c r="R99" s="1">
        <v>0</v>
      </c>
    </row>
    <row r="100" spans="1:18" ht="24" customHeight="1">
      <c r="A100" s="81">
        <v>52</v>
      </c>
      <c r="B100" s="121" t="s">
        <v>167</v>
      </c>
      <c r="C100" s="104">
        <v>186406</v>
      </c>
      <c r="D100" s="104">
        <v>186406</v>
      </c>
      <c r="E100" s="118">
        <f t="shared" si="19"/>
        <v>0</v>
      </c>
      <c r="F100" s="110">
        <v>16317</v>
      </c>
      <c r="G100" s="111">
        <v>0</v>
      </c>
      <c r="H100" s="55">
        <f t="shared" si="20"/>
        <v>0</v>
      </c>
      <c r="I100" s="104">
        <v>186406</v>
      </c>
      <c r="J100" s="119">
        <f t="shared" si="21"/>
        <v>0</v>
      </c>
      <c r="K100" s="110">
        <v>16317</v>
      </c>
      <c r="L100" s="120">
        <f t="shared" si="22"/>
        <v>0</v>
      </c>
      <c r="M100" s="111">
        <v>0</v>
      </c>
      <c r="N100" s="28">
        <f t="shared" si="23"/>
        <v>0</v>
      </c>
      <c r="O100" s="58">
        <f t="shared" si="24"/>
        <v>0</v>
      </c>
      <c r="P100" s="79">
        <f t="shared" si="25"/>
        <v>0</v>
      </c>
      <c r="Q100" s="34">
        <f t="shared" si="26"/>
        <v>0</v>
      </c>
      <c r="R100" s="1">
        <v>0</v>
      </c>
    </row>
    <row r="101" spans="1:18" ht="24" customHeight="1">
      <c r="A101" s="81">
        <v>53</v>
      </c>
      <c r="B101" s="121" t="s">
        <v>168</v>
      </c>
      <c r="C101" s="104">
        <v>191256</v>
      </c>
      <c r="D101" s="104">
        <v>191453</v>
      </c>
      <c r="E101" s="118">
        <f t="shared" si="19"/>
        <v>197</v>
      </c>
      <c r="F101" s="110">
        <v>17076</v>
      </c>
      <c r="G101" s="111">
        <v>285.97000000000003</v>
      </c>
      <c r="H101" s="55">
        <f t="shared" si="20"/>
        <v>0.68888344931286494</v>
      </c>
      <c r="I101" s="104">
        <v>191572</v>
      </c>
      <c r="J101" s="119">
        <f t="shared" si="21"/>
        <v>119</v>
      </c>
      <c r="K101" s="110">
        <v>17098</v>
      </c>
      <c r="L101" s="120">
        <f t="shared" si="22"/>
        <v>22</v>
      </c>
      <c r="M101" s="111">
        <v>172</v>
      </c>
      <c r="N101" s="28">
        <f t="shared" si="23"/>
        <v>0.69186046511627908</v>
      </c>
      <c r="O101" s="58">
        <f t="shared" si="24"/>
        <v>316</v>
      </c>
      <c r="P101" s="79">
        <f t="shared" si="25"/>
        <v>457.97</v>
      </c>
      <c r="Q101" s="34">
        <f t="shared" si="26"/>
        <v>0.69000152848439855</v>
      </c>
      <c r="R101" s="1">
        <v>42</v>
      </c>
    </row>
    <row r="102" spans="1:18" ht="24" customHeight="1">
      <c r="A102" s="81">
        <v>54</v>
      </c>
      <c r="B102" s="121" t="s">
        <v>169</v>
      </c>
      <c r="C102" s="104">
        <v>195468</v>
      </c>
      <c r="D102" s="104">
        <v>195621</v>
      </c>
      <c r="E102" s="118">
        <f t="shared" si="19"/>
        <v>153</v>
      </c>
      <c r="F102" s="110">
        <v>16561</v>
      </c>
      <c r="G102" s="111">
        <v>221</v>
      </c>
      <c r="H102" s="55">
        <f t="shared" si="20"/>
        <v>0.69230769230769229</v>
      </c>
      <c r="I102" s="104">
        <v>195731</v>
      </c>
      <c r="J102" s="119">
        <f t="shared" si="21"/>
        <v>110</v>
      </c>
      <c r="K102" s="110">
        <v>16582</v>
      </c>
      <c r="L102" s="120">
        <f t="shared" si="22"/>
        <v>21</v>
      </c>
      <c r="M102" s="111">
        <v>168</v>
      </c>
      <c r="N102" s="28">
        <f t="shared" si="23"/>
        <v>0.65476190476190477</v>
      </c>
      <c r="O102" s="58">
        <f t="shared" si="24"/>
        <v>263</v>
      </c>
      <c r="P102" s="79">
        <f t="shared" si="25"/>
        <v>389</v>
      </c>
      <c r="Q102" s="34">
        <f t="shared" si="26"/>
        <v>0.67609254498714655</v>
      </c>
      <c r="R102" s="1">
        <v>41</v>
      </c>
    </row>
    <row r="103" spans="1:18" ht="24" customHeight="1">
      <c r="A103" s="81">
        <v>55</v>
      </c>
      <c r="B103" s="121" t="s">
        <v>104</v>
      </c>
      <c r="C103" s="104">
        <v>70293.7</v>
      </c>
      <c r="D103" s="104">
        <v>70438.2</v>
      </c>
      <c r="E103" s="122">
        <f t="shared" si="19"/>
        <v>144.5</v>
      </c>
      <c r="F103" s="110">
        <v>4755</v>
      </c>
      <c r="G103" s="111">
        <v>210.58</v>
      </c>
      <c r="H103" s="78">
        <f t="shared" si="20"/>
        <v>0.68620001899515615</v>
      </c>
      <c r="I103" s="104">
        <v>70588.100000000006</v>
      </c>
      <c r="J103" s="112">
        <f t="shared" si="21"/>
        <v>149.90000000000873</v>
      </c>
      <c r="K103" s="110">
        <v>4774</v>
      </c>
      <c r="L103" s="107">
        <f t="shared" si="22"/>
        <v>19</v>
      </c>
      <c r="M103" s="111">
        <v>237</v>
      </c>
      <c r="N103" s="28">
        <f t="shared" si="23"/>
        <v>0.63248945147683011</v>
      </c>
      <c r="O103" s="58">
        <f t="shared" si="24"/>
        <v>294.40000000000873</v>
      </c>
      <c r="P103" s="79">
        <f t="shared" si="25"/>
        <v>447.58000000000004</v>
      </c>
      <c r="Q103" s="34">
        <f t="shared" si="26"/>
        <v>0.65775950668038941</v>
      </c>
      <c r="R103" s="1">
        <v>37</v>
      </c>
    </row>
    <row r="104" spans="1:18" ht="24" customHeight="1">
      <c r="A104" s="81">
        <v>56</v>
      </c>
      <c r="B104" s="121" t="s">
        <v>105</v>
      </c>
      <c r="C104" s="35">
        <v>68963.8</v>
      </c>
      <c r="D104" s="35">
        <v>69130.8</v>
      </c>
      <c r="E104" s="122">
        <f t="shared" si="19"/>
        <v>167</v>
      </c>
      <c r="F104" s="110">
        <v>4760</v>
      </c>
      <c r="G104" s="111">
        <v>244.11</v>
      </c>
      <c r="H104" s="78">
        <f t="shared" si="20"/>
        <v>0.68411781573880626</v>
      </c>
      <c r="I104" s="35">
        <v>69262.899999999994</v>
      </c>
      <c r="J104" s="112">
        <f t="shared" si="21"/>
        <v>132.09999999999127</v>
      </c>
      <c r="K104" s="110">
        <v>4779</v>
      </c>
      <c r="L104" s="107">
        <f t="shared" si="22"/>
        <v>19</v>
      </c>
      <c r="M104" s="111">
        <v>177.75</v>
      </c>
      <c r="N104" s="28">
        <f t="shared" si="23"/>
        <v>0.74317862165958515</v>
      </c>
      <c r="O104" s="58">
        <f t="shared" si="24"/>
        <v>299.09999999999127</v>
      </c>
      <c r="P104" s="79">
        <f t="shared" si="25"/>
        <v>421.86</v>
      </c>
      <c r="Q104" s="34">
        <f t="shared" si="26"/>
        <v>0.70900298677284235</v>
      </c>
      <c r="R104" s="1">
        <v>38</v>
      </c>
    </row>
    <row r="105" spans="1:18" ht="24" customHeight="1">
      <c r="A105" s="81">
        <v>57</v>
      </c>
      <c r="B105" s="121" t="s">
        <v>106</v>
      </c>
      <c r="C105" s="104">
        <v>66875</v>
      </c>
      <c r="D105" s="104">
        <v>67041.5</v>
      </c>
      <c r="E105" s="122">
        <f t="shared" si="19"/>
        <v>166.5</v>
      </c>
      <c r="F105" s="110">
        <v>4782</v>
      </c>
      <c r="G105" s="111">
        <v>253</v>
      </c>
      <c r="H105" s="78">
        <f t="shared" si="20"/>
        <v>0.65810276679841895</v>
      </c>
      <c r="I105" s="104">
        <v>67154.899999999994</v>
      </c>
      <c r="J105" s="112">
        <f t="shared" si="21"/>
        <v>113.39999999999418</v>
      </c>
      <c r="K105" s="110">
        <v>4803</v>
      </c>
      <c r="L105" s="107">
        <f t="shared" si="22"/>
        <v>21</v>
      </c>
      <c r="M105" s="111">
        <v>173</v>
      </c>
      <c r="N105" s="28">
        <f t="shared" si="23"/>
        <v>0.6554913294797351</v>
      </c>
      <c r="O105" s="58">
        <f t="shared" si="24"/>
        <v>279.89999999999418</v>
      </c>
      <c r="P105" s="79">
        <f t="shared" si="25"/>
        <v>426</v>
      </c>
      <c r="Q105" s="34">
        <f t="shared" si="26"/>
        <v>0.65704225352111312</v>
      </c>
      <c r="R105" s="1">
        <v>26</v>
      </c>
    </row>
    <row r="106" spans="1:18" ht="24" customHeight="1">
      <c r="A106" s="81">
        <v>58</v>
      </c>
      <c r="B106" s="121" t="s">
        <v>107</v>
      </c>
      <c r="C106" s="104">
        <v>69157.100000000006</v>
      </c>
      <c r="D106" s="104">
        <v>69310.100000000006</v>
      </c>
      <c r="E106" s="122">
        <f t="shared" si="19"/>
        <v>153</v>
      </c>
      <c r="F106" s="110">
        <v>4784</v>
      </c>
      <c r="G106" s="111">
        <v>228.86</v>
      </c>
      <c r="H106" s="78">
        <f t="shared" si="20"/>
        <v>0.66853097963820673</v>
      </c>
      <c r="I106" s="104">
        <v>69431.399999999994</v>
      </c>
      <c r="J106" s="112">
        <f t="shared" si="21"/>
        <v>121.29999999998836</v>
      </c>
      <c r="K106" s="110">
        <v>4803</v>
      </c>
      <c r="L106" s="107">
        <f t="shared" si="22"/>
        <v>19</v>
      </c>
      <c r="M106" s="111">
        <v>136</v>
      </c>
      <c r="N106" s="28">
        <f t="shared" si="23"/>
        <v>0.89191176470579681</v>
      </c>
      <c r="O106" s="58">
        <f t="shared" si="24"/>
        <v>274.29999999998836</v>
      </c>
      <c r="P106" s="79">
        <f t="shared" si="25"/>
        <v>364.86</v>
      </c>
      <c r="Q106" s="34">
        <f t="shared" si="26"/>
        <v>0.75179520912127484</v>
      </c>
      <c r="R106" s="1">
        <v>35</v>
      </c>
    </row>
    <row r="107" spans="1:18" ht="24" customHeight="1">
      <c r="A107" s="81">
        <v>59</v>
      </c>
      <c r="B107" s="121" t="s">
        <v>108</v>
      </c>
      <c r="C107" s="104">
        <v>68194.2</v>
      </c>
      <c r="D107" s="104">
        <v>68338.899999999994</v>
      </c>
      <c r="E107" s="122">
        <f t="shared" si="19"/>
        <v>144.69999999999709</v>
      </c>
      <c r="F107" s="110">
        <v>4752</v>
      </c>
      <c r="G107" s="111">
        <v>204.15</v>
      </c>
      <c r="H107" s="78">
        <f t="shared" si="20"/>
        <v>0.70879255449423018</v>
      </c>
      <c r="I107" s="104">
        <v>68475.399999999994</v>
      </c>
      <c r="J107" s="112">
        <f t="shared" si="21"/>
        <v>136.5</v>
      </c>
      <c r="K107" s="110">
        <v>4770</v>
      </c>
      <c r="L107" s="107">
        <f t="shared" si="22"/>
        <v>18</v>
      </c>
      <c r="M107" s="111">
        <v>196</v>
      </c>
      <c r="N107" s="28">
        <f t="shared" si="23"/>
        <v>0.6964285714285714</v>
      </c>
      <c r="O107" s="58">
        <f t="shared" si="24"/>
        <v>281.19999999999709</v>
      </c>
      <c r="P107" s="79">
        <f t="shared" si="25"/>
        <v>400.15</v>
      </c>
      <c r="Q107" s="34">
        <f t="shared" si="26"/>
        <v>0.70273647382230942</v>
      </c>
      <c r="R107" s="1">
        <v>36</v>
      </c>
    </row>
    <row r="108" spans="1:18" ht="24" customHeight="1">
      <c r="A108" s="81">
        <v>60</v>
      </c>
      <c r="B108" s="121" t="s">
        <v>109</v>
      </c>
      <c r="C108" s="104">
        <v>70030.100000000006</v>
      </c>
      <c r="D108" s="104">
        <v>70143.5</v>
      </c>
      <c r="E108" s="118">
        <f t="shared" si="19"/>
        <v>113.39999999999418</v>
      </c>
      <c r="F108" s="110">
        <v>4843</v>
      </c>
      <c r="G108" s="111">
        <v>171.08</v>
      </c>
      <c r="H108" s="55">
        <f t="shared" si="20"/>
        <v>0.66284779050733089</v>
      </c>
      <c r="I108" s="104">
        <v>70299.100000000006</v>
      </c>
      <c r="J108" s="119">
        <f t="shared" si="21"/>
        <v>155.60000000000582</v>
      </c>
      <c r="K108" s="110">
        <v>4861</v>
      </c>
      <c r="L108" s="120">
        <f t="shared" si="22"/>
        <v>18</v>
      </c>
      <c r="M108" s="111">
        <v>210</v>
      </c>
      <c r="N108" s="28">
        <f t="shared" si="23"/>
        <v>0.74095238095240867</v>
      </c>
      <c r="O108" s="58">
        <f t="shared" si="24"/>
        <v>269</v>
      </c>
      <c r="P108" s="79">
        <f t="shared" si="25"/>
        <v>381.08000000000004</v>
      </c>
      <c r="Q108" s="34">
        <f t="shared" si="26"/>
        <v>0.70588852734333996</v>
      </c>
      <c r="R108" s="1">
        <v>32</v>
      </c>
    </row>
    <row r="109" spans="1:18" ht="24" customHeight="1">
      <c r="A109" s="81">
        <v>61</v>
      </c>
      <c r="B109" s="121" t="s">
        <v>110</v>
      </c>
      <c r="C109" s="104">
        <v>34048.6</v>
      </c>
      <c r="D109" s="104">
        <v>34223.300000000003</v>
      </c>
      <c r="E109" s="118">
        <f t="shared" si="19"/>
        <v>174.70000000000437</v>
      </c>
      <c r="F109" s="110">
        <v>2757</v>
      </c>
      <c r="G109" s="111">
        <v>266</v>
      </c>
      <c r="H109" s="55">
        <f t="shared" si="20"/>
        <v>0.65676691729324954</v>
      </c>
      <c r="I109" s="104">
        <v>34353.4</v>
      </c>
      <c r="J109" s="119">
        <f t="shared" si="21"/>
        <v>130.09999999999854</v>
      </c>
      <c r="K109" s="110">
        <v>2777</v>
      </c>
      <c r="L109" s="120">
        <f t="shared" si="22"/>
        <v>20</v>
      </c>
      <c r="M109" s="111">
        <v>180</v>
      </c>
      <c r="N109" s="28">
        <f t="shared" si="23"/>
        <v>0.72277777777776975</v>
      </c>
      <c r="O109" s="58">
        <f t="shared" si="24"/>
        <v>304.80000000000291</v>
      </c>
      <c r="P109" s="79">
        <f t="shared" si="25"/>
        <v>446</v>
      </c>
      <c r="Q109" s="34">
        <f t="shared" si="26"/>
        <v>0.6834080717488854</v>
      </c>
      <c r="R109" s="1">
        <v>36</v>
      </c>
    </row>
    <row r="110" spans="1:18" ht="22.2" customHeight="1">
      <c r="A110" s="123" t="s">
        <v>28</v>
      </c>
      <c r="B110" s="123"/>
      <c r="C110" s="40"/>
      <c r="D110" s="123"/>
      <c r="E110" s="124">
        <f>SUM(E49:E109)</f>
        <v>6474.9000000002052</v>
      </c>
      <c r="F110" s="125"/>
      <c r="G110" s="126">
        <f>SUM(G49:G109)</f>
        <v>9912.8600000000024</v>
      </c>
      <c r="H110" s="39"/>
      <c r="I110" s="40"/>
      <c r="J110" s="40">
        <f>SUM(J49:J109)</f>
        <v>5805.3999999998996</v>
      </c>
      <c r="K110" s="127"/>
      <c r="L110" s="128">
        <f>SUM(L49:L109)</f>
        <v>964.58000000000175</v>
      </c>
      <c r="M110" s="128">
        <f>SUM(M49:M109)</f>
        <v>8568.5399999999991</v>
      </c>
      <c r="N110" s="28">
        <f>IFERROR(J110/M110,0)</f>
        <v>0.67752499258915755</v>
      </c>
      <c r="O110" s="129">
        <f>SUM(O49:O109)</f>
        <v>12280.300000000105</v>
      </c>
      <c r="P110" s="79">
        <f>G110+M110</f>
        <v>18481.400000000001</v>
      </c>
      <c r="Q110" s="34">
        <f>IFERROR(O110/P110,0)</f>
        <v>0.66446805977902668</v>
      </c>
      <c r="R110" s="130">
        <f>SUM(R49:R109)</f>
        <v>1937</v>
      </c>
    </row>
    <row r="111" spans="1:18" ht="22.2" customHeight="1" thickBot="1">
      <c r="A111" s="206" t="s">
        <v>111</v>
      </c>
      <c r="B111" s="207"/>
      <c r="C111" s="207"/>
      <c r="D111" s="207"/>
      <c r="E111" s="207"/>
      <c r="F111" s="207"/>
      <c r="G111" s="207"/>
      <c r="H111" s="207"/>
      <c r="I111" s="207"/>
      <c r="J111" s="207"/>
      <c r="K111" s="207"/>
      <c r="L111" s="208"/>
      <c r="M111" s="131"/>
      <c r="N111" s="132"/>
      <c r="O111" s="133"/>
    </row>
    <row r="112" spans="1:18" ht="22.2" customHeight="1">
      <c r="A112" s="209" t="s">
        <v>3</v>
      </c>
      <c r="B112" s="211" t="s">
        <v>4</v>
      </c>
      <c r="C112" s="213" t="s">
        <v>5</v>
      </c>
      <c r="D112" s="214"/>
      <c r="E112" s="214"/>
      <c r="F112" s="214"/>
      <c r="G112" s="215"/>
      <c r="H112" s="216" t="s">
        <v>6</v>
      </c>
      <c r="I112" s="217"/>
      <c r="J112" s="217"/>
      <c r="K112" s="218"/>
      <c r="L112" s="48"/>
      <c r="M112" s="219" t="s">
        <v>7</v>
      </c>
      <c r="N112" s="194" t="s">
        <v>8</v>
      </c>
      <c r="O112" s="37"/>
    </row>
    <row r="113" spans="1:17" ht="27.6" customHeight="1" thickBot="1">
      <c r="A113" s="210"/>
      <c r="B113" s="212"/>
      <c r="C113" s="49" t="s">
        <v>11</v>
      </c>
      <c r="D113" s="49" t="s">
        <v>12</v>
      </c>
      <c r="E113" s="49" t="s">
        <v>13</v>
      </c>
      <c r="F113" s="6" t="s">
        <v>14</v>
      </c>
      <c r="G113" s="6" t="s">
        <v>8</v>
      </c>
      <c r="H113" s="49" t="s">
        <v>12</v>
      </c>
      <c r="I113" s="49" t="s">
        <v>13</v>
      </c>
      <c r="J113" s="49" t="s">
        <v>14</v>
      </c>
      <c r="K113" s="7" t="s">
        <v>8</v>
      </c>
      <c r="L113" s="50" t="s">
        <v>15</v>
      </c>
      <c r="M113" s="220"/>
      <c r="N113" s="195"/>
      <c r="O113" s="37"/>
    </row>
    <row r="114" spans="1:17" ht="22.2" customHeight="1">
      <c r="A114" s="76">
        <v>1</v>
      </c>
      <c r="B114" s="31" t="s">
        <v>112</v>
      </c>
      <c r="C114" s="35">
        <v>121832</v>
      </c>
      <c r="D114" s="35">
        <v>121832</v>
      </c>
      <c r="E114" s="17">
        <f>D114-C114</f>
        <v>0</v>
      </c>
      <c r="F114" s="33">
        <v>0</v>
      </c>
      <c r="G114" s="10">
        <f>IFERROR(F114/E114,0)</f>
        <v>0</v>
      </c>
      <c r="H114" s="35">
        <v>121832</v>
      </c>
      <c r="I114" s="19">
        <f>H114-D114</f>
        <v>0</v>
      </c>
      <c r="J114" s="33">
        <v>0</v>
      </c>
      <c r="K114" s="28">
        <f t="shared" ref="K114:K128" si="27">IFERROR(J114/I114,0)</f>
        <v>0</v>
      </c>
      <c r="L114" s="18">
        <f t="shared" ref="L114:M128" si="28">E114+I114</f>
        <v>0</v>
      </c>
      <c r="M114" s="22">
        <f>F114+J114</f>
        <v>0</v>
      </c>
      <c r="N114" s="71">
        <f>IFERROR(L114/M114,0)</f>
        <v>0</v>
      </c>
      <c r="O114" s="37"/>
    </row>
    <row r="115" spans="1:17" ht="22.2" customHeight="1">
      <c r="A115" s="76">
        <v>2</v>
      </c>
      <c r="B115" s="31" t="s">
        <v>113</v>
      </c>
      <c r="C115" s="35">
        <v>4298.33</v>
      </c>
      <c r="D115" s="35">
        <v>4298.33</v>
      </c>
      <c r="E115" s="17">
        <f t="shared" ref="E115:E128" si="29">D115-C115</f>
        <v>0</v>
      </c>
      <c r="F115" s="33">
        <v>0</v>
      </c>
      <c r="G115" s="10">
        <f t="shared" ref="G115:G128" si="30">IFERROR(F115/E115,0)</f>
        <v>0</v>
      </c>
      <c r="H115" s="35">
        <v>4298.33</v>
      </c>
      <c r="I115" s="19">
        <f>H115-D115</f>
        <v>0</v>
      </c>
      <c r="J115" s="33">
        <v>0</v>
      </c>
      <c r="K115" s="28">
        <f t="shared" si="27"/>
        <v>0</v>
      </c>
      <c r="L115" s="18">
        <f t="shared" si="28"/>
        <v>0</v>
      </c>
      <c r="M115" s="22">
        <f t="shared" si="28"/>
        <v>0</v>
      </c>
      <c r="N115" s="71">
        <f t="shared" ref="N115:N128" si="31">IFERROR(L115/M115,0)</f>
        <v>0</v>
      </c>
      <c r="O115" s="134"/>
    </row>
    <row r="116" spans="1:17" ht="22.2" customHeight="1">
      <c r="A116" s="76">
        <v>3</v>
      </c>
      <c r="B116" s="31" t="s">
        <v>114</v>
      </c>
      <c r="C116" s="35">
        <v>147.27000000000001</v>
      </c>
      <c r="D116" s="35">
        <v>156.43</v>
      </c>
      <c r="E116" s="17">
        <f t="shared" si="29"/>
        <v>9.1599999999999966</v>
      </c>
      <c r="F116" s="33">
        <v>37</v>
      </c>
      <c r="G116" s="10">
        <f t="shared" si="30"/>
        <v>4.0393013100436699</v>
      </c>
      <c r="H116" s="35">
        <v>156.43</v>
      </c>
      <c r="I116" s="19">
        <f t="shared" ref="I116:I128" si="32">H116-D116</f>
        <v>0</v>
      </c>
      <c r="J116" s="33">
        <v>0</v>
      </c>
      <c r="K116" s="28">
        <f t="shared" si="27"/>
        <v>0</v>
      </c>
      <c r="L116" s="18">
        <f t="shared" si="28"/>
        <v>9.1599999999999966</v>
      </c>
      <c r="M116" s="22">
        <f t="shared" si="28"/>
        <v>37</v>
      </c>
      <c r="N116" s="71">
        <f t="shared" si="31"/>
        <v>0.24756756756756748</v>
      </c>
      <c r="O116" s="37"/>
    </row>
    <row r="117" spans="1:17" ht="22.2" customHeight="1">
      <c r="A117" s="76">
        <v>4</v>
      </c>
      <c r="B117" s="31" t="s">
        <v>115</v>
      </c>
      <c r="C117" s="136">
        <v>140152</v>
      </c>
      <c r="D117" s="136">
        <v>140361</v>
      </c>
      <c r="E117" s="17">
        <f t="shared" si="29"/>
        <v>209</v>
      </c>
      <c r="F117" s="33">
        <v>32.549999999999997</v>
      </c>
      <c r="G117" s="10">
        <f t="shared" si="30"/>
        <v>0.15574162679425835</v>
      </c>
      <c r="H117" s="136">
        <v>140361</v>
      </c>
      <c r="I117" s="19">
        <f t="shared" si="32"/>
        <v>0</v>
      </c>
      <c r="J117" s="33">
        <v>0</v>
      </c>
      <c r="K117" s="28">
        <f t="shared" si="27"/>
        <v>0</v>
      </c>
      <c r="L117" s="18">
        <f t="shared" si="28"/>
        <v>209</v>
      </c>
      <c r="M117" s="22">
        <f t="shared" si="28"/>
        <v>32.549999999999997</v>
      </c>
      <c r="N117" s="71">
        <f t="shared" si="31"/>
        <v>6.42089093701997</v>
      </c>
      <c r="O117" s="137"/>
    </row>
    <row r="118" spans="1:17" ht="22.2" customHeight="1">
      <c r="A118" s="76">
        <v>5</v>
      </c>
      <c r="B118" s="31" t="s">
        <v>116</v>
      </c>
      <c r="C118" s="35">
        <v>44558.9</v>
      </c>
      <c r="D118" s="35">
        <v>44558.9</v>
      </c>
      <c r="E118" s="17">
        <f t="shared" si="29"/>
        <v>0</v>
      </c>
      <c r="F118" s="33">
        <v>0</v>
      </c>
      <c r="G118" s="10">
        <f t="shared" si="30"/>
        <v>0</v>
      </c>
      <c r="H118" s="35">
        <v>44558.9</v>
      </c>
      <c r="I118" s="19">
        <f t="shared" si="32"/>
        <v>0</v>
      </c>
      <c r="J118" s="33">
        <v>0</v>
      </c>
      <c r="K118" s="28">
        <f t="shared" si="27"/>
        <v>0</v>
      </c>
      <c r="L118" s="18">
        <f t="shared" si="28"/>
        <v>0</v>
      </c>
      <c r="M118" s="22">
        <f t="shared" si="28"/>
        <v>0</v>
      </c>
      <c r="N118" s="71">
        <f t="shared" si="31"/>
        <v>0</v>
      </c>
      <c r="O118" s="77"/>
    </row>
    <row r="119" spans="1:17" ht="22.2" customHeight="1">
      <c r="A119" s="76">
        <v>6</v>
      </c>
      <c r="B119" s="31" t="s">
        <v>117</v>
      </c>
      <c r="C119" s="35">
        <v>100316.9</v>
      </c>
      <c r="D119" s="35">
        <v>100316.9</v>
      </c>
      <c r="E119" s="17">
        <f t="shared" si="29"/>
        <v>0</v>
      </c>
      <c r="F119" s="33">
        <v>0</v>
      </c>
      <c r="G119" s="10">
        <f t="shared" si="30"/>
        <v>0</v>
      </c>
      <c r="H119" s="35">
        <v>100316.9</v>
      </c>
      <c r="I119" s="19">
        <f t="shared" si="32"/>
        <v>0</v>
      </c>
      <c r="J119" s="33">
        <v>0</v>
      </c>
      <c r="K119" s="28">
        <f t="shared" si="27"/>
        <v>0</v>
      </c>
      <c r="L119" s="18">
        <f t="shared" si="28"/>
        <v>0</v>
      </c>
      <c r="M119" s="22">
        <f t="shared" si="28"/>
        <v>0</v>
      </c>
      <c r="N119" s="71">
        <f t="shared" si="31"/>
        <v>0</v>
      </c>
      <c r="O119" s="37"/>
    </row>
    <row r="120" spans="1:17" ht="22.2" customHeight="1">
      <c r="A120" s="76">
        <v>7</v>
      </c>
      <c r="B120" s="31" t="s">
        <v>118</v>
      </c>
      <c r="C120" s="35">
        <v>152067.5</v>
      </c>
      <c r="D120" s="35">
        <v>152067.5</v>
      </c>
      <c r="E120" s="17">
        <f t="shared" si="29"/>
        <v>0</v>
      </c>
      <c r="F120" s="33">
        <v>0</v>
      </c>
      <c r="G120" s="10">
        <f t="shared" si="30"/>
        <v>0</v>
      </c>
      <c r="H120" s="35">
        <v>152067.5</v>
      </c>
      <c r="I120" s="19">
        <f t="shared" si="32"/>
        <v>0</v>
      </c>
      <c r="J120" s="33">
        <v>0</v>
      </c>
      <c r="K120" s="28">
        <f t="shared" si="27"/>
        <v>0</v>
      </c>
      <c r="L120" s="18">
        <f t="shared" si="28"/>
        <v>0</v>
      </c>
      <c r="M120" s="22">
        <f>F120+J120</f>
        <v>0</v>
      </c>
      <c r="N120" s="71">
        <f t="shared" si="31"/>
        <v>0</v>
      </c>
      <c r="O120" s="37"/>
    </row>
    <row r="121" spans="1:17" ht="22.2" customHeight="1">
      <c r="A121" s="76">
        <v>8</v>
      </c>
      <c r="B121" s="138" t="s">
        <v>119</v>
      </c>
      <c r="C121" s="136">
        <v>40573.199999999997</v>
      </c>
      <c r="D121" s="136">
        <v>40573.199999999997</v>
      </c>
      <c r="E121" s="17">
        <f t="shared" si="29"/>
        <v>0</v>
      </c>
      <c r="F121" s="33">
        <v>0</v>
      </c>
      <c r="G121" s="10">
        <f t="shared" si="30"/>
        <v>0</v>
      </c>
      <c r="H121" s="136">
        <v>40573.199999999997</v>
      </c>
      <c r="I121" s="19">
        <f t="shared" si="32"/>
        <v>0</v>
      </c>
      <c r="J121" s="33">
        <v>0</v>
      </c>
      <c r="K121" s="28">
        <f t="shared" si="27"/>
        <v>0</v>
      </c>
      <c r="L121" s="18">
        <f t="shared" si="28"/>
        <v>0</v>
      </c>
      <c r="M121" s="22">
        <f>F121+J121</f>
        <v>0</v>
      </c>
      <c r="N121" s="71">
        <f t="shared" si="31"/>
        <v>0</v>
      </c>
      <c r="O121" s="37"/>
    </row>
    <row r="122" spans="1:17" ht="22.2" customHeight="1">
      <c r="A122" s="76">
        <v>9</v>
      </c>
      <c r="B122" s="138" t="s">
        <v>120</v>
      </c>
      <c r="C122" s="35">
        <v>33807</v>
      </c>
      <c r="D122" s="35">
        <v>33807</v>
      </c>
      <c r="E122" s="17">
        <f t="shared" si="29"/>
        <v>0</v>
      </c>
      <c r="F122" s="33">
        <v>0</v>
      </c>
      <c r="G122" s="10">
        <f t="shared" si="30"/>
        <v>0</v>
      </c>
      <c r="H122" s="35">
        <v>33807</v>
      </c>
      <c r="I122" s="19">
        <f t="shared" si="32"/>
        <v>0</v>
      </c>
      <c r="J122" s="33">
        <v>0</v>
      </c>
      <c r="K122" s="28">
        <f t="shared" si="27"/>
        <v>0</v>
      </c>
      <c r="L122" s="18">
        <f t="shared" si="28"/>
        <v>0</v>
      </c>
      <c r="M122" s="22">
        <f t="shared" si="28"/>
        <v>0</v>
      </c>
      <c r="N122" s="71">
        <f t="shared" si="31"/>
        <v>0</v>
      </c>
      <c r="O122" s="37"/>
    </row>
    <row r="123" spans="1:17" ht="22.2" customHeight="1">
      <c r="A123" s="76">
        <v>10</v>
      </c>
      <c r="B123" s="31" t="s">
        <v>121</v>
      </c>
      <c r="C123" s="35">
        <v>154569</v>
      </c>
      <c r="D123" s="35">
        <v>154569</v>
      </c>
      <c r="E123" s="17">
        <f t="shared" si="29"/>
        <v>0</v>
      </c>
      <c r="F123" s="33">
        <v>0</v>
      </c>
      <c r="G123" s="10">
        <f t="shared" si="30"/>
        <v>0</v>
      </c>
      <c r="H123" s="35">
        <v>154787</v>
      </c>
      <c r="I123" s="19">
        <f t="shared" si="32"/>
        <v>218</v>
      </c>
      <c r="J123" s="33">
        <v>32</v>
      </c>
      <c r="K123" s="28">
        <f t="shared" si="27"/>
        <v>0.14678899082568808</v>
      </c>
      <c r="L123" s="18">
        <f t="shared" si="28"/>
        <v>218</v>
      </c>
      <c r="M123" s="22">
        <f t="shared" si="28"/>
        <v>32</v>
      </c>
      <c r="N123" s="71">
        <f t="shared" si="31"/>
        <v>6.8125</v>
      </c>
      <c r="O123" s="137"/>
    </row>
    <row r="124" spans="1:17" ht="23.4" customHeight="1">
      <c r="A124" s="76">
        <v>11</v>
      </c>
      <c r="B124" s="138" t="s">
        <v>122</v>
      </c>
      <c r="C124" s="35">
        <v>36223</v>
      </c>
      <c r="D124" s="35">
        <v>36223</v>
      </c>
      <c r="E124" s="17">
        <f t="shared" si="29"/>
        <v>0</v>
      </c>
      <c r="F124" s="33">
        <v>0</v>
      </c>
      <c r="G124" s="10">
        <f t="shared" si="30"/>
        <v>0</v>
      </c>
      <c r="H124" s="35">
        <v>36866</v>
      </c>
      <c r="I124" s="19">
        <f t="shared" si="32"/>
        <v>643</v>
      </c>
      <c r="J124" s="33">
        <v>259.49</v>
      </c>
      <c r="K124" s="28">
        <f t="shared" si="27"/>
        <v>0.40356143079315709</v>
      </c>
      <c r="L124" s="18">
        <f t="shared" si="28"/>
        <v>643</v>
      </c>
      <c r="M124" s="22">
        <f t="shared" si="28"/>
        <v>259.49</v>
      </c>
      <c r="N124" s="71">
        <f t="shared" si="31"/>
        <v>2.4779374927742879</v>
      </c>
      <c r="O124" s="37"/>
      <c r="Q124" s="38"/>
    </row>
    <row r="125" spans="1:17" ht="22.2" customHeight="1">
      <c r="A125" s="76">
        <v>12</v>
      </c>
      <c r="B125" s="138" t="s">
        <v>123</v>
      </c>
      <c r="C125" s="35">
        <v>15673</v>
      </c>
      <c r="D125" s="35">
        <v>15673</v>
      </c>
      <c r="E125" s="17">
        <f t="shared" si="29"/>
        <v>0</v>
      </c>
      <c r="F125" s="33">
        <v>0</v>
      </c>
      <c r="G125" s="78">
        <f t="shared" si="30"/>
        <v>0</v>
      </c>
      <c r="H125" s="35">
        <v>15919</v>
      </c>
      <c r="I125" s="19">
        <f t="shared" si="32"/>
        <v>246</v>
      </c>
      <c r="J125" s="33">
        <v>51</v>
      </c>
      <c r="K125" s="28">
        <f t="shared" si="27"/>
        <v>0.2073170731707317</v>
      </c>
      <c r="L125" s="18">
        <f t="shared" si="28"/>
        <v>246</v>
      </c>
      <c r="M125" s="79">
        <f t="shared" si="28"/>
        <v>51</v>
      </c>
      <c r="N125" s="71">
        <f t="shared" si="31"/>
        <v>4.8235294117647056</v>
      </c>
      <c r="O125" s="37"/>
      <c r="Q125" s="45"/>
    </row>
    <row r="126" spans="1:17" ht="21.6" customHeight="1">
      <c r="A126" s="76">
        <v>13</v>
      </c>
      <c r="B126" s="171" t="s">
        <v>124</v>
      </c>
      <c r="C126" s="35">
        <v>890.2</v>
      </c>
      <c r="D126" s="35">
        <v>890.2</v>
      </c>
      <c r="E126" s="17">
        <f t="shared" si="29"/>
        <v>0</v>
      </c>
      <c r="F126" s="35">
        <v>0</v>
      </c>
      <c r="G126" s="78">
        <f t="shared" si="30"/>
        <v>0</v>
      </c>
      <c r="H126" s="35">
        <v>890.2</v>
      </c>
      <c r="I126" s="19">
        <f t="shared" si="32"/>
        <v>0</v>
      </c>
      <c r="J126" s="35">
        <v>0</v>
      </c>
      <c r="K126" s="28">
        <f t="shared" si="27"/>
        <v>0</v>
      </c>
      <c r="L126" s="18">
        <f t="shared" si="28"/>
        <v>0</v>
      </c>
      <c r="M126" s="79">
        <f t="shared" si="28"/>
        <v>0</v>
      </c>
      <c r="N126" s="71">
        <f t="shared" si="31"/>
        <v>0</v>
      </c>
      <c r="O126" s="37"/>
      <c r="Q126" s="45"/>
    </row>
    <row r="127" spans="1:17" ht="21.6" customHeight="1">
      <c r="A127" s="76">
        <v>14</v>
      </c>
      <c r="B127" s="171" t="s">
        <v>174</v>
      </c>
      <c r="C127" s="35">
        <v>2401</v>
      </c>
      <c r="D127" s="35">
        <v>2401</v>
      </c>
      <c r="E127" s="17">
        <f t="shared" si="29"/>
        <v>0</v>
      </c>
      <c r="F127" s="35">
        <v>0</v>
      </c>
      <c r="G127" s="78">
        <f t="shared" si="30"/>
        <v>0</v>
      </c>
      <c r="H127" s="35">
        <v>2401</v>
      </c>
      <c r="I127" s="19">
        <f t="shared" si="32"/>
        <v>0</v>
      </c>
      <c r="J127" s="141">
        <v>0</v>
      </c>
      <c r="K127" s="28">
        <f t="shared" si="27"/>
        <v>0</v>
      </c>
      <c r="L127" s="18">
        <f t="shared" si="28"/>
        <v>0</v>
      </c>
      <c r="M127" s="79">
        <f t="shared" si="28"/>
        <v>0</v>
      </c>
      <c r="N127" s="71">
        <f t="shared" si="31"/>
        <v>0</v>
      </c>
      <c r="O127" s="37"/>
      <c r="Q127" s="45"/>
    </row>
    <row r="128" spans="1:17" ht="25.2" customHeight="1">
      <c r="A128" s="76">
        <v>15</v>
      </c>
      <c r="B128" s="138" t="s">
        <v>127</v>
      </c>
      <c r="C128" s="35">
        <v>0</v>
      </c>
      <c r="D128" s="35">
        <v>0</v>
      </c>
      <c r="E128" s="17">
        <f t="shared" si="29"/>
        <v>0</v>
      </c>
      <c r="F128" s="33">
        <v>0</v>
      </c>
      <c r="G128" s="78">
        <f t="shared" si="30"/>
        <v>0</v>
      </c>
      <c r="H128" s="35">
        <v>0</v>
      </c>
      <c r="I128" s="19">
        <f t="shared" si="32"/>
        <v>0</v>
      </c>
      <c r="J128" s="33">
        <v>0</v>
      </c>
      <c r="K128" s="28">
        <f t="shared" si="27"/>
        <v>0</v>
      </c>
      <c r="L128" s="18">
        <f t="shared" si="28"/>
        <v>0</v>
      </c>
      <c r="M128" s="79">
        <f t="shared" si="28"/>
        <v>0</v>
      </c>
      <c r="N128" s="71">
        <f t="shared" si="31"/>
        <v>0</v>
      </c>
      <c r="O128" s="77"/>
      <c r="Q128" s="45"/>
    </row>
    <row r="129" spans="1:16" ht="18">
      <c r="A129" s="196" t="s">
        <v>28</v>
      </c>
      <c r="B129" s="197"/>
      <c r="C129" s="123"/>
      <c r="D129" s="123"/>
      <c r="E129" s="40">
        <f>SUM(E114:E128)</f>
        <v>218.16</v>
      </c>
      <c r="F129" s="40">
        <f>SUM(F114:F128)</f>
        <v>69.55</v>
      </c>
      <c r="G129" s="39"/>
      <c r="H129" s="39"/>
      <c r="I129" s="40">
        <f>SUM(I114:I128)</f>
        <v>1107</v>
      </c>
      <c r="J129" s="40">
        <f>SUM(J114:J128)</f>
        <v>342.49</v>
      </c>
      <c r="K129" s="145"/>
      <c r="L129" s="146">
        <f>SUM(L114:L128)</f>
        <v>1325.1599999999999</v>
      </c>
      <c r="M129" s="147">
        <f>SUM(M114:M128)</f>
        <v>412.04</v>
      </c>
      <c r="N129" s="34"/>
      <c r="O129" s="37"/>
      <c r="P129" s="72"/>
    </row>
    <row r="130" spans="1:16" ht="21.6" thickBot="1">
      <c r="A130" s="148"/>
      <c r="B130" s="149"/>
      <c r="C130" s="149"/>
      <c r="D130" s="149"/>
      <c r="E130" s="149" t="s">
        <v>139</v>
      </c>
      <c r="F130" s="150">
        <f>F18+F24+F33+F39+F45+G110+F129</f>
        <v>14494.870000000003</v>
      </c>
      <c r="G130" s="149"/>
      <c r="H130" s="149"/>
      <c r="I130" s="151" t="s">
        <v>140</v>
      </c>
      <c r="J130" s="150">
        <f>J18+J24+J33+J39+J45+M110+J129</f>
        <v>13519.449999999999</v>
      </c>
      <c r="K130" s="198" t="s">
        <v>141</v>
      </c>
      <c r="L130" s="198"/>
      <c r="M130" s="198"/>
      <c r="N130" s="198"/>
      <c r="O130" s="152"/>
    </row>
    <row r="131" spans="1:16" ht="15">
      <c r="B131" s="153"/>
      <c r="C131" s="152"/>
      <c r="D131" s="152"/>
      <c r="E131" s="152"/>
      <c r="F131" s="152"/>
      <c r="G131" s="152"/>
      <c r="H131" s="152"/>
      <c r="I131" s="152"/>
      <c r="J131" s="154"/>
      <c r="K131" s="155" t="s">
        <v>142</v>
      </c>
      <c r="L131" s="199">
        <f>N2</f>
        <v>46213</v>
      </c>
      <c r="M131" s="200"/>
      <c r="N131" s="156"/>
      <c r="O131" s="157">
        <f>M129-N137</f>
        <v>412.04</v>
      </c>
    </row>
    <row r="132" spans="1:16" ht="18">
      <c r="B132" s="158" t="s">
        <v>143</v>
      </c>
      <c r="C132" s="159">
        <f>F130</f>
        <v>14494.870000000003</v>
      </c>
      <c r="D132" s="160"/>
      <c r="E132" s="160"/>
      <c r="F132" s="159"/>
      <c r="G132" s="160"/>
      <c r="H132" s="160"/>
      <c r="I132" s="160"/>
      <c r="J132" s="45"/>
      <c r="K132" s="188" t="s">
        <v>144</v>
      </c>
      <c r="L132" s="189"/>
      <c r="M132" s="190"/>
      <c r="N132" s="161">
        <f>P110</f>
        <v>18481.400000000001</v>
      </c>
      <c r="O132" s="152"/>
    </row>
    <row r="133" spans="1:16" ht="18">
      <c r="B133" s="158" t="s">
        <v>145</v>
      </c>
      <c r="C133" s="159">
        <f>J130</f>
        <v>13519.449999999999</v>
      </c>
      <c r="D133" s="160"/>
      <c r="E133" s="160"/>
      <c r="F133" s="159"/>
      <c r="G133" s="159"/>
      <c r="H133" s="160"/>
      <c r="I133" s="160"/>
      <c r="J133" s="45"/>
      <c r="K133" s="188" t="s">
        <v>146</v>
      </c>
      <c r="L133" s="189"/>
      <c r="M133" s="190"/>
      <c r="N133" s="161">
        <f>M18</f>
        <v>5832.5400000000009</v>
      </c>
      <c r="O133" s="152"/>
    </row>
    <row r="134" spans="1:16" ht="18">
      <c r="B134" s="158" t="s">
        <v>28</v>
      </c>
      <c r="C134" s="159">
        <f>C132+C133</f>
        <v>28014.32</v>
      </c>
      <c r="D134" s="160"/>
      <c r="E134" s="160"/>
      <c r="F134" s="160"/>
      <c r="G134" s="159"/>
      <c r="H134" s="160"/>
      <c r="I134" s="160"/>
      <c r="K134" s="188" t="s">
        <v>147</v>
      </c>
      <c r="L134" s="189"/>
      <c r="M134" s="190"/>
      <c r="N134" s="161">
        <f>M33</f>
        <v>1438.6100000000001</v>
      </c>
    </row>
    <row r="135" spans="1:16" ht="18">
      <c r="C135" s="45"/>
      <c r="D135" s="45"/>
      <c r="E135" s="45"/>
      <c r="F135" s="45"/>
      <c r="G135" s="45"/>
      <c r="H135" s="160" t="s">
        <v>94</v>
      </c>
      <c r="I135" s="45"/>
      <c r="K135" s="188" t="s">
        <v>148</v>
      </c>
      <c r="L135" s="189"/>
      <c r="M135" s="190"/>
      <c r="N135" s="161">
        <f>M39</f>
        <v>407</v>
      </c>
    </row>
    <row r="136" spans="1:16" ht="25.2" customHeight="1">
      <c r="B136" s="162" t="s">
        <v>149</v>
      </c>
      <c r="C136" s="193"/>
      <c r="D136" s="193"/>
      <c r="E136" s="193"/>
      <c r="F136" s="193"/>
      <c r="G136" s="193"/>
      <c r="H136" s="193"/>
      <c r="I136" s="193"/>
      <c r="J136" s="193"/>
      <c r="K136" s="188" t="s">
        <v>150</v>
      </c>
      <c r="L136" s="189"/>
      <c r="M136" s="190"/>
      <c r="N136" s="161">
        <f>M45</f>
        <v>985.37</v>
      </c>
    </row>
    <row r="137" spans="1:16" ht="18">
      <c r="C137" s="45"/>
      <c r="D137" s="45"/>
      <c r="E137" s="26"/>
      <c r="F137" s="26"/>
      <c r="G137" s="45"/>
      <c r="H137" s="160"/>
      <c r="I137" s="45"/>
      <c r="K137" s="188" t="s">
        <v>151</v>
      </c>
      <c r="L137" s="189"/>
      <c r="M137" s="190"/>
      <c r="N137" s="161">
        <f>M118+M119+M120+M121</f>
        <v>0</v>
      </c>
    </row>
    <row r="138" spans="1:16" ht="18">
      <c r="E138" s="38"/>
      <c r="F138" s="45"/>
      <c r="G138" s="45"/>
      <c r="H138" s="160"/>
      <c r="I138" s="45"/>
      <c r="K138" s="188" t="s">
        <v>152</v>
      </c>
      <c r="L138" s="189"/>
      <c r="M138" s="190"/>
      <c r="N138" s="161">
        <f>O131</f>
        <v>412.04</v>
      </c>
    </row>
    <row r="139" spans="1:16" ht="18.600000000000001" thickBot="1">
      <c r="C139" s="38"/>
      <c r="D139" s="38"/>
      <c r="G139" s="163"/>
      <c r="H139" s="160"/>
      <c r="K139" s="188" t="s">
        <v>153</v>
      </c>
      <c r="L139" s="189"/>
      <c r="M139" s="190"/>
      <c r="N139" s="164">
        <f>M24</f>
        <v>457.36</v>
      </c>
      <c r="P139" s="38"/>
    </row>
    <row r="140" spans="1:16" ht="16.8" thickBot="1">
      <c r="C140" s="38"/>
      <c r="D140" s="38"/>
      <c r="E140" s="38"/>
      <c r="F140" s="38"/>
      <c r="H140" s="38"/>
      <c r="K140" s="191" t="s">
        <v>154</v>
      </c>
      <c r="L140" s="192"/>
      <c r="M140" s="192"/>
      <c r="N140" s="165">
        <f>SUM(N132:N139)</f>
        <v>28014.320000000003</v>
      </c>
    </row>
    <row r="141" spans="1:16">
      <c r="C141" s="38"/>
      <c r="D141" s="38"/>
      <c r="E141" s="159"/>
      <c r="F141" s="159"/>
      <c r="H141" s="38"/>
      <c r="I141" s="38"/>
    </row>
    <row r="142" spans="1:16">
      <c r="C142" s="38"/>
      <c r="D142" s="38"/>
      <c r="E142" s="38"/>
      <c r="F142" s="38"/>
      <c r="H142" s="160"/>
    </row>
    <row r="143" spans="1:16">
      <c r="A143" s="159"/>
      <c r="B143" s="159"/>
      <c r="C143" s="159"/>
      <c r="D143" s="159"/>
      <c r="E143" s="159"/>
      <c r="F143" s="159"/>
      <c r="G143" s="38"/>
      <c r="H143" s="38"/>
      <c r="N143" s="45"/>
    </row>
    <row r="144" spans="1:16">
      <c r="A144" s="159"/>
    </row>
  </sheetData>
  <mergeCells count="72">
    <mergeCell ref="K139:M139"/>
    <mergeCell ref="K140:M140"/>
    <mergeCell ref="K134:M134"/>
    <mergeCell ref="K135:M135"/>
    <mergeCell ref="C136:J136"/>
    <mergeCell ref="K136:M136"/>
    <mergeCell ref="K137:M137"/>
    <mergeCell ref="K138:M138"/>
    <mergeCell ref="K133:M133"/>
    <mergeCell ref="O47:O48"/>
    <mergeCell ref="P47:P48"/>
    <mergeCell ref="Q47:Q48"/>
    <mergeCell ref="R47:R48"/>
    <mergeCell ref="A111:L111"/>
    <mergeCell ref="A112:A113"/>
    <mergeCell ref="B112:B113"/>
    <mergeCell ref="C112:G112"/>
    <mergeCell ref="H112:K112"/>
    <mergeCell ref="M112:M113"/>
    <mergeCell ref="N112:N113"/>
    <mergeCell ref="A129:B129"/>
    <mergeCell ref="K130:N130"/>
    <mergeCell ref="L131:M131"/>
    <mergeCell ref="K132:M132"/>
    <mergeCell ref="M41:M42"/>
    <mergeCell ref="N41:N42"/>
    <mergeCell ref="A45:B45"/>
    <mergeCell ref="A46:L46"/>
    <mergeCell ref="A47:A48"/>
    <mergeCell ref="B47:B48"/>
    <mergeCell ref="C47:H47"/>
    <mergeCell ref="I47:N47"/>
    <mergeCell ref="A39:B39"/>
    <mergeCell ref="A40:L40"/>
    <mergeCell ref="A41:A42"/>
    <mergeCell ref="B41:B42"/>
    <mergeCell ref="C41:G41"/>
    <mergeCell ref="H41:K41"/>
    <mergeCell ref="M26:M27"/>
    <mergeCell ref="N26:N27"/>
    <mergeCell ref="A33:B33"/>
    <mergeCell ref="A34:L34"/>
    <mergeCell ref="A35:A36"/>
    <mergeCell ref="B35:B36"/>
    <mergeCell ref="C35:G35"/>
    <mergeCell ref="H35:K35"/>
    <mergeCell ref="M35:M36"/>
    <mergeCell ref="N35:N36"/>
    <mergeCell ref="A24:B24"/>
    <mergeCell ref="A25:L25"/>
    <mergeCell ref="A26:A27"/>
    <mergeCell ref="B26:B27"/>
    <mergeCell ref="C26:G26"/>
    <mergeCell ref="H26:K26"/>
    <mergeCell ref="O3:O4"/>
    <mergeCell ref="P3:P4"/>
    <mergeCell ref="A18:B18"/>
    <mergeCell ref="A19:L19"/>
    <mergeCell ref="A20:A21"/>
    <mergeCell ref="B20:B21"/>
    <mergeCell ref="C20:G20"/>
    <mergeCell ref="H20:K20"/>
    <mergeCell ref="M20:M21"/>
    <mergeCell ref="N20:N21"/>
    <mergeCell ref="A1:N1"/>
    <mergeCell ref="A2:L2"/>
    <mergeCell ref="A3:A4"/>
    <mergeCell ref="B3:B4"/>
    <mergeCell ref="C3:G3"/>
    <mergeCell ref="H3:L3"/>
    <mergeCell ref="M3:M4"/>
    <mergeCell ref="N3:N4"/>
  </mergeCells>
  <conditionalFormatting sqref="N7:N19 N22:N23 N28:N32 N37:N38 N43:N44">
    <cfRule type="cellIs" dxfId="33" priority="2" operator="greaterThan">
      <formula>40</formula>
    </cfRule>
  </conditionalFormatting>
  <conditionalFormatting sqref="Q49:Q110">
    <cfRule type="cellIs" dxfId="32" priority="1" operator="lessThan">
      <formula>0.5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D9416-0B34-457D-9BA6-DA714992A8F2}">
  <dimension ref="A1:AA149"/>
  <sheetViews>
    <sheetView zoomScale="74" zoomScaleNormal="74" workbookViewId="0">
      <pane ySplit="1" topLeftCell="A2" activePane="bottomLeft" state="frozen"/>
      <selection pane="bottomLeft" activeCell="Q30" sqref="Q30"/>
    </sheetView>
  </sheetViews>
  <sheetFormatPr defaultColWidth="9" defaultRowHeight="14.4"/>
  <cols>
    <col min="1" max="1" width="8.5546875" customWidth="1"/>
    <col min="2" max="2" width="29.44140625" bestFit="1" customWidth="1"/>
    <col min="3" max="3" width="11.6640625" customWidth="1"/>
    <col min="4" max="4" width="11.21875" customWidth="1"/>
    <col min="5" max="5" width="9.77734375" customWidth="1"/>
    <col min="6" max="6" width="13.6640625" customWidth="1"/>
    <col min="7" max="7" width="10" customWidth="1"/>
    <col min="8" max="8" width="9.77734375" customWidth="1"/>
    <col min="9" max="9" width="12.77734375" bestFit="1" customWidth="1"/>
    <col min="10" max="10" width="10.6640625" bestFit="1" customWidth="1"/>
    <col min="11" max="11" width="15.77734375" customWidth="1"/>
    <col min="12" max="12" width="10.77734375" customWidth="1"/>
    <col min="13" max="13" width="12.5546875" customWidth="1"/>
    <col min="14" max="14" width="17.88671875" customWidth="1"/>
    <col min="15" max="15" width="12.5546875" customWidth="1"/>
    <col min="16" max="16" width="10.44140625" customWidth="1"/>
    <col min="17" max="17" width="11.109375" bestFit="1" customWidth="1"/>
    <col min="19" max="19" width="9.21875" bestFit="1" customWidth="1"/>
    <col min="20" max="20" width="8.21875" bestFit="1" customWidth="1"/>
    <col min="21" max="22" width="11.21875" customWidth="1"/>
  </cols>
  <sheetData>
    <row r="1" spans="1:22" ht="18.600000000000001" thickBot="1">
      <c r="A1" s="249" t="s">
        <v>0</v>
      </c>
      <c r="B1" s="249"/>
      <c r="C1" s="249"/>
      <c r="D1" s="249"/>
      <c r="E1" s="249"/>
      <c r="F1" s="249"/>
      <c r="G1" s="249"/>
      <c r="H1" s="249"/>
      <c r="I1" s="249"/>
      <c r="J1" s="249"/>
      <c r="K1" s="249"/>
      <c r="L1" s="249"/>
      <c r="M1" s="249"/>
      <c r="N1" s="249"/>
      <c r="O1" s="1"/>
      <c r="V1" s="2"/>
    </row>
    <row r="2" spans="1:22" ht="19.8" customHeight="1" thickBot="1">
      <c r="A2" s="250" t="s">
        <v>1</v>
      </c>
      <c r="B2" s="251"/>
      <c r="C2" s="252"/>
      <c r="D2" s="252"/>
      <c r="E2" s="252"/>
      <c r="F2" s="252"/>
      <c r="G2" s="252"/>
      <c r="H2" s="252"/>
      <c r="I2" s="252"/>
      <c r="J2" s="252"/>
      <c r="K2" s="252"/>
      <c r="L2" s="251"/>
      <c r="M2" s="3" t="s">
        <v>2</v>
      </c>
      <c r="N2" s="4">
        <v>46214</v>
      </c>
      <c r="O2" s="1"/>
    </row>
    <row r="3" spans="1:22" ht="18" customHeight="1">
      <c r="A3" s="209" t="s">
        <v>3</v>
      </c>
      <c r="B3" s="211" t="s">
        <v>4</v>
      </c>
      <c r="C3" s="213" t="s">
        <v>5</v>
      </c>
      <c r="D3" s="214"/>
      <c r="E3" s="214"/>
      <c r="F3" s="214"/>
      <c r="G3" s="215"/>
      <c r="H3" s="253" t="s">
        <v>6</v>
      </c>
      <c r="I3" s="254"/>
      <c r="J3" s="254"/>
      <c r="K3" s="254"/>
      <c r="L3" s="255"/>
      <c r="M3" s="219" t="s">
        <v>7</v>
      </c>
      <c r="N3" s="194" t="s">
        <v>8</v>
      </c>
      <c r="O3" s="243" t="s">
        <v>9</v>
      </c>
      <c r="P3" s="222" t="s">
        <v>10</v>
      </c>
    </row>
    <row r="4" spans="1:22" ht="22.8" customHeight="1">
      <c r="A4" s="247"/>
      <c r="B4" s="248"/>
      <c r="C4" s="6" t="s">
        <v>11</v>
      </c>
      <c r="D4" s="6" t="s">
        <v>12</v>
      </c>
      <c r="E4" s="6" t="s">
        <v>13</v>
      </c>
      <c r="F4" s="6" t="s">
        <v>14</v>
      </c>
      <c r="G4" s="6" t="s">
        <v>8</v>
      </c>
      <c r="H4" s="6" t="s">
        <v>12</v>
      </c>
      <c r="I4" s="6" t="s">
        <v>13</v>
      </c>
      <c r="J4" s="6" t="s">
        <v>14</v>
      </c>
      <c r="K4" s="7" t="s">
        <v>8</v>
      </c>
      <c r="L4" s="8" t="s">
        <v>15</v>
      </c>
      <c r="M4" s="236"/>
      <c r="N4" s="237"/>
      <c r="O4" s="248"/>
      <c r="P4" s="243"/>
    </row>
    <row r="5" spans="1:22" ht="22.8" customHeight="1">
      <c r="A5" s="5">
        <v>1</v>
      </c>
      <c r="B5" s="9" t="s">
        <v>175</v>
      </c>
      <c r="C5" s="2">
        <v>32003.5</v>
      </c>
      <c r="D5" s="2">
        <v>32003.5</v>
      </c>
      <c r="E5" s="2">
        <f>D5-C5</f>
        <v>0</v>
      </c>
      <c r="F5" s="2">
        <v>0</v>
      </c>
      <c r="G5" s="10">
        <f>IFERROR(F5/E5,0)</f>
        <v>0</v>
      </c>
      <c r="H5" s="2">
        <v>32003.5</v>
      </c>
      <c r="I5" s="167">
        <f>H5-D5</f>
        <v>0</v>
      </c>
      <c r="J5" s="2">
        <v>0</v>
      </c>
      <c r="K5" s="11">
        <f>IFERROR(J5/I5,0)</f>
        <v>0</v>
      </c>
      <c r="L5" s="12">
        <f>E5+I5</f>
        <v>0</v>
      </c>
      <c r="M5" s="13">
        <f>F5+J5</f>
        <v>0</v>
      </c>
      <c r="N5" s="14">
        <f>IFERROR(M5/L5,0)</f>
        <v>0</v>
      </c>
      <c r="O5" s="2">
        <v>0</v>
      </c>
      <c r="P5" s="5"/>
    </row>
    <row r="6" spans="1:22" ht="22.8" customHeight="1">
      <c r="A6" s="81">
        <v>2</v>
      </c>
      <c r="B6" s="16" t="s">
        <v>170</v>
      </c>
      <c r="C6" s="49">
        <v>33786.400000000001</v>
      </c>
      <c r="D6" s="49">
        <v>33794.1</v>
      </c>
      <c r="E6" s="2">
        <f>D6-C6</f>
        <v>7.6999999999970896</v>
      </c>
      <c r="F6" s="49">
        <v>237.29</v>
      </c>
      <c r="G6" s="10">
        <f>IFERROR(F6/E6,0)</f>
        <v>30.816883116894765</v>
      </c>
      <c r="H6" s="49">
        <v>33802.6</v>
      </c>
      <c r="I6" s="167">
        <f>H6-D6</f>
        <v>8.5</v>
      </c>
      <c r="J6" s="49">
        <v>269.68</v>
      </c>
      <c r="K6" s="11">
        <f>IFERROR(J6/I6,0)</f>
        <v>31.727058823529411</v>
      </c>
      <c r="L6" s="169">
        <v>0</v>
      </c>
      <c r="M6" s="13">
        <f>F6+J6</f>
        <v>506.97</v>
      </c>
      <c r="N6" s="14">
        <f>IFERROR(M6/L6,0)</f>
        <v>0</v>
      </c>
      <c r="O6" s="49">
        <v>197</v>
      </c>
      <c r="P6" s="81"/>
    </row>
    <row r="7" spans="1:22" ht="24" customHeight="1">
      <c r="A7" s="5">
        <v>3</v>
      </c>
      <c r="B7" s="16" t="s">
        <v>17</v>
      </c>
      <c r="C7" s="17">
        <v>32493.3</v>
      </c>
      <c r="D7" s="17">
        <v>32493.3</v>
      </c>
      <c r="E7" s="17">
        <f t="shared" ref="E7:E17" si="0">D7-C7</f>
        <v>0</v>
      </c>
      <c r="F7" s="18">
        <v>0</v>
      </c>
      <c r="G7" s="10">
        <f>IFERROR(F7/E7,0)</f>
        <v>0</v>
      </c>
      <c r="H7" s="17">
        <v>32493.3</v>
      </c>
      <c r="I7" s="19">
        <f t="shared" ref="I7:I14" si="1">H7-D7</f>
        <v>0</v>
      </c>
      <c r="J7" s="20">
        <v>0</v>
      </c>
      <c r="K7" s="21">
        <f>IFERROR(J7/I7,0)</f>
        <v>0</v>
      </c>
      <c r="L7" s="18">
        <f>E7+I7</f>
        <v>0</v>
      </c>
      <c r="M7" s="22">
        <f>F7+J7</f>
        <v>0</v>
      </c>
      <c r="N7" s="23">
        <f>IFERROR(M7/L7,0)</f>
        <v>0</v>
      </c>
      <c r="O7" s="24">
        <v>0</v>
      </c>
      <c r="P7" s="25"/>
      <c r="Q7" s="26"/>
    </row>
    <row r="8" spans="1:22" ht="25.8" customHeight="1">
      <c r="A8" s="81">
        <v>4</v>
      </c>
      <c r="B8" s="16" t="s">
        <v>18</v>
      </c>
      <c r="C8" s="17">
        <v>24626.7</v>
      </c>
      <c r="D8" s="17">
        <v>24637</v>
      </c>
      <c r="E8" s="17">
        <f t="shared" si="0"/>
        <v>10.299999999999272</v>
      </c>
      <c r="F8" s="18">
        <v>369.93</v>
      </c>
      <c r="G8" s="10">
        <f t="shared" ref="G8:G13" si="2">IFERROR(F8/E8,0)</f>
        <v>35.91553398058506</v>
      </c>
      <c r="H8" s="17">
        <v>24647.8</v>
      </c>
      <c r="I8" s="19">
        <f t="shared" si="1"/>
        <v>10.799999999999272</v>
      </c>
      <c r="J8" s="20">
        <v>382.93</v>
      </c>
      <c r="K8" s="28">
        <f t="shared" ref="K8:K14" si="3">IFERROR(J8/I8,0)</f>
        <v>35.45648148148387</v>
      </c>
      <c r="L8" s="18">
        <f t="shared" ref="L8:M16" si="4">E8+I8</f>
        <v>21.099999999998545</v>
      </c>
      <c r="M8" s="22">
        <f t="shared" si="4"/>
        <v>752.86</v>
      </c>
      <c r="N8" s="23">
        <f t="shared" ref="N8:N17" si="5">IFERROR(M8/L8,0)</f>
        <v>35.680568720381608</v>
      </c>
      <c r="O8" s="29">
        <v>262</v>
      </c>
      <c r="P8" s="30"/>
      <c r="Q8" s="26"/>
      <c r="S8" s="26"/>
    </row>
    <row r="9" spans="1:22" ht="25.8" customHeight="1">
      <c r="A9" s="5">
        <v>5</v>
      </c>
      <c r="B9" s="31" t="s">
        <v>19</v>
      </c>
      <c r="C9" s="17">
        <v>32537.7</v>
      </c>
      <c r="D9" s="17">
        <v>32551.1</v>
      </c>
      <c r="E9" s="17">
        <f t="shared" si="0"/>
        <v>13.399999999997817</v>
      </c>
      <c r="F9" s="32">
        <v>418</v>
      </c>
      <c r="G9" s="10">
        <f t="shared" si="2"/>
        <v>31.194029850751349</v>
      </c>
      <c r="H9" s="17">
        <v>32557.4</v>
      </c>
      <c r="I9" s="19">
        <f t="shared" si="1"/>
        <v>6.3000000000029104</v>
      </c>
      <c r="J9" s="33">
        <v>205.4</v>
      </c>
      <c r="K9" s="28">
        <f t="shared" si="3"/>
        <v>32.603174603159545</v>
      </c>
      <c r="L9" s="18">
        <f t="shared" si="4"/>
        <v>19.700000000000728</v>
      </c>
      <c r="M9" s="22">
        <f t="shared" si="4"/>
        <v>623.4</v>
      </c>
      <c r="N9" s="23">
        <f t="shared" si="5"/>
        <v>31.644670050760251</v>
      </c>
      <c r="O9" s="29">
        <v>219</v>
      </c>
      <c r="P9" s="30"/>
      <c r="Q9" s="26"/>
      <c r="S9" s="26"/>
    </row>
    <row r="10" spans="1:22" ht="25.8" customHeight="1">
      <c r="A10" s="81">
        <v>6</v>
      </c>
      <c r="B10" s="16" t="s">
        <v>20</v>
      </c>
      <c r="C10" s="17">
        <v>33502.1</v>
      </c>
      <c r="D10" s="17">
        <v>33515.5</v>
      </c>
      <c r="E10" s="17">
        <f>D10-C10</f>
        <v>13.400000000001455</v>
      </c>
      <c r="F10" s="34">
        <f>161.54+291</f>
        <v>452.53999999999996</v>
      </c>
      <c r="G10" s="10">
        <f>IFERROR(F10/E10,0)</f>
        <v>33.771641791041105</v>
      </c>
      <c r="H10" s="17">
        <v>33523.1</v>
      </c>
      <c r="I10" s="19">
        <f>H10-D10</f>
        <v>7.5999999999985448</v>
      </c>
      <c r="J10" s="33">
        <v>293</v>
      </c>
      <c r="K10" s="28">
        <f>IFERROR(J10/I10,0)</f>
        <v>38.552631578954752</v>
      </c>
      <c r="L10" s="18">
        <f>E10+I10</f>
        <v>21</v>
      </c>
      <c r="M10" s="22">
        <f>F10+J10</f>
        <v>745.54</v>
      </c>
      <c r="N10" s="23">
        <f>IFERROR(M10/L10,0)</f>
        <v>35.501904761904761</v>
      </c>
      <c r="O10" s="29">
        <v>241</v>
      </c>
      <c r="P10" s="30"/>
      <c r="Q10" s="26"/>
      <c r="S10" s="26"/>
    </row>
    <row r="11" spans="1:22" ht="22.8" customHeight="1">
      <c r="A11" s="5">
        <v>7</v>
      </c>
      <c r="B11" s="16" t="s">
        <v>21</v>
      </c>
      <c r="C11" s="17">
        <v>28006.3</v>
      </c>
      <c r="D11" s="17">
        <v>28018.7</v>
      </c>
      <c r="E11" s="17">
        <f t="shared" si="0"/>
        <v>12.400000000001455</v>
      </c>
      <c r="F11" s="32">
        <v>322.94</v>
      </c>
      <c r="G11" s="10">
        <f t="shared" si="2"/>
        <v>26.043548387093718</v>
      </c>
      <c r="H11" s="17">
        <v>28028.5</v>
      </c>
      <c r="I11" s="19">
        <f t="shared" si="1"/>
        <v>9.7999999999992724</v>
      </c>
      <c r="J11" s="20">
        <v>269.73</v>
      </c>
      <c r="K11" s="28">
        <f t="shared" si="3"/>
        <v>27.523469387757146</v>
      </c>
      <c r="L11" s="18">
        <f t="shared" si="4"/>
        <v>22.200000000000728</v>
      </c>
      <c r="M11" s="22">
        <f t="shared" si="4"/>
        <v>592.67000000000007</v>
      </c>
      <c r="N11" s="23">
        <f t="shared" si="5"/>
        <v>26.696846846845975</v>
      </c>
      <c r="O11" s="29">
        <v>258</v>
      </c>
      <c r="P11" s="30"/>
      <c r="Q11" s="26"/>
      <c r="S11" s="26"/>
    </row>
    <row r="12" spans="1:22" ht="22.8" customHeight="1">
      <c r="A12" s="81">
        <v>8</v>
      </c>
      <c r="B12" s="31" t="s">
        <v>22</v>
      </c>
      <c r="C12" s="35">
        <v>27387.4</v>
      </c>
      <c r="D12" s="35">
        <v>27399.7</v>
      </c>
      <c r="E12" s="17">
        <f t="shared" si="0"/>
        <v>12.299999999999272</v>
      </c>
      <c r="F12" s="32">
        <v>328.86</v>
      </c>
      <c r="G12" s="10">
        <f t="shared" si="2"/>
        <v>26.736585365855241</v>
      </c>
      <c r="H12" s="35">
        <v>27404.3</v>
      </c>
      <c r="I12" s="19">
        <f t="shared" si="1"/>
        <v>4.5999999999985448</v>
      </c>
      <c r="J12" s="33">
        <v>107.07</v>
      </c>
      <c r="K12" s="28">
        <f t="shared" si="3"/>
        <v>23.276086956529102</v>
      </c>
      <c r="L12" s="18">
        <f t="shared" si="4"/>
        <v>16.899999999997817</v>
      </c>
      <c r="M12" s="22">
        <f t="shared" si="4"/>
        <v>435.93</v>
      </c>
      <c r="N12" s="23">
        <f t="shared" si="5"/>
        <v>25.79467455621635</v>
      </c>
      <c r="O12" s="29">
        <v>136</v>
      </c>
      <c r="P12" s="30"/>
      <c r="Q12" s="26"/>
      <c r="S12" s="26"/>
    </row>
    <row r="13" spans="1:22" ht="24" customHeight="1">
      <c r="A13" s="5">
        <v>9</v>
      </c>
      <c r="B13" s="31" t="s">
        <v>23</v>
      </c>
      <c r="C13" s="17">
        <v>22528.34</v>
      </c>
      <c r="D13" s="17">
        <v>22539.79</v>
      </c>
      <c r="E13" s="17">
        <f t="shared" si="0"/>
        <v>11.450000000000728</v>
      </c>
      <c r="F13" s="34">
        <v>348</v>
      </c>
      <c r="G13" s="10">
        <f t="shared" si="2"/>
        <v>30.39301310043475</v>
      </c>
      <c r="H13" s="17">
        <v>22547.27</v>
      </c>
      <c r="I13" s="19">
        <f t="shared" si="1"/>
        <v>7.4799999999995634</v>
      </c>
      <c r="J13" s="20">
        <v>261.86</v>
      </c>
      <c r="K13" s="28">
        <f t="shared" si="3"/>
        <v>35.008021390376378</v>
      </c>
      <c r="L13" s="18">
        <f t="shared" si="4"/>
        <v>18.930000000000291</v>
      </c>
      <c r="M13" s="22">
        <f t="shared" si="4"/>
        <v>609.86</v>
      </c>
      <c r="N13" s="23">
        <f t="shared" si="5"/>
        <v>32.216587427363478</v>
      </c>
      <c r="O13" s="29">
        <v>302</v>
      </c>
      <c r="P13" s="36"/>
      <c r="Q13" s="26"/>
      <c r="S13" s="26"/>
    </row>
    <row r="14" spans="1:22" ht="24" customHeight="1">
      <c r="A14" s="81">
        <v>10</v>
      </c>
      <c r="B14" s="31" t="s">
        <v>24</v>
      </c>
      <c r="C14" s="17">
        <v>22499.63</v>
      </c>
      <c r="D14" s="17">
        <v>22512.53</v>
      </c>
      <c r="E14" s="17">
        <f t="shared" si="0"/>
        <v>12.899999999997817</v>
      </c>
      <c r="F14" s="32">
        <v>376.13</v>
      </c>
      <c r="G14" s="10">
        <f>IFERROR(F14/E14,0)</f>
        <v>29.157364341090204</v>
      </c>
      <c r="H14" s="17">
        <v>22520.639999999999</v>
      </c>
      <c r="I14" s="19">
        <f t="shared" si="1"/>
        <v>8.1100000000005821</v>
      </c>
      <c r="J14" s="20">
        <v>274.42</v>
      </c>
      <c r="K14" s="28">
        <f t="shared" si="3"/>
        <v>33.837237977802751</v>
      </c>
      <c r="L14" s="18">
        <f t="shared" si="4"/>
        <v>21.009999999998399</v>
      </c>
      <c r="M14" s="22">
        <f t="shared" si="4"/>
        <v>650.54999999999995</v>
      </c>
      <c r="N14" s="23">
        <f t="shared" si="5"/>
        <v>30.963826749169421</v>
      </c>
      <c r="O14" s="29">
        <v>188</v>
      </c>
      <c r="P14" s="37"/>
      <c r="Q14" s="26"/>
      <c r="S14" s="26"/>
    </row>
    <row r="15" spans="1:22" ht="24" customHeight="1">
      <c r="A15" s="5">
        <v>11</v>
      </c>
      <c r="B15" s="31" t="s">
        <v>25</v>
      </c>
      <c r="C15" s="17">
        <v>19990.419999999998</v>
      </c>
      <c r="D15" s="17">
        <v>20000.97</v>
      </c>
      <c r="E15" s="17">
        <f t="shared" si="0"/>
        <v>10.55000000000291</v>
      </c>
      <c r="F15" s="32">
        <v>446.8</v>
      </c>
      <c r="G15" s="10">
        <f>IFERROR(F15/E15,0)</f>
        <v>42.350710900462254</v>
      </c>
      <c r="H15" s="17">
        <v>20009.7</v>
      </c>
      <c r="I15" s="19">
        <f>H15-D15</f>
        <v>8.7299999999995634</v>
      </c>
      <c r="J15" s="20">
        <v>392.12</v>
      </c>
      <c r="K15" s="28">
        <f>IFERROR(J15/I15,0)</f>
        <v>44.916380297825846</v>
      </c>
      <c r="L15" s="18">
        <f>E15+I15</f>
        <v>19.280000000002474</v>
      </c>
      <c r="M15" s="22">
        <f t="shared" si="4"/>
        <v>838.92000000000007</v>
      </c>
      <c r="N15" s="23">
        <f t="shared" si="5"/>
        <v>43.512448132774502</v>
      </c>
      <c r="O15" s="29">
        <v>248</v>
      </c>
      <c r="P15" s="37"/>
      <c r="Q15" s="26"/>
      <c r="S15" s="26"/>
      <c r="T15" s="38"/>
    </row>
    <row r="16" spans="1:22" ht="24" customHeight="1">
      <c r="A16" s="81">
        <v>12</v>
      </c>
      <c r="B16" s="31" t="s">
        <v>27</v>
      </c>
      <c r="C16" s="17">
        <v>18238</v>
      </c>
      <c r="D16" s="17">
        <v>18238</v>
      </c>
      <c r="E16" s="17">
        <f t="shared" si="0"/>
        <v>0</v>
      </c>
      <c r="F16" s="18">
        <v>0</v>
      </c>
      <c r="G16" s="10">
        <f>IFERROR(F16/E16,0)</f>
        <v>0</v>
      </c>
      <c r="H16" s="17">
        <v>18238</v>
      </c>
      <c r="I16" s="19">
        <f t="shared" ref="I16" si="6">H16-D16</f>
        <v>0</v>
      </c>
      <c r="J16" s="20">
        <v>0</v>
      </c>
      <c r="K16" s="28">
        <f t="shared" ref="K16" si="7">IFERROR(J16/I16,0)</f>
        <v>0</v>
      </c>
      <c r="L16" s="18">
        <f t="shared" ref="L16" si="8">E16+I16</f>
        <v>0</v>
      </c>
      <c r="M16" s="22">
        <f t="shared" si="4"/>
        <v>0</v>
      </c>
      <c r="N16" s="23">
        <f t="shared" si="5"/>
        <v>0</v>
      </c>
      <c r="O16" s="29">
        <v>0</v>
      </c>
      <c r="P16" s="37"/>
      <c r="Q16" s="26"/>
      <c r="S16" s="26"/>
      <c r="T16" s="38"/>
    </row>
    <row r="17" spans="1:20" ht="24" customHeight="1">
      <c r="A17" s="5">
        <v>13</v>
      </c>
      <c r="B17" s="31" t="s">
        <v>26</v>
      </c>
      <c r="C17" s="17">
        <v>15231.7</v>
      </c>
      <c r="D17" s="17">
        <v>15231.7</v>
      </c>
      <c r="E17" s="17">
        <f t="shared" si="0"/>
        <v>0</v>
      </c>
      <c r="F17" s="32">
        <v>0</v>
      </c>
      <c r="G17" s="10">
        <f>IFERROR(F17/E17,0)</f>
        <v>0</v>
      </c>
      <c r="H17" s="17">
        <v>15231.7</v>
      </c>
      <c r="I17" s="19">
        <f>H17-D17</f>
        <v>0</v>
      </c>
      <c r="J17" s="20">
        <v>0</v>
      </c>
      <c r="K17" s="28">
        <f>IFERROR(J17/I17,0)</f>
        <v>0</v>
      </c>
      <c r="L17" s="18">
        <f>E17+I17</f>
        <v>0</v>
      </c>
      <c r="M17" s="22">
        <f>F17+J17</f>
        <v>0</v>
      </c>
      <c r="N17" s="23">
        <f t="shared" si="5"/>
        <v>0</v>
      </c>
      <c r="O17" s="29">
        <v>0</v>
      </c>
      <c r="P17" s="37"/>
      <c r="Q17" s="26"/>
      <c r="S17" s="26"/>
      <c r="T17" s="38"/>
    </row>
    <row r="18" spans="1:20" ht="24" customHeight="1">
      <c r="A18" s="196" t="s">
        <v>28</v>
      </c>
      <c r="B18" s="197"/>
      <c r="C18" s="39"/>
      <c r="D18" s="39"/>
      <c r="E18" s="40">
        <f>SUM(E7:E17)</f>
        <v>96.700000000000728</v>
      </c>
      <c r="F18" s="41">
        <f>SUM(F5:F17)</f>
        <v>3300.4900000000002</v>
      </c>
      <c r="G18" s="39"/>
      <c r="H18" s="39"/>
      <c r="I18" s="40">
        <f>SUM(I7:I17)</f>
        <v>63.419999999998254</v>
      </c>
      <c r="J18" s="41">
        <f>SUM(J5:J17)</f>
        <v>2456.21</v>
      </c>
      <c r="K18" s="28">
        <f>IFERROR(J18/I18,0)</f>
        <v>38.729265216021247</v>
      </c>
      <c r="L18" s="42">
        <f>SUM(L7:L17)</f>
        <v>160.11999999999898</v>
      </c>
      <c r="M18" s="43">
        <f>SUM(M5:M17)</f>
        <v>5756.7</v>
      </c>
      <c r="N18" s="23">
        <f>IFERROR(M18/L18,0)</f>
        <v>35.952410691981243</v>
      </c>
      <c r="O18" s="44">
        <f>SUM(O5:O17)</f>
        <v>2051</v>
      </c>
      <c r="P18" s="45"/>
      <c r="S18" s="26"/>
    </row>
    <row r="19" spans="1:20" ht="18" customHeight="1" thickBot="1">
      <c r="A19" s="206" t="s">
        <v>29</v>
      </c>
      <c r="B19" s="207"/>
      <c r="C19" s="207"/>
      <c r="D19" s="207"/>
      <c r="E19" s="207"/>
      <c r="F19" s="207"/>
      <c r="G19" s="207"/>
      <c r="H19" s="207"/>
      <c r="I19" s="207"/>
      <c r="J19" s="207"/>
      <c r="K19" s="207"/>
      <c r="L19" s="208"/>
      <c r="M19" s="46"/>
      <c r="N19" s="47"/>
      <c r="O19" s="37"/>
    </row>
    <row r="20" spans="1:20" ht="22.8" customHeight="1">
      <c r="A20" s="209" t="s">
        <v>3</v>
      </c>
      <c r="B20" s="211" t="s">
        <v>4</v>
      </c>
      <c r="C20" s="234" t="s">
        <v>5</v>
      </c>
      <c r="D20" s="234"/>
      <c r="E20" s="234"/>
      <c r="F20" s="234"/>
      <c r="G20" s="234"/>
      <c r="H20" s="235" t="s">
        <v>6</v>
      </c>
      <c r="I20" s="235"/>
      <c r="J20" s="235"/>
      <c r="K20" s="235"/>
      <c r="L20" s="48"/>
      <c r="M20" s="219" t="s">
        <v>7</v>
      </c>
      <c r="N20" s="194" t="s">
        <v>8</v>
      </c>
      <c r="O20" s="37"/>
    </row>
    <row r="21" spans="1:20" s="51" customFormat="1" ht="24" customHeight="1" thickBot="1">
      <c r="A21" s="210"/>
      <c r="B21" s="212"/>
      <c r="C21" s="49" t="s">
        <v>11</v>
      </c>
      <c r="D21" s="49" t="s">
        <v>12</v>
      </c>
      <c r="E21" s="49" t="s">
        <v>13</v>
      </c>
      <c r="F21" s="2" t="s">
        <v>14</v>
      </c>
      <c r="G21" s="2" t="s">
        <v>8</v>
      </c>
      <c r="H21" s="49" t="s">
        <v>12</v>
      </c>
      <c r="I21" s="49" t="s">
        <v>13</v>
      </c>
      <c r="J21" s="49" t="s">
        <v>14</v>
      </c>
      <c r="K21" s="7" t="s">
        <v>8</v>
      </c>
      <c r="L21" s="50" t="s">
        <v>15</v>
      </c>
      <c r="M21" s="220"/>
      <c r="N21" s="195"/>
      <c r="O21" s="37"/>
      <c r="Q21"/>
      <c r="R21"/>
      <c r="S21"/>
      <c r="T21"/>
    </row>
    <row r="22" spans="1:20" s="51" customFormat="1" ht="24" customHeight="1">
      <c r="A22" s="27">
        <v>1</v>
      </c>
      <c r="B22" s="52" t="s">
        <v>30</v>
      </c>
      <c r="C22" s="6">
        <v>18808</v>
      </c>
      <c r="D22" s="6">
        <v>18808</v>
      </c>
      <c r="E22" s="53">
        <f>D22-C22</f>
        <v>0</v>
      </c>
      <c r="F22" s="54">
        <v>0</v>
      </c>
      <c r="G22" s="55">
        <f>IFERROR(F22/E22,0)</f>
        <v>0</v>
      </c>
      <c r="H22" s="6">
        <v>18808</v>
      </c>
      <c r="I22" s="56">
        <f>H22-D22</f>
        <v>0</v>
      </c>
      <c r="J22" s="54">
        <v>0</v>
      </c>
      <c r="K22" s="57">
        <f>IFERROR(J22/I22,0)</f>
        <v>0</v>
      </c>
      <c r="L22" s="58">
        <f>E22+I22</f>
        <v>0</v>
      </c>
      <c r="M22" s="59">
        <f t="shared" ref="M22:M23" si="9">F22+J22</f>
        <v>0</v>
      </c>
      <c r="N22" s="60">
        <f>IFERROR(M22/L22,0)</f>
        <v>0</v>
      </c>
      <c r="O22" s="61"/>
      <c r="Q22"/>
      <c r="R22"/>
      <c r="S22"/>
      <c r="T22"/>
    </row>
    <row r="23" spans="1:20" ht="24" customHeight="1">
      <c r="A23" s="62">
        <v>2</v>
      </c>
      <c r="B23" s="52" t="s">
        <v>31</v>
      </c>
      <c r="C23" s="63">
        <v>11200.6</v>
      </c>
      <c r="D23" s="63">
        <v>11208.4</v>
      </c>
      <c r="E23" s="53">
        <f>D23-C23</f>
        <v>7.7999999999992724</v>
      </c>
      <c r="F23" s="54">
        <v>113.47</v>
      </c>
      <c r="G23" s="55">
        <f>IFERROR(F23/E23,0)</f>
        <v>14.547435897437254</v>
      </c>
      <c r="H23" s="63">
        <v>11218.3</v>
      </c>
      <c r="I23" s="64">
        <f>H23-D23</f>
        <v>9.8999999999996362</v>
      </c>
      <c r="J23" s="54">
        <v>177.39</v>
      </c>
      <c r="K23" s="57">
        <f>IFERROR(J23/I23,0)</f>
        <v>17.918181818182475</v>
      </c>
      <c r="L23" s="58">
        <f>E23+I23</f>
        <v>17.699999999998909</v>
      </c>
      <c r="M23" s="59">
        <f t="shared" si="9"/>
        <v>290.86</v>
      </c>
      <c r="N23" s="60">
        <f>IFERROR(M23/L23,0)</f>
        <v>16.432768361582934</v>
      </c>
      <c r="O23" s="65"/>
    </row>
    <row r="24" spans="1:20" ht="24" customHeight="1" thickBot="1">
      <c r="A24" s="238" t="s">
        <v>28</v>
      </c>
      <c r="B24" s="239"/>
      <c r="C24" s="66"/>
      <c r="D24" s="66"/>
      <c r="E24" s="67">
        <f>SUM(E22:E23)</f>
        <v>7.7999999999992724</v>
      </c>
      <c r="F24" s="67">
        <f>SUM(F22:F23)</f>
        <v>113.47</v>
      </c>
      <c r="G24" s="68"/>
      <c r="H24" s="68"/>
      <c r="I24" s="67">
        <f>SUM(I22:I23)</f>
        <v>9.8999999999996362</v>
      </c>
      <c r="J24" s="67">
        <f>SUM(J22:J23)</f>
        <v>177.39</v>
      </c>
      <c r="K24" s="69">
        <f>SUM(K22:K23)</f>
        <v>17.918181818182475</v>
      </c>
      <c r="L24" s="70">
        <f>SUM(L22:L23)</f>
        <v>17.699999999998909</v>
      </c>
      <c r="M24" s="43">
        <f>SUM(M22:M23)</f>
        <v>290.86</v>
      </c>
      <c r="N24" s="71"/>
      <c r="O24" s="37"/>
      <c r="P24" s="72"/>
    </row>
    <row r="25" spans="1:20" ht="18" customHeight="1" thickBot="1">
      <c r="A25" s="245" t="s">
        <v>32</v>
      </c>
      <c r="B25" s="246"/>
      <c r="C25" s="226"/>
      <c r="D25" s="226"/>
      <c r="E25" s="226"/>
      <c r="F25" s="226"/>
      <c r="G25" s="226"/>
      <c r="H25" s="226"/>
      <c r="I25" s="226"/>
      <c r="J25" s="226"/>
      <c r="K25" s="226"/>
      <c r="L25" s="246"/>
      <c r="M25" s="46"/>
      <c r="N25" s="47"/>
      <c r="O25" s="37"/>
    </row>
    <row r="26" spans="1:20" ht="22.8" customHeight="1">
      <c r="A26" s="209" t="s">
        <v>3</v>
      </c>
      <c r="B26" s="211" t="s">
        <v>4</v>
      </c>
      <c r="C26" s="234" t="s">
        <v>5</v>
      </c>
      <c r="D26" s="234"/>
      <c r="E26" s="234"/>
      <c r="F26" s="234"/>
      <c r="G26" s="234"/>
      <c r="H26" s="235" t="s">
        <v>6</v>
      </c>
      <c r="I26" s="235"/>
      <c r="J26" s="235"/>
      <c r="K26" s="235"/>
      <c r="L26" s="48"/>
      <c r="M26" s="219" t="s">
        <v>7</v>
      </c>
      <c r="N26" s="194" t="s">
        <v>8</v>
      </c>
      <c r="O26" s="37"/>
      <c r="S26" s="51"/>
    </row>
    <row r="27" spans="1:20" ht="24" customHeight="1">
      <c r="A27" s="247"/>
      <c r="B27" s="248"/>
      <c r="C27" s="6" t="s">
        <v>11</v>
      </c>
      <c r="D27" s="6" t="s">
        <v>12</v>
      </c>
      <c r="E27" s="6" t="s">
        <v>13</v>
      </c>
      <c r="F27" s="6" t="s">
        <v>14</v>
      </c>
      <c r="G27" s="6" t="s">
        <v>8</v>
      </c>
      <c r="H27" s="6" t="s">
        <v>12</v>
      </c>
      <c r="I27" s="6" t="s">
        <v>13</v>
      </c>
      <c r="J27" s="6" t="s">
        <v>14</v>
      </c>
      <c r="K27" s="7" t="s">
        <v>8</v>
      </c>
      <c r="L27" s="73" t="s">
        <v>15</v>
      </c>
      <c r="M27" s="236"/>
      <c r="N27" s="237"/>
      <c r="O27" s="37"/>
      <c r="P27" s="74"/>
      <c r="S27" s="51"/>
      <c r="T27" s="75"/>
    </row>
    <row r="28" spans="1:20" ht="24" customHeight="1">
      <c r="A28" s="76">
        <v>1</v>
      </c>
      <c r="B28" s="31" t="s">
        <v>33</v>
      </c>
      <c r="C28" s="35">
        <v>21580.799999999999</v>
      </c>
      <c r="D28" s="35">
        <v>21590</v>
      </c>
      <c r="E28" s="35">
        <f>D28-C28</f>
        <v>9.2000000000007276</v>
      </c>
      <c r="F28" s="33">
        <v>112</v>
      </c>
      <c r="G28" s="10">
        <f t="shared" ref="G28:G32" si="10">IFERROR(F28/E28,0)</f>
        <v>12.173913043477299</v>
      </c>
      <c r="H28" s="35">
        <v>21595.8</v>
      </c>
      <c r="I28" s="56">
        <f>H28-D28</f>
        <v>5.7999999999992724</v>
      </c>
      <c r="J28" s="33">
        <v>118.43</v>
      </c>
      <c r="K28" s="28">
        <f t="shared" ref="K28:K32" si="11">IFERROR(J28/I28,0)</f>
        <v>20.418965517243944</v>
      </c>
      <c r="L28" s="18">
        <f t="shared" ref="L28:M32" si="12">E28+I28</f>
        <v>15</v>
      </c>
      <c r="M28" s="22">
        <f t="shared" si="12"/>
        <v>230.43</v>
      </c>
      <c r="N28" s="23">
        <f>IFERROR(M28/L28,0)</f>
        <v>15.362</v>
      </c>
      <c r="O28" s="37"/>
    </row>
    <row r="29" spans="1:20" ht="24" customHeight="1">
      <c r="A29" s="76">
        <v>2</v>
      </c>
      <c r="B29" s="31" t="s">
        <v>34</v>
      </c>
      <c r="C29" s="35">
        <v>21057.4</v>
      </c>
      <c r="D29" s="35">
        <v>21069.599999999999</v>
      </c>
      <c r="E29" s="35">
        <f>D29-C29</f>
        <v>12.19999999999709</v>
      </c>
      <c r="F29" s="33">
        <v>217.52</v>
      </c>
      <c r="G29" s="10">
        <f t="shared" si="10"/>
        <v>17.829508196725566</v>
      </c>
      <c r="H29" s="35">
        <v>21078.6</v>
      </c>
      <c r="I29" s="56">
        <f>H29-D29</f>
        <v>9</v>
      </c>
      <c r="J29" s="33">
        <v>197.45</v>
      </c>
      <c r="K29" s="28">
        <f>IFERROR(J29/I29,0)</f>
        <v>21.938888888888886</v>
      </c>
      <c r="L29" s="18">
        <f t="shared" si="12"/>
        <v>21.19999999999709</v>
      </c>
      <c r="M29" s="22">
        <f t="shared" si="12"/>
        <v>414.97</v>
      </c>
      <c r="N29" s="23">
        <f>IFERROR(M29/L29,0)</f>
        <v>19.574056603776274</v>
      </c>
      <c r="O29" s="37"/>
    </row>
    <row r="30" spans="1:20" ht="24" customHeight="1">
      <c r="A30" s="76">
        <v>3</v>
      </c>
      <c r="B30" s="31" t="s">
        <v>35</v>
      </c>
      <c r="C30" s="35">
        <v>8910.9</v>
      </c>
      <c r="D30" s="35">
        <v>8923.7999999999993</v>
      </c>
      <c r="E30" s="17">
        <f t="shared" ref="E30:E32" si="13">D30-C30</f>
        <v>12.899999999999636</v>
      </c>
      <c r="F30" s="33">
        <v>222</v>
      </c>
      <c r="G30" s="10">
        <f t="shared" si="10"/>
        <v>17.209302325581881</v>
      </c>
      <c r="H30" s="35">
        <v>8923.7999999999993</v>
      </c>
      <c r="I30" s="19">
        <f>H30-D30</f>
        <v>0</v>
      </c>
      <c r="J30" s="33">
        <v>0</v>
      </c>
      <c r="K30" s="28">
        <f t="shared" si="11"/>
        <v>0</v>
      </c>
      <c r="L30" s="18">
        <f t="shared" si="12"/>
        <v>12.899999999999636</v>
      </c>
      <c r="M30" s="22">
        <f t="shared" si="12"/>
        <v>222</v>
      </c>
      <c r="N30" s="23">
        <f>IFERROR(M30/L30,0)</f>
        <v>17.209302325581881</v>
      </c>
      <c r="O30" s="77"/>
    </row>
    <row r="31" spans="1:20" ht="24.6" customHeight="1">
      <c r="A31" s="76">
        <v>4</v>
      </c>
      <c r="B31" s="31" t="s">
        <v>36</v>
      </c>
      <c r="C31" s="35">
        <v>3360</v>
      </c>
      <c r="D31" s="35">
        <v>3369.7</v>
      </c>
      <c r="E31" s="17">
        <f t="shared" si="13"/>
        <v>9.6999999999998181</v>
      </c>
      <c r="F31" s="33">
        <v>230.91</v>
      </c>
      <c r="G31" s="78">
        <f t="shared" si="10"/>
        <v>23.805154639175704</v>
      </c>
      <c r="H31" s="35">
        <v>3377.8</v>
      </c>
      <c r="I31" s="19">
        <f t="shared" ref="I31:I32" si="14">H31-D31</f>
        <v>8.1000000000003638</v>
      </c>
      <c r="J31" s="33">
        <v>220.35</v>
      </c>
      <c r="K31" s="28">
        <f t="shared" si="11"/>
        <v>27.20370370370248</v>
      </c>
      <c r="L31" s="18">
        <f t="shared" si="12"/>
        <v>17.800000000000182</v>
      </c>
      <c r="M31" s="79">
        <f t="shared" si="12"/>
        <v>451.26</v>
      </c>
      <c r="N31" s="23">
        <f>IFERROR(M31/L31,0)</f>
        <v>25.351685393258169</v>
      </c>
      <c r="O31" s="80"/>
    </row>
    <row r="32" spans="1:20" ht="24.6" customHeight="1">
      <c r="A32" s="76">
        <v>5</v>
      </c>
      <c r="B32" s="31" t="s">
        <v>37</v>
      </c>
      <c r="C32" s="35">
        <v>685.3</v>
      </c>
      <c r="D32" s="35">
        <v>697.2</v>
      </c>
      <c r="E32" s="17">
        <f t="shared" si="13"/>
        <v>11.900000000000091</v>
      </c>
      <c r="F32" s="33">
        <v>289.37</v>
      </c>
      <c r="G32" s="78">
        <f t="shared" si="10"/>
        <v>24.316806722688892</v>
      </c>
      <c r="H32" s="35">
        <v>705.3</v>
      </c>
      <c r="I32" s="19">
        <f t="shared" si="14"/>
        <v>8.0999999999999091</v>
      </c>
      <c r="J32" s="33">
        <v>234.92</v>
      </c>
      <c r="K32" s="28">
        <f t="shared" si="11"/>
        <v>29.002469135802794</v>
      </c>
      <c r="L32" s="18">
        <f t="shared" si="12"/>
        <v>20</v>
      </c>
      <c r="M32" s="79">
        <f t="shared" si="12"/>
        <v>524.29</v>
      </c>
      <c r="N32" s="23">
        <f>IFERROR(M32/L32,0)</f>
        <v>26.214499999999997</v>
      </c>
      <c r="O32" s="80"/>
    </row>
    <row r="33" spans="1:26" ht="22.8" customHeight="1" thickBot="1">
      <c r="A33" s="238" t="s">
        <v>28</v>
      </c>
      <c r="B33" s="239"/>
      <c r="C33" s="66"/>
      <c r="D33" s="66"/>
      <c r="E33" s="67">
        <f>SUM(E28:E32)</f>
        <v>55.899999999997362</v>
      </c>
      <c r="F33" s="67">
        <f>SUM(F28:F32)</f>
        <v>1071.8</v>
      </c>
      <c r="G33" s="68"/>
      <c r="H33" s="68"/>
      <c r="I33" s="67">
        <f>SUM(I28:I32)</f>
        <v>30.999999999999545</v>
      </c>
      <c r="J33" s="67">
        <f>SUM(J28:J32)</f>
        <v>771.15</v>
      </c>
      <c r="K33" s="69">
        <f>SUM(K28:K32)</f>
        <v>98.564027245638115</v>
      </c>
      <c r="L33" s="70">
        <f>SUM(L28:L32)</f>
        <v>86.899999999996908</v>
      </c>
      <c r="M33" s="43">
        <f>SUM(M28:M32)</f>
        <v>1842.95</v>
      </c>
      <c r="N33" s="71">
        <f>IFERROR(M33/K33,0)</f>
        <v>18.697998159176866</v>
      </c>
      <c r="O33" s="37"/>
      <c r="P33" s="72"/>
      <c r="S33" s="51"/>
    </row>
    <row r="34" spans="1:26" ht="24" customHeight="1">
      <c r="A34" s="240" t="s">
        <v>38</v>
      </c>
      <c r="B34" s="241"/>
      <c r="C34" s="241"/>
      <c r="D34" s="241"/>
      <c r="E34" s="241"/>
      <c r="F34" s="241"/>
      <c r="G34" s="241"/>
      <c r="H34" s="241"/>
      <c r="I34" s="241"/>
      <c r="J34" s="241"/>
      <c r="K34" s="241"/>
      <c r="L34" s="242"/>
      <c r="M34" s="46"/>
      <c r="N34" s="47"/>
      <c r="O34" s="61"/>
      <c r="S34" s="51"/>
    </row>
    <row r="35" spans="1:26" ht="24" customHeight="1">
      <c r="A35" s="243" t="s">
        <v>3</v>
      </c>
      <c r="B35" s="243" t="s">
        <v>4</v>
      </c>
      <c r="C35" s="213" t="s">
        <v>5</v>
      </c>
      <c r="D35" s="214"/>
      <c r="E35" s="214"/>
      <c r="F35" s="214"/>
      <c r="G35" s="215"/>
      <c r="H35" s="216" t="s">
        <v>6</v>
      </c>
      <c r="I35" s="217"/>
      <c r="J35" s="217"/>
      <c r="K35" s="218"/>
      <c r="L35" s="5"/>
      <c r="M35" s="221" t="s">
        <v>7</v>
      </c>
      <c r="N35" s="222" t="s">
        <v>8</v>
      </c>
      <c r="O35" s="37"/>
    </row>
    <row r="36" spans="1:26" ht="24" customHeight="1">
      <c r="A36" s="244"/>
      <c r="B36" s="244"/>
      <c r="C36" s="2" t="s">
        <v>11</v>
      </c>
      <c r="D36" s="2" t="s">
        <v>12</v>
      </c>
      <c r="E36" s="2" t="s">
        <v>13</v>
      </c>
      <c r="F36" s="2" t="s">
        <v>14</v>
      </c>
      <c r="G36" s="2" t="s">
        <v>8</v>
      </c>
      <c r="H36" s="2" t="s">
        <v>12</v>
      </c>
      <c r="I36" s="2" t="s">
        <v>13</v>
      </c>
      <c r="J36" s="2" t="s">
        <v>14</v>
      </c>
      <c r="K36" s="82" t="s">
        <v>8</v>
      </c>
      <c r="L36" s="12" t="s">
        <v>15</v>
      </c>
      <c r="M36" s="221"/>
      <c r="N36" s="222"/>
      <c r="O36" s="37"/>
    </row>
    <row r="37" spans="1:26" ht="24" customHeight="1">
      <c r="A37" s="76">
        <v>1</v>
      </c>
      <c r="B37" s="31" t="s">
        <v>39</v>
      </c>
      <c r="C37" s="83">
        <v>16554</v>
      </c>
      <c r="D37" s="83">
        <v>16554</v>
      </c>
      <c r="E37" s="35">
        <f>D37-C37</f>
        <v>0</v>
      </c>
      <c r="F37" s="33">
        <v>0</v>
      </c>
      <c r="G37" s="78">
        <f t="shared" ref="G37:G38" si="15">IFERROR(F37/E37,0)</f>
        <v>0</v>
      </c>
      <c r="H37" s="83">
        <v>16554</v>
      </c>
      <c r="I37" s="56">
        <f>H37-D37</f>
        <v>0</v>
      </c>
      <c r="J37" s="33">
        <v>0</v>
      </c>
      <c r="K37" s="28">
        <f>IFERROR(J37/I37,0)</f>
        <v>0</v>
      </c>
      <c r="L37" s="84">
        <f t="shared" ref="L37:L38" si="16">E37+I37</f>
        <v>0</v>
      </c>
      <c r="M37" s="79">
        <f>F37+J37</f>
        <v>0</v>
      </c>
      <c r="N37" s="34">
        <f>IFERROR(M37/L37,0)</f>
        <v>0</v>
      </c>
      <c r="O37" s="37"/>
    </row>
    <row r="38" spans="1:26" ht="27" customHeight="1">
      <c r="A38" s="76">
        <v>2</v>
      </c>
      <c r="B38" s="31" t="s">
        <v>40</v>
      </c>
      <c r="C38" s="35">
        <v>4378</v>
      </c>
      <c r="D38" s="35">
        <v>4387.3999999999996</v>
      </c>
      <c r="E38" s="17">
        <f>D38-C38</f>
        <v>9.3999999999996362</v>
      </c>
      <c r="F38" s="33">
        <v>172</v>
      </c>
      <c r="G38" s="10">
        <f t="shared" si="15"/>
        <v>18.297872340426242</v>
      </c>
      <c r="H38" s="35">
        <v>4396.5</v>
      </c>
      <c r="I38" s="19">
        <f>H38-D38</f>
        <v>9.1000000000003638</v>
      </c>
      <c r="J38" s="33">
        <v>184</v>
      </c>
      <c r="K38" s="28">
        <f>IFERROR(J38/I38,0)</f>
        <v>20.219780219779413</v>
      </c>
      <c r="L38" s="18">
        <f t="shared" si="16"/>
        <v>18.5</v>
      </c>
      <c r="M38" s="22">
        <f>F38+J38</f>
        <v>356</v>
      </c>
      <c r="N38" s="23">
        <f>IFERROR(M38/L38,0)</f>
        <v>19.243243243243242</v>
      </c>
      <c r="O38" s="37"/>
      <c r="S38" s="51"/>
    </row>
    <row r="39" spans="1:26" ht="22.8" customHeight="1" thickBot="1">
      <c r="A39" s="196" t="s">
        <v>28</v>
      </c>
      <c r="B39" s="233"/>
      <c r="C39" s="68"/>
      <c r="D39" s="66"/>
      <c r="E39" s="67">
        <f>SUM(E37:E38)</f>
        <v>9.3999999999996362</v>
      </c>
      <c r="F39" s="67">
        <f>SUM(F37:F38:F38)</f>
        <v>172</v>
      </c>
      <c r="G39" s="68"/>
      <c r="H39" s="68"/>
      <c r="I39" s="67">
        <f>SUM(I37:I38)</f>
        <v>9.1000000000003638</v>
      </c>
      <c r="J39" s="67">
        <f>SUM(J37:J38)</f>
        <v>184</v>
      </c>
      <c r="K39" s="69">
        <f>SUM(K37:K38)</f>
        <v>20.219780219779413</v>
      </c>
      <c r="L39" s="70">
        <f>SUM(L37:L38)</f>
        <v>18.5</v>
      </c>
      <c r="M39" s="43">
        <f>SUM(M37:M38)</f>
        <v>356</v>
      </c>
      <c r="N39" s="71">
        <f>IFERROR(M39/K39,0)</f>
        <v>17.606521739131139</v>
      </c>
      <c r="O39" s="37"/>
      <c r="P39" s="72"/>
      <c r="S39" s="51"/>
    </row>
    <row r="40" spans="1:26" ht="24" customHeight="1">
      <c r="A40" s="225" t="s">
        <v>41</v>
      </c>
      <c r="B40" s="226"/>
      <c r="C40" s="226"/>
      <c r="D40" s="226"/>
      <c r="E40" s="226"/>
      <c r="F40" s="226"/>
      <c r="G40" s="226"/>
      <c r="H40" s="226"/>
      <c r="I40" s="226"/>
      <c r="J40" s="226"/>
      <c r="K40" s="226"/>
      <c r="L40" s="226"/>
      <c r="M40" s="46"/>
      <c r="N40" s="47"/>
      <c r="O40" s="61"/>
    </row>
    <row r="41" spans="1:26" ht="24" customHeight="1">
      <c r="A41" s="222" t="s">
        <v>3</v>
      </c>
      <c r="B41" s="222" t="s">
        <v>4</v>
      </c>
      <c r="C41" s="234" t="s">
        <v>5</v>
      </c>
      <c r="D41" s="234"/>
      <c r="E41" s="234"/>
      <c r="F41" s="234"/>
      <c r="G41" s="234"/>
      <c r="H41" s="235" t="s">
        <v>6</v>
      </c>
      <c r="I41" s="235"/>
      <c r="J41" s="235"/>
      <c r="K41" s="235"/>
      <c r="L41" s="5"/>
      <c r="M41" s="221" t="s">
        <v>7</v>
      </c>
      <c r="N41" s="222" t="s">
        <v>8</v>
      </c>
      <c r="O41" s="37"/>
    </row>
    <row r="42" spans="1:26" ht="25.8" customHeight="1">
      <c r="A42" s="222"/>
      <c r="B42" s="222"/>
      <c r="C42" s="2" t="s">
        <v>11</v>
      </c>
      <c r="D42" s="2" t="s">
        <v>12</v>
      </c>
      <c r="E42" s="2" t="s">
        <v>13</v>
      </c>
      <c r="F42" s="2" t="s">
        <v>14</v>
      </c>
      <c r="G42" s="2" t="s">
        <v>8</v>
      </c>
      <c r="H42" s="2" t="s">
        <v>12</v>
      </c>
      <c r="I42" s="2" t="s">
        <v>13</v>
      </c>
      <c r="J42" s="2" t="s">
        <v>14</v>
      </c>
      <c r="K42" s="82" t="s">
        <v>8</v>
      </c>
      <c r="L42" s="12" t="s">
        <v>15</v>
      </c>
      <c r="M42" s="221"/>
      <c r="N42" s="222"/>
      <c r="O42" s="37"/>
    </row>
    <row r="43" spans="1:26" ht="24.6" customHeight="1">
      <c r="A43" s="76">
        <v>1</v>
      </c>
      <c r="B43" s="85" t="s">
        <v>42</v>
      </c>
      <c r="C43" s="33">
        <v>8623.4</v>
      </c>
      <c r="D43" s="33">
        <v>8623.4</v>
      </c>
      <c r="E43" s="20">
        <f>D43-C43</f>
        <v>0</v>
      </c>
      <c r="F43" s="33">
        <v>0</v>
      </c>
      <c r="G43" s="10">
        <f t="shared" ref="G43:G44" si="17">IFERROR(F43/E43,0)</f>
        <v>0</v>
      </c>
      <c r="H43" s="33">
        <v>8631.5</v>
      </c>
      <c r="I43" s="86">
        <f>H43-D43</f>
        <v>8.1000000000003638</v>
      </c>
      <c r="J43" s="33">
        <v>326.49</v>
      </c>
      <c r="K43" s="28">
        <f>IFERROR(J43/I43,0)</f>
        <v>40.307407407405599</v>
      </c>
      <c r="L43" s="18">
        <f>E43+I43</f>
        <v>8.1000000000003638</v>
      </c>
      <c r="M43" s="22">
        <f>F43+J43</f>
        <v>326.49</v>
      </c>
      <c r="N43" s="23">
        <f>IFERROR(M43/L43,0)</f>
        <v>40.307407407405599</v>
      </c>
      <c r="O43" s="87"/>
      <c r="S43" s="51"/>
    </row>
    <row r="44" spans="1:26" ht="22.8" customHeight="1">
      <c r="A44" s="76">
        <v>2</v>
      </c>
      <c r="B44" s="85" t="s">
        <v>43</v>
      </c>
      <c r="C44" s="33">
        <v>1613</v>
      </c>
      <c r="D44" s="33">
        <v>1613</v>
      </c>
      <c r="E44" s="20">
        <f>D44-C44</f>
        <v>0</v>
      </c>
      <c r="F44" s="33">
        <v>0</v>
      </c>
      <c r="G44" s="10">
        <f t="shared" si="17"/>
        <v>0</v>
      </c>
      <c r="H44" s="33">
        <v>1620.6</v>
      </c>
      <c r="I44" s="86">
        <f>H44-D44</f>
        <v>7.5999999999999091</v>
      </c>
      <c r="J44" s="33">
        <v>285.74</v>
      </c>
      <c r="K44" s="28">
        <f>IFERROR(J44/I44,0)</f>
        <v>37.597368421053083</v>
      </c>
      <c r="L44" s="18">
        <f>E44+I44</f>
        <v>7.5999999999999091</v>
      </c>
      <c r="M44" s="22">
        <f t="shared" ref="M44" si="18">F44+J44</f>
        <v>285.74</v>
      </c>
      <c r="N44" s="23">
        <f>IFERROR(M44/L44,0)</f>
        <v>37.597368421053083</v>
      </c>
      <c r="O44" s="87"/>
      <c r="P44" s="88"/>
      <c r="Q44" s="89"/>
    </row>
    <row r="45" spans="1:26" ht="24" customHeight="1" thickBot="1">
      <c r="A45" s="223" t="s">
        <v>28</v>
      </c>
      <c r="B45" s="224"/>
      <c r="C45" s="90"/>
      <c r="D45" s="90"/>
      <c r="E45" s="91">
        <f>SUM(E43:E44)</f>
        <v>0</v>
      </c>
      <c r="F45" s="91">
        <f>SUM(F43:F44)</f>
        <v>0</v>
      </c>
      <c r="G45" s="92"/>
      <c r="H45" s="92"/>
      <c r="I45" s="91">
        <f>SUM(I43:I44)</f>
        <v>15.700000000000273</v>
      </c>
      <c r="J45" s="91">
        <f>SUM(J43:J44)</f>
        <v>612.23</v>
      </c>
      <c r="K45" s="93">
        <f>SUM(K43:K44)</f>
        <v>77.904775828458682</v>
      </c>
      <c r="L45" s="94">
        <f>SUM(L43:L44)</f>
        <v>15.700000000000273</v>
      </c>
      <c r="M45" s="95">
        <f>SUM(M43:M44)</f>
        <v>612.23</v>
      </c>
      <c r="N45" s="96">
        <f>M45/L45</f>
        <v>38.995541401273208</v>
      </c>
      <c r="O45" s="37"/>
      <c r="P45" s="97"/>
      <c r="Q45" s="89"/>
    </row>
    <row r="46" spans="1:26" ht="24" customHeight="1">
      <c r="A46" s="225" t="s">
        <v>44</v>
      </c>
      <c r="B46" s="226"/>
      <c r="C46" s="226"/>
      <c r="D46" s="226"/>
      <c r="E46" s="226"/>
      <c r="F46" s="226"/>
      <c r="G46" s="226"/>
      <c r="H46" s="226"/>
      <c r="I46" s="226"/>
      <c r="J46" s="226"/>
      <c r="K46" s="226"/>
      <c r="L46" s="226"/>
      <c r="M46" s="98"/>
      <c r="N46" s="99"/>
      <c r="O46" s="37"/>
      <c r="P46" s="100"/>
      <c r="Q46" s="100"/>
    </row>
    <row r="47" spans="1:26" ht="24" customHeight="1">
      <c r="A47" s="222" t="s">
        <v>3</v>
      </c>
      <c r="B47" s="222" t="s">
        <v>4</v>
      </c>
      <c r="C47" s="227" t="s">
        <v>5</v>
      </c>
      <c r="D47" s="228"/>
      <c r="E47" s="228"/>
      <c r="F47" s="228"/>
      <c r="G47" s="228"/>
      <c r="H47" s="229"/>
      <c r="I47" s="230" t="s">
        <v>6</v>
      </c>
      <c r="J47" s="231"/>
      <c r="K47" s="231"/>
      <c r="L47" s="231"/>
      <c r="M47" s="231"/>
      <c r="N47" s="232"/>
      <c r="O47" s="201" t="s">
        <v>45</v>
      </c>
      <c r="P47" s="203" t="s">
        <v>46</v>
      </c>
      <c r="Q47" s="203" t="s">
        <v>47</v>
      </c>
      <c r="R47" s="205" t="s">
        <v>48</v>
      </c>
      <c r="Z47" s="101"/>
    </row>
    <row r="48" spans="1:26" ht="33" customHeight="1">
      <c r="A48" s="222"/>
      <c r="B48" s="222"/>
      <c r="C48" s="2" t="s">
        <v>49</v>
      </c>
      <c r="D48" s="2" t="s">
        <v>50</v>
      </c>
      <c r="E48" s="2" t="s">
        <v>51</v>
      </c>
      <c r="F48" s="102" t="s">
        <v>11</v>
      </c>
      <c r="G48" s="2" t="s">
        <v>14</v>
      </c>
      <c r="H48" s="2" t="s">
        <v>8</v>
      </c>
      <c r="I48" s="2" t="s">
        <v>50</v>
      </c>
      <c r="J48" s="2" t="s">
        <v>45</v>
      </c>
      <c r="K48" s="102" t="s">
        <v>12</v>
      </c>
      <c r="L48" s="102" t="s">
        <v>15</v>
      </c>
      <c r="M48" s="2" t="s">
        <v>14</v>
      </c>
      <c r="N48" s="82" t="s">
        <v>8</v>
      </c>
      <c r="O48" s="202"/>
      <c r="P48" s="204"/>
      <c r="Q48" s="204"/>
      <c r="R48" s="205"/>
    </row>
    <row r="49" spans="1:27" ht="21" customHeight="1">
      <c r="A49" s="81">
        <v>1</v>
      </c>
      <c r="B49" s="103" t="s">
        <v>52</v>
      </c>
      <c r="C49" s="2">
        <v>279081.5</v>
      </c>
      <c r="D49" s="2">
        <v>279098.09999999998</v>
      </c>
      <c r="E49" s="104">
        <f t="shared" ref="E49:E114" si="19">D49-C49</f>
        <v>16.599999999976717</v>
      </c>
      <c r="F49" s="105">
        <v>22090.49</v>
      </c>
      <c r="G49" s="49">
        <v>51</v>
      </c>
      <c r="H49" s="10">
        <f t="shared" ref="H49:H114" si="20">IFERROR(E49/G49,0)</f>
        <v>0.32549019607797486</v>
      </c>
      <c r="I49" s="2">
        <v>279183.2</v>
      </c>
      <c r="J49" s="106">
        <f t="shared" ref="J49:J114" si="21">I49-D49</f>
        <v>85.100000000034925</v>
      </c>
      <c r="K49" s="105">
        <v>22098.27</v>
      </c>
      <c r="L49" s="107">
        <f t="shared" ref="L49:L114" si="22">K49-F49</f>
        <v>7.7799999999988358</v>
      </c>
      <c r="M49" s="2">
        <v>122</v>
      </c>
      <c r="N49" s="28">
        <f t="shared" ref="N49:N114" si="23">IFERROR(J49/M49,0)</f>
        <v>0.69754098360684369</v>
      </c>
      <c r="O49" s="84">
        <f t="shared" ref="O49:O114" si="24">J49+E49</f>
        <v>101.70000000001164</v>
      </c>
      <c r="P49" s="79">
        <f t="shared" ref="P49:P114" si="25">G49+M49</f>
        <v>173</v>
      </c>
      <c r="Q49" s="34">
        <f t="shared" ref="Q49:Q114" si="26">IFERROR(O49/P49,0)</f>
        <v>0.58786127167636792</v>
      </c>
      <c r="R49" s="108">
        <v>11</v>
      </c>
    </row>
    <row r="50" spans="1:27" ht="21" customHeight="1">
      <c r="A50" s="81">
        <v>2</v>
      </c>
      <c r="B50" s="103" t="s">
        <v>155</v>
      </c>
      <c r="C50" s="2">
        <v>301363</v>
      </c>
      <c r="D50" s="2">
        <v>301549</v>
      </c>
      <c r="E50" s="104">
        <f t="shared" si="19"/>
        <v>186</v>
      </c>
      <c r="F50" s="105">
        <v>30468</v>
      </c>
      <c r="G50" s="49">
        <v>258.51</v>
      </c>
      <c r="H50" s="10">
        <f t="shared" si="20"/>
        <v>0.71950794940234419</v>
      </c>
      <c r="I50" s="2">
        <v>301703</v>
      </c>
      <c r="J50" s="106">
        <f t="shared" si="21"/>
        <v>154</v>
      </c>
      <c r="K50" s="105">
        <v>30490</v>
      </c>
      <c r="L50" s="107">
        <f t="shared" si="22"/>
        <v>22</v>
      </c>
      <c r="M50" s="2">
        <v>243</v>
      </c>
      <c r="N50" s="28">
        <f t="shared" si="23"/>
        <v>0.63374485596707819</v>
      </c>
      <c r="O50" s="84">
        <f t="shared" si="24"/>
        <v>340</v>
      </c>
      <c r="P50" s="79">
        <f t="shared" si="25"/>
        <v>501.51</v>
      </c>
      <c r="Q50" s="34">
        <f t="shared" si="26"/>
        <v>0.67795258319873986</v>
      </c>
      <c r="R50" s="108">
        <v>41</v>
      </c>
    </row>
    <row r="51" spans="1:27" ht="21" customHeight="1">
      <c r="A51" s="81">
        <v>3</v>
      </c>
      <c r="B51" s="103" t="s">
        <v>171</v>
      </c>
      <c r="C51" s="2">
        <v>310778</v>
      </c>
      <c r="D51" s="2">
        <v>310926</v>
      </c>
      <c r="E51" s="104">
        <f t="shared" si="19"/>
        <v>148</v>
      </c>
      <c r="F51" s="105">
        <v>31051</v>
      </c>
      <c r="G51" s="49">
        <v>235</v>
      </c>
      <c r="H51" s="10">
        <f t="shared" si="20"/>
        <v>0.62978723404255321</v>
      </c>
      <c r="I51" s="2">
        <v>311013</v>
      </c>
      <c r="J51" s="106">
        <f t="shared" si="21"/>
        <v>87</v>
      </c>
      <c r="K51" s="105">
        <v>31068</v>
      </c>
      <c r="L51" s="107">
        <f t="shared" si="22"/>
        <v>17</v>
      </c>
      <c r="M51" s="2">
        <v>120</v>
      </c>
      <c r="N51" s="28">
        <f t="shared" si="23"/>
        <v>0.72499999999999998</v>
      </c>
      <c r="O51" s="84">
        <f t="shared" si="24"/>
        <v>235</v>
      </c>
      <c r="P51" s="79">
        <f t="shared" si="25"/>
        <v>355</v>
      </c>
      <c r="Q51" s="34">
        <f t="shared" si="26"/>
        <v>0.6619718309859155</v>
      </c>
      <c r="R51" s="108">
        <v>20</v>
      </c>
    </row>
    <row r="52" spans="1:27" ht="21" customHeight="1">
      <c r="A52" s="81">
        <v>4</v>
      </c>
      <c r="B52" s="103" t="s">
        <v>156</v>
      </c>
      <c r="C52" s="2">
        <v>261295</v>
      </c>
      <c r="D52" s="2">
        <v>261452</v>
      </c>
      <c r="E52" s="104">
        <f t="shared" si="19"/>
        <v>157</v>
      </c>
      <c r="F52" s="105">
        <v>27710</v>
      </c>
      <c r="G52" s="49">
        <v>237</v>
      </c>
      <c r="H52" s="10">
        <f t="shared" si="20"/>
        <v>0.66244725738396626</v>
      </c>
      <c r="I52" s="2">
        <v>261612</v>
      </c>
      <c r="J52" s="106">
        <f t="shared" si="21"/>
        <v>160</v>
      </c>
      <c r="K52" s="105">
        <v>27735</v>
      </c>
      <c r="L52" s="107">
        <f t="shared" si="22"/>
        <v>25</v>
      </c>
      <c r="M52" s="2">
        <v>226</v>
      </c>
      <c r="N52" s="28">
        <f t="shared" si="23"/>
        <v>0.70796460176991149</v>
      </c>
      <c r="O52" s="84">
        <f t="shared" si="24"/>
        <v>317</v>
      </c>
      <c r="P52" s="79">
        <f t="shared" si="25"/>
        <v>463</v>
      </c>
      <c r="Q52" s="34">
        <f t="shared" si="26"/>
        <v>0.68466522678185748</v>
      </c>
      <c r="R52" s="108">
        <v>50</v>
      </c>
    </row>
    <row r="53" spans="1:27" ht="21" customHeight="1">
      <c r="A53" s="81">
        <v>5</v>
      </c>
      <c r="B53" s="103" t="s">
        <v>157</v>
      </c>
      <c r="C53" s="2">
        <v>276441</v>
      </c>
      <c r="D53" s="2">
        <v>276573</v>
      </c>
      <c r="E53" s="104">
        <f t="shared" si="19"/>
        <v>132</v>
      </c>
      <c r="F53" s="105">
        <v>28058</v>
      </c>
      <c r="G53" s="49">
        <v>233.81</v>
      </c>
      <c r="H53" s="10">
        <f t="shared" si="20"/>
        <v>0.56456096830760016</v>
      </c>
      <c r="I53" s="2">
        <v>276700</v>
      </c>
      <c r="J53" s="106">
        <f t="shared" si="21"/>
        <v>127</v>
      </c>
      <c r="K53" s="105">
        <v>28077</v>
      </c>
      <c r="L53" s="107">
        <f t="shared" si="22"/>
        <v>19</v>
      </c>
      <c r="M53" s="2">
        <v>209</v>
      </c>
      <c r="N53" s="28">
        <f t="shared" si="23"/>
        <v>0.60765550239234445</v>
      </c>
      <c r="O53" s="84">
        <f t="shared" si="24"/>
        <v>259</v>
      </c>
      <c r="P53" s="79">
        <f t="shared" si="25"/>
        <v>442.81</v>
      </c>
      <c r="Q53" s="34">
        <f t="shared" si="26"/>
        <v>0.58490097332941893</v>
      </c>
      <c r="R53" s="108">
        <v>39</v>
      </c>
    </row>
    <row r="54" spans="1:27" ht="21" customHeight="1">
      <c r="A54" s="81">
        <v>6</v>
      </c>
      <c r="B54" s="103" t="s">
        <v>172</v>
      </c>
      <c r="C54" s="2">
        <v>266608</v>
      </c>
      <c r="D54" s="2">
        <v>266608</v>
      </c>
      <c r="E54" s="104">
        <f t="shared" si="19"/>
        <v>0</v>
      </c>
      <c r="F54" s="105">
        <v>26393</v>
      </c>
      <c r="G54" s="49">
        <v>0</v>
      </c>
      <c r="H54" s="10">
        <f t="shared" si="20"/>
        <v>0</v>
      </c>
      <c r="I54" s="2">
        <v>266608</v>
      </c>
      <c r="J54" s="106">
        <f t="shared" si="21"/>
        <v>0</v>
      </c>
      <c r="K54" s="105">
        <v>26393</v>
      </c>
      <c r="L54" s="107">
        <f t="shared" si="22"/>
        <v>0</v>
      </c>
      <c r="M54" s="2">
        <v>0</v>
      </c>
      <c r="N54" s="28">
        <f t="shared" si="23"/>
        <v>0</v>
      </c>
      <c r="O54" s="84">
        <f t="shared" si="24"/>
        <v>0</v>
      </c>
      <c r="P54" s="79">
        <f t="shared" si="25"/>
        <v>0</v>
      </c>
      <c r="Q54" s="34">
        <f t="shared" si="26"/>
        <v>0</v>
      </c>
      <c r="R54" s="108">
        <v>0</v>
      </c>
    </row>
    <row r="55" spans="1:27" ht="21" customHeight="1">
      <c r="A55" s="81">
        <v>7</v>
      </c>
      <c r="B55" s="103" t="s">
        <v>173</v>
      </c>
      <c r="C55" s="2">
        <v>295692</v>
      </c>
      <c r="D55" s="2">
        <v>295692</v>
      </c>
      <c r="E55" s="104">
        <f t="shared" si="19"/>
        <v>0</v>
      </c>
      <c r="F55" s="105">
        <v>28768</v>
      </c>
      <c r="G55" s="49">
        <v>0</v>
      </c>
      <c r="H55" s="10">
        <f t="shared" si="20"/>
        <v>0</v>
      </c>
      <c r="I55" s="2">
        <v>295692</v>
      </c>
      <c r="J55" s="106">
        <f t="shared" si="21"/>
        <v>0</v>
      </c>
      <c r="K55" s="105">
        <v>28768</v>
      </c>
      <c r="L55" s="107">
        <f t="shared" si="22"/>
        <v>0</v>
      </c>
      <c r="M55" s="2">
        <v>0</v>
      </c>
      <c r="N55" s="28">
        <f t="shared" si="23"/>
        <v>0</v>
      </c>
      <c r="O55" s="84">
        <f t="shared" si="24"/>
        <v>0</v>
      </c>
      <c r="P55" s="79">
        <f t="shared" si="25"/>
        <v>0</v>
      </c>
      <c r="Q55" s="34">
        <f t="shared" si="26"/>
        <v>0</v>
      </c>
      <c r="R55" s="108">
        <v>0</v>
      </c>
    </row>
    <row r="56" spans="1:27" ht="24" customHeight="1">
      <c r="A56" s="81">
        <v>8</v>
      </c>
      <c r="B56" s="31" t="s">
        <v>53</v>
      </c>
      <c r="C56" s="35">
        <v>334306.5</v>
      </c>
      <c r="D56" s="35">
        <v>334306.5</v>
      </c>
      <c r="E56" s="104">
        <f t="shared" si="19"/>
        <v>0</v>
      </c>
      <c r="F56" s="110">
        <v>29835</v>
      </c>
      <c r="G56" s="111">
        <v>0</v>
      </c>
      <c r="H56" s="10">
        <f t="shared" si="20"/>
        <v>0</v>
      </c>
      <c r="I56" s="35">
        <v>334306.5</v>
      </c>
      <c r="J56" s="106">
        <f t="shared" si="21"/>
        <v>0</v>
      </c>
      <c r="K56" s="110">
        <v>29835</v>
      </c>
      <c r="L56" s="107">
        <f t="shared" si="22"/>
        <v>0</v>
      </c>
      <c r="M56" s="112">
        <v>0</v>
      </c>
      <c r="N56" s="28">
        <f t="shared" si="23"/>
        <v>0</v>
      </c>
      <c r="O56" s="84">
        <f t="shared" si="24"/>
        <v>0</v>
      </c>
      <c r="P56" s="79">
        <f t="shared" si="25"/>
        <v>0</v>
      </c>
      <c r="Q56" s="34">
        <f t="shared" si="26"/>
        <v>0</v>
      </c>
      <c r="R56" s="1">
        <v>0</v>
      </c>
    </row>
    <row r="57" spans="1:27" ht="24" customHeight="1">
      <c r="A57" s="81">
        <v>9</v>
      </c>
      <c r="B57" s="31" t="s">
        <v>54</v>
      </c>
      <c r="C57" s="104">
        <v>292479.59999999998</v>
      </c>
      <c r="D57" s="104">
        <v>292601.5</v>
      </c>
      <c r="E57" s="104">
        <f t="shared" si="19"/>
        <v>121.90000000002328</v>
      </c>
      <c r="F57" s="110">
        <v>28024.31</v>
      </c>
      <c r="G57" s="111">
        <v>196</v>
      </c>
      <c r="H57" s="10">
        <f t="shared" si="20"/>
        <v>0.62193877551032284</v>
      </c>
      <c r="I57" s="104">
        <v>292736.7</v>
      </c>
      <c r="J57" s="106">
        <f>I57-D57</f>
        <v>135.20000000001164</v>
      </c>
      <c r="K57" s="110">
        <v>28042.21</v>
      </c>
      <c r="L57" s="107">
        <f t="shared" si="22"/>
        <v>17.899999999997817</v>
      </c>
      <c r="M57" s="111">
        <v>194</v>
      </c>
      <c r="N57" s="28">
        <f t="shared" si="23"/>
        <v>0.69690721649490539</v>
      </c>
      <c r="O57" s="84">
        <f t="shared" si="24"/>
        <v>257.10000000003492</v>
      </c>
      <c r="P57" s="79">
        <f t="shared" si="25"/>
        <v>390</v>
      </c>
      <c r="Q57" s="34">
        <f t="shared" si="26"/>
        <v>0.65923076923085877</v>
      </c>
      <c r="R57" s="1">
        <v>37</v>
      </c>
      <c r="AA57" s="101"/>
    </row>
    <row r="58" spans="1:27" ht="24" customHeight="1">
      <c r="A58" s="81">
        <v>10</v>
      </c>
      <c r="B58" s="31" t="s">
        <v>55</v>
      </c>
      <c r="C58" s="104">
        <v>298907.40000000002</v>
      </c>
      <c r="D58" s="104">
        <v>298907.40000000002</v>
      </c>
      <c r="E58" s="104">
        <f t="shared" si="19"/>
        <v>0</v>
      </c>
      <c r="F58" s="110">
        <v>27086</v>
      </c>
      <c r="G58" s="111">
        <v>0</v>
      </c>
      <c r="H58" s="10">
        <f t="shared" si="20"/>
        <v>0</v>
      </c>
      <c r="I58" s="104">
        <v>298907.40000000002</v>
      </c>
      <c r="J58" s="106">
        <f>I58-D58</f>
        <v>0</v>
      </c>
      <c r="K58" s="110">
        <v>27086</v>
      </c>
      <c r="L58" s="107">
        <f t="shared" si="22"/>
        <v>0</v>
      </c>
      <c r="M58" s="111">
        <v>0</v>
      </c>
      <c r="N58" s="28">
        <f t="shared" si="23"/>
        <v>0</v>
      </c>
      <c r="O58" s="84">
        <f t="shared" si="24"/>
        <v>0</v>
      </c>
      <c r="P58" s="79">
        <f t="shared" si="25"/>
        <v>0</v>
      </c>
      <c r="Q58" s="34">
        <f t="shared" si="26"/>
        <v>0</v>
      </c>
      <c r="R58" s="1">
        <v>0</v>
      </c>
      <c r="AA58" s="101"/>
    </row>
    <row r="59" spans="1:27" ht="24" customHeight="1">
      <c r="A59" s="81">
        <v>11</v>
      </c>
      <c r="B59" s="31" t="s">
        <v>56</v>
      </c>
      <c r="C59" s="104">
        <v>340604.5</v>
      </c>
      <c r="D59" s="104">
        <v>340748.2</v>
      </c>
      <c r="E59" s="104">
        <f t="shared" si="19"/>
        <v>143.70000000001164</v>
      </c>
      <c r="F59" s="110">
        <v>26901.42</v>
      </c>
      <c r="G59" s="111">
        <v>197.52</v>
      </c>
      <c r="H59" s="10">
        <f t="shared" si="20"/>
        <v>0.72752126366956071</v>
      </c>
      <c r="I59" s="104">
        <v>340835.5</v>
      </c>
      <c r="J59" s="106">
        <f>I59-D59</f>
        <v>87.299999999988358</v>
      </c>
      <c r="K59" s="110">
        <v>26920.51</v>
      </c>
      <c r="L59" s="107">
        <f t="shared" si="22"/>
        <v>19.090000000000146</v>
      </c>
      <c r="M59" s="111">
        <v>153</v>
      </c>
      <c r="N59" s="28">
        <f t="shared" si="23"/>
        <v>0.57058823529404157</v>
      </c>
      <c r="O59" s="84">
        <f t="shared" si="24"/>
        <v>231</v>
      </c>
      <c r="P59" s="79">
        <f t="shared" si="25"/>
        <v>350.52</v>
      </c>
      <c r="Q59" s="34">
        <f t="shared" si="26"/>
        <v>0.65902088325915786</v>
      </c>
      <c r="R59" s="1">
        <v>18</v>
      </c>
      <c r="AA59" s="101"/>
    </row>
    <row r="60" spans="1:27" ht="24" customHeight="1">
      <c r="A60" s="81">
        <v>12</v>
      </c>
      <c r="B60" s="31" t="s">
        <v>57</v>
      </c>
      <c r="C60" s="104">
        <v>343527.7</v>
      </c>
      <c r="D60" s="104">
        <v>343683.5</v>
      </c>
      <c r="E60" s="104">
        <f t="shared" si="19"/>
        <v>155.79999999998836</v>
      </c>
      <c r="F60" s="110">
        <v>26717</v>
      </c>
      <c r="G60" s="111">
        <v>201</v>
      </c>
      <c r="H60" s="10">
        <f t="shared" si="20"/>
        <v>0.77512437810939483</v>
      </c>
      <c r="I60" s="104">
        <v>343683.5</v>
      </c>
      <c r="J60" s="106">
        <f>I60-D60</f>
        <v>0</v>
      </c>
      <c r="K60" s="110">
        <v>26729.39</v>
      </c>
      <c r="L60" s="107">
        <f t="shared" si="22"/>
        <v>12.389999999999418</v>
      </c>
      <c r="M60" s="111">
        <v>0</v>
      </c>
      <c r="N60" s="28">
        <f t="shared" si="23"/>
        <v>0</v>
      </c>
      <c r="O60" s="84">
        <f t="shared" si="24"/>
        <v>155.79999999998836</v>
      </c>
      <c r="P60" s="79">
        <f t="shared" si="25"/>
        <v>201</v>
      </c>
      <c r="Q60" s="34">
        <f t="shared" si="26"/>
        <v>0.77512437810939483</v>
      </c>
      <c r="R60" s="1">
        <v>22</v>
      </c>
      <c r="AA60" s="101"/>
    </row>
    <row r="61" spans="1:27" ht="24" customHeight="1">
      <c r="A61" s="81">
        <v>13</v>
      </c>
      <c r="B61" s="31" t="s">
        <v>58</v>
      </c>
      <c r="C61" s="35">
        <v>300261.2</v>
      </c>
      <c r="D61" s="35">
        <v>300357.40000000002</v>
      </c>
      <c r="E61" s="104">
        <f t="shared" si="19"/>
        <v>96.200000000011642</v>
      </c>
      <c r="F61" s="110">
        <v>26682.57</v>
      </c>
      <c r="G61" s="111">
        <v>166</v>
      </c>
      <c r="H61" s="10">
        <f t="shared" si="20"/>
        <v>0.5795180722892268</v>
      </c>
      <c r="I61" s="35">
        <v>300428.2</v>
      </c>
      <c r="J61" s="106">
        <f t="shared" si="21"/>
        <v>70.799999999988358</v>
      </c>
      <c r="K61" s="110">
        <v>26696.35</v>
      </c>
      <c r="L61" s="107">
        <f t="shared" si="22"/>
        <v>13.779999999998836</v>
      </c>
      <c r="M61" s="112">
        <v>128</v>
      </c>
      <c r="N61" s="28">
        <f>IFERROR(J61/M61,0)</f>
        <v>0.55312499999990905</v>
      </c>
      <c r="O61" s="84">
        <f t="shared" si="24"/>
        <v>167</v>
      </c>
      <c r="P61" s="79">
        <f t="shared" si="25"/>
        <v>294</v>
      </c>
      <c r="Q61" s="34">
        <f t="shared" si="26"/>
        <v>0.56802721088435371</v>
      </c>
      <c r="R61" s="1">
        <v>41</v>
      </c>
      <c r="U61" s="113"/>
    </row>
    <row r="62" spans="1:27" ht="24" customHeight="1">
      <c r="A62" s="81">
        <v>14</v>
      </c>
      <c r="B62" s="31" t="s">
        <v>59</v>
      </c>
      <c r="C62" s="35">
        <v>272390.5</v>
      </c>
      <c r="D62" s="35">
        <v>272521.90000000002</v>
      </c>
      <c r="E62" s="104">
        <f t="shared" si="19"/>
        <v>131.40000000002328</v>
      </c>
      <c r="F62" s="110">
        <v>25458</v>
      </c>
      <c r="G62" s="111">
        <v>208</v>
      </c>
      <c r="H62" s="10">
        <f t="shared" si="20"/>
        <v>0.63173076923088112</v>
      </c>
      <c r="I62" s="35">
        <v>272621.2</v>
      </c>
      <c r="J62" s="106">
        <f>I62-D62</f>
        <v>99.299999999988358</v>
      </c>
      <c r="K62" s="110">
        <v>25476.49</v>
      </c>
      <c r="L62" s="107">
        <f t="shared" si="22"/>
        <v>18.490000000001601</v>
      </c>
      <c r="M62" s="111">
        <v>173</v>
      </c>
      <c r="N62" s="28">
        <f>IFERROR(J62/M62,0)</f>
        <v>0.57398843930629107</v>
      </c>
      <c r="O62" s="84">
        <f t="shared" si="24"/>
        <v>230.70000000001164</v>
      </c>
      <c r="P62" s="79">
        <f t="shared" si="25"/>
        <v>381</v>
      </c>
      <c r="Q62" s="34">
        <f t="shared" si="26"/>
        <v>0.60551181102365259</v>
      </c>
      <c r="R62" s="1">
        <v>24</v>
      </c>
      <c r="X62" t="s">
        <v>60</v>
      </c>
    </row>
    <row r="63" spans="1:27" ht="24" customHeight="1">
      <c r="A63" s="81">
        <v>15</v>
      </c>
      <c r="B63" s="31" t="s">
        <v>61</v>
      </c>
      <c r="C63" s="104">
        <v>285605.7</v>
      </c>
      <c r="D63" s="104">
        <v>285758.3</v>
      </c>
      <c r="E63" s="104">
        <f t="shared" si="19"/>
        <v>152.59999999997672</v>
      </c>
      <c r="F63" s="110">
        <v>26650</v>
      </c>
      <c r="G63" s="111">
        <v>241</v>
      </c>
      <c r="H63" s="10">
        <f t="shared" si="20"/>
        <v>0.63319502074679135</v>
      </c>
      <c r="I63" s="104">
        <v>285887.7</v>
      </c>
      <c r="J63" s="106">
        <f>I63-D63</f>
        <v>129.40000000002328</v>
      </c>
      <c r="K63" s="110">
        <v>26673.11</v>
      </c>
      <c r="L63" s="107">
        <f t="shared" si="22"/>
        <v>23.110000000000582</v>
      </c>
      <c r="M63" s="112">
        <v>256</v>
      </c>
      <c r="N63" s="28">
        <f t="shared" si="23"/>
        <v>0.50546875000009095</v>
      </c>
      <c r="O63" s="84">
        <f t="shared" si="24"/>
        <v>282</v>
      </c>
      <c r="P63" s="79">
        <f t="shared" si="25"/>
        <v>497</v>
      </c>
      <c r="Q63" s="34">
        <f t="shared" si="26"/>
        <v>0.56740442655935619</v>
      </c>
      <c r="R63" s="1">
        <v>23</v>
      </c>
    </row>
    <row r="64" spans="1:27" ht="24" customHeight="1">
      <c r="A64" s="81">
        <v>16</v>
      </c>
      <c r="B64" s="31" t="s">
        <v>62</v>
      </c>
      <c r="C64" s="35">
        <v>303701.40000000002</v>
      </c>
      <c r="D64" s="35">
        <v>303801.3</v>
      </c>
      <c r="E64" s="104">
        <f t="shared" si="19"/>
        <v>99.899999999965075</v>
      </c>
      <c r="F64" s="110">
        <v>27323.56</v>
      </c>
      <c r="G64" s="111">
        <v>172.24</v>
      </c>
      <c r="H64" s="10">
        <f t="shared" si="20"/>
        <v>0.58000464468163648</v>
      </c>
      <c r="I64" s="35">
        <v>303927.5</v>
      </c>
      <c r="J64" s="106">
        <f t="shared" si="21"/>
        <v>126.20000000001164</v>
      </c>
      <c r="K64" s="110">
        <v>27342.44</v>
      </c>
      <c r="L64" s="107">
        <f t="shared" si="22"/>
        <v>18.879999999997381</v>
      </c>
      <c r="M64" s="112">
        <v>242</v>
      </c>
      <c r="N64" s="28">
        <f t="shared" si="23"/>
        <v>0.52148760330583321</v>
      </c>
      <c r="O64" s="84">
        <f t="shared" si="24"/>
        <v>226.09999999997672</v>
      </c>
      <c r="P64" s="79">
        <f t="shared" si="25"/>
        <v>414.24</v>
      </c>
      <c r="Q64" s="34">
        <f t="shared" si="26"/>
        <v>0.54581884897638255</v>
      </c>
      <c r="R64" s="1">
        <v>33</v>
      </c>
    </row>
    <row r="65" spans="1:18" ht="24" customHeight="1">
      <c r="A65" s="81">
        <v>17</v>
      </c>
      <c r="B65" s="31" t="s">
        <v>158</v>
      </c>
      <c r="C65" s="17">
        <v>275150</v>
      </c>
      <c r="D65" s="17">
        <v>275218</v>
      </c>
      <c r="E65" s="104">
        <f t="shared" si="19"/>
        <v>68</v>
      </c>
      <c r="F65" s="110">
        <v>25090</v>
      </c>
      <c r="G65" s="111">
        <v>111</v>
      </c>
      <c r="H65" s="10">
        <f t="shared" si="20"/>
        <v>0.61261261261261257</v>
      </c>
      <c r="I65" s="17">
        <v>275218</v>
      </c>
      <c r="J65" s="106">
        <f t="shared" si="21"/>
        <v>0</v>
      </c>
      <c r="K65" s="110">
        <v>25096</v>
      </c>
      <c r="L65" s="107">
        <f t="shared" si="22"/>
        <v>6</v>
      </c>
      <c r="M65" s="111">
        <v>0</v>
      </c>
      <c r="N65" s="28">
        <f t="shared" si="23"/>
        <v>0</v>
      </c>
      <c r="O65" s="84">
        <f t="shared" si="24"/>
        <v>68</v>
      </c>
      <c r="P65" s="79">
        <f t="shared" si="25"/>
        <v>111</v>
      </c>
      <c r="Q65" s="34">
        <f t="shared" si="26"/>
        <v>0.61261261261261257</v>
      </c>
      <c r="R65" s="1">
        <v>0</v>
      </c>
    </row>
    <row r="66" spans="1:18" ht="24" customHeight="1">
      <c r="A66" s="81">
        <v>18</v>
      </c>
      <c r="B66" s="31" t="s">
        <v>159</v>
      </c>
      <c r="C66" s="17">
        <v>278485</v>
      </c>
      <c r="D66" s="17">
        <v>278626</v>
      </c>
      <c r="E66" s="104">
        <f t="shared" si="19"/>
        <v>141</v>
      </c>
      <c r="F66" s="110">
        <v>25950</v>
      </c>
      <c r="G66" s="111">
        <v>216</v>
      </c>
      <c r="H66" s="10">
        <f t="shared" si="20"/>
        <v>0.65277777777777779</v>
      </c>
      <c r="I66" s="17">
        <v>278626</v>
      </c>
      <c r="J66" s="106">
        <f t="shared" si="21"/>
        <v>0</v>
      </c>
      <c r="K66" s="110">
        <v>25963</v>
      </c>
      <c r="L66" s="107">
        <f t="shared" si="22"/>
        <v>13</v>
      </c>
      <c r="M66" s="111">
        <v>0</v>
      </c>
      <c r="N66" s="28">
        <f t="shared" si="23"/>
        <v>0</v>
      </c>
      <c r="O66" s="84">
        <f t="shared" si="24"/>
        <v>141</v>
      </c>
      <c r="P66" s="79">
        <f t="shared" si="25"/>
        <v>216</v>
      </c>
      <c r="Q66" s="34">
        <f t="shared" si="26"/>
        <v>0.65277777777777779</v>
      </c>
      <c r="R66" s="1">
        <v>13</v>
      </c>
    </row>
    <row r="67" spans="1:18" ht="24" customHeight="1">
      <c r="A67" s="81">
        <v>19</v>
      </c>
      <c r="B67" s="31" t="s">
        <v>160</v>
      </c>
      <c r="C67" s="17">
        <v>305329</v>
      </c>
      <c r="D67" s="17">
        <v>305329</v>
      </c>
      <c r="E67" s="104">
        <f t="shared" si="19"/>
        <v>0</v>
      </c>
      <c r="F67" s="110">
        <v>25121</v>
      </c>
      <c r="G67" s="111">
        <v>0</v>
      </c>
      <c r="H67" s="10">
        <f t="shared" si="20"/>
        <v>0</v>
      </c>
      <c r="I67" s="17">
        <v>305401</v>
      </c>
      <c r="J67" s="106">
        <f t="shared" si="21"/>
        <v>72</v>
      </c>
      <c r="K67" s="110">
        <v>25127</v>
      </c>
      <c r="L67" s="107">
        <f t="shared" si="22"/>
        <v>6</v>
      </c>
      <c r="M67" s="111">
        <v>128</v>
      </c>
      <c r="N67" s="28">
        <f t="shared" si="23"/>
        <v>0.5625</v>
      </c>
      <c r="O67" s="84">
        <f t="shared" si="24"/>
        <v>72</v>
      </c>
      <c r="P67" s="79">
        <f t="shared" si="25"/>
        <v>128</v>
      </c>
      <c r="Q67" s="34">
        <f t="shared" si="26"/>
        <v>0.5625</v>
      </c>
      <c r="R67" s="1">
        <v>0</v>
      </c>
    </row>
    <row r="68" spans="1:18" ht="24" customHeight="1">
      <c r="A68" s="81">
        <v>20</v>
      </c>
      <c r="B68" s="31" t="s">
        <v>161</v>
      </c>
      <c r="C68" s="17">
        <v>304327</v>
      </c>
      <c r="D68" s="17">
        <v>304473</v>
      </c>
      <c r="E68" s="104">
        <f t="shared" si="19"/>
        <v>146</v>
      </c>
      <c r="F68" s="110">
        <v>25423</v>
      </c>
      <c r="G68" s="116">
        <v>215</v>
      </c>
      <c r="H68" s="10">
        <f t="shared" si="20"/>
        <v>0.67906976744186043</v>
      </c>
      <c r="I68" s="17">
        <v>304620</v>
      </c>
      <c r="J68" s="106">
        <f t="shared" si="21"/>
        <v>147</v>
      </c>
      <c r="K68" s="110">
        <v>25444</v>
      </c>
      <c r="L68" s="107">
        <f t="shared" si="22"/>
        <v>21</v>
      </c>
      <c r="M68" s="111">
        <v>217</v>
      </c>
      <c r="N68" s="28">
        <f t="shared" si="23"/>
        <v>0.67741935483870963</v>
      </c>
      <c r="O68" s="84">
        <f t="shared" si="24"/>
        <v>293</v>
      </c>
      <c r="P68" s="79">
        <f t="shared" si="25"/>
        <v>432</v>
      </c>
      <c r="Q68" s="34">
        <f t="shared" si="26"/>
        <v>0.6782407407407407</v>
      </c>
      <c r="R68" s="1">
        <v>34</v>
      </c>
    </row>
    <row r="69" spans="1:18" ht="24" customHeight="1">
      <c r="A69" s="81">
        <v>21</v>
      </c>
      <c r="B69" s="31" t="s">
        <v>162</v>
      </c>
      <c r="C69" s="17">
        <v>321070</v>
      </c>
      <c r="D69" s="17">
        <v>321209</v>
      </c>
      <c r="E69" s="104">
        <f t="shared" si="19"/>
        <v>139</v>
      </c>
      <c r="F69" s="110">
        <v>26620</v>
      </c>
      <c r="G69" s="111">
        <v>209</v>
      </c>
      <c r="H69" s="10">
        <f t="shared" si="20"/>
        <v>0.66507177033492826</v>
      </c>
      <c r="I69" s="17">
        <v>321366</v>
      </c>
      <c r="J69" s="106">
        <f t="shared" si="21"/>
        <v>157</v>
      </c>
      <c r="K69" s="110">
        <v>26642</v>
      </c>
      <c r="L69" s="107">
        <f t="shared" si="22"/>
        <v>22</v>
      </c>
      <c r="M69" s="111">
        <v>230</v>
      </c>
      <c r="N69" s="28">
        <f t="shared" si="23"/>
        <v>0.68260869565217386</v>
      </c>
      <c r="O69" s="84">
        <f t="shared" si="24"/>
        <v>296</v>
      </c>
      <c r="P69" s="79">
        <f t="shared" si="25"/>
        <v>439</v>
      </c>
      <c r="Q69" s="34">
        <f t="shared" si="26"/>
        <v>0.67425968109339407</v>
      </c>
      <c r="R69" s="1">
        <v>38</v>
      </c>
    </row>
    <row r="70" spans="1:18" ht="24" customHeight="1">
      <c r="A70" s="81">
        <v>22</v>
      </c>
      <c r="B70" s="31" t="s">
        <v>68</v>
      </c>
      <c r="C70" s="17">
        <v>276585</v>
      </c>
      <c r="D70" s="17">
        <v>276693.09999999998</v>
      </c>
      <c r="E70" s="104">
        <f t="shared" si="19"/>
        <v>108.09999999997672</v>
      </c>
      <c r="F70" s="110">
        <v>22450</v>
      </c>
      <c r="G70" s="111">
        <v>209</v>
      </c>
      <c r="H70" s="10">
        <f t="shared" si="20"/>
        <v>0.51722488038266368</v>
      </c>
      <c r="I70" s="17">
        <v>276811.09999999998</v>
      </c>
      <c r="J70" s="106">
        <f t="shared" si="21"/>
        <v>118</v>
      </c>
      <c r="K70" s="110">
        <v>22471</v>
      </c>
      <c r="L70" s="107">
        <f t="shared" si="22"/>
        <v>21</v>
      </c>
      <c r="M70" s="112">
        <v>218</v>
      </c>
      <c r="N70" s="28">
        <f t="shared" si="23"/>
        <v>0.54128440366972475</v>
      </c>
      <c r="O70" s="84">
        <f t="shared" si="24"/>
        <v>226.09999999997672</v>
      </c>
      <c r="P70" s="79">
        <f t="shared" si="25"/>
        <v>427</v>
      </c>
      <c r="Q70" s="34">
        <f t="shared" si="26"/>
        <v>0.52950819672125693</v>
      </c>
      <c r="R70" s="1">
        <v>28</v>
      </c>
    </row>
    <row r="71" spans="1:18" ht="24" customHeight="1">
      <c r="A71" s="81">
        <v>23</v>
      </c>
      <c r="B71" s="31" t="s">
        <v>69</v>
      </c>
      <c r="C71" s="17">
        <v>258547.8</v>
      </c>
      <c r="D71" s="17">
        <v>258645.5</v>
      </c>
      <c r="E71" s="104">
        <f t="shared" si="19"/>
        <v>97.700000000011642</v>
      </c>
      <c r="F71" s="110">
        <v>19813</v>
      </c>
      <c r="G71" s="111">
        <v>167</v>
      </c>
      <c r="H71" s="10">
        <f t="shared" si="20"/>
        <v>0.58502994011983023</v>
      </c>
      <c r="I71" s="17">
        <v>258775.6</v>
      </c>
      <c r="J71" s="106">
        <f t="shared" si="21"/>
        <v>130.10000000000582</v>
      </c>
      <c r="K71" s="110">
        <v>19833</v>
      </c>
      <c r="L71" s="107">
        <f t="shared" si="22"/>
        <v>20</v>
      </c>
      <c r="M71" s="112">
        <v>197</v>
      </c>
      <c r="N71" s="28">
        <f t="shared" si="23"/>
        <v>0.66040609137058792</v>
      </c>
      <c r="O71" s="84">
        <f t="shared" si="24"/>
        <v>227.80000000001746</v>
      </c>
      <c r="P71" s="79">
        <f t="shared" si="25"/>
        <v>364</v>
      </c>
      <c r="Q71" s="34">
        <f t="shared" si="26"/>
        <v>0.62582417582422378</v>
      </c>
      <c r="R71" s="1">
        <v>33</v>
      </c>
    </row>
    <row r="72" spans="1:18" ht="24" customHeight="1">
      <c r="A72" s="81">
        <v>24</v>
      </c>
      <c r="B72" s="31" t="s">
        <v>70</v>
      </c>
      <c r="C72" s="104">
        <v>302922.90000000002</v>
      </c>
      <c r="D72" s="104">
        <v>303008.8</v>
      </c>
      <c r="E72" s="104">
        <f t="shared" si="19"/>
        <v>85.899999999965075</v>
      </c>
      <c r="F72" s="110">
        <v>4989</v>
      </c>
      <c r="G72" s="111">
        <v>162</v>
      </c>
      <c r="H72" s="10">
        <f t="shared" si="20"/>
        <v>0.53024691358003129</v>
      </c>
      <c r="I72" s="104">
        <v>303145.2</v>
      </c>
      <c r="J72" s="106">
        <f t="shared" si="21"/>
        <v>136.40000000002328</v>
      </c>
      <c r="K72" s="110">
        <v>5008</v>
      </c>
      <c r="L72" s="107">
        <f t="shared" si="22"/>
        <v>19</v>
      </c>
      <c r="M72" s="111">
        <v>201</v>
      </c>
      <c r="N72" s="28">
        <f t="shared" si="23"/>
        <v>0.67860696517424524</v>
      </c>
      <c r="O72" s="84">
        <f t="shared" si="24"/>
        <v>222.29999999998836</v>
      </c>
      <c r="P72" s="79">
        <f t="shared" si="25"/>
        <v>363</v>
      </c>
      <c r="Q72" s="34">
        <f t="shared" si="26"/>
        <v>0.612396694214844</v>
      </c>
      <c r="R72" s="1">
        <v>37</v>
      </c>
    </row>
    <row r="73" spans="1:18" ht="24" customHeight="1">
      <c r="A73" s="81">
        <v>25</v>
      </c>
      <c r="B73" s="31" t="s">
        <v>71</v>
      </c>
      <c r="C73" s="35">
        <v>313276.90000000002</v>
      </c>
      <c r="D73" s="35">
        <v>313425.09999999998</v>
      </c>
      <c r="E73" s="104">
        <f t="shared" si="19"/>
        <v>148.19999999995343</v>
      </c>
      <c r="F73" s="110">
        <v>22913</v>
      </c>
      <c r="G73" s="111">
        <v>202</v>
      </c>
      <c r="H73" s="10">
        <f t="shared" si="20"/>
        <v>0.73366336633640317</v>
      </c>
      <c r="I73" s="35">
        <v>313562.8</v>
      </c>
      <c r="J73" s="106">
        <f t="shared" si="21"/>
        <v>137.70000000001164</v>
      </c>
      <c r="K73" s="110">
        <v>22934</v>
      </c>
      <c r="L73" s="107">
        <f t="shared" si="22"/>
        <v>21</v>
      </c>
      <c r="M73" s="111">
        <v>205</v>
      </c>
      <c r="N73" s="28">
        <f>IFERROR(J73/M73,0)</f>
        <v>0.67170731707322751</v>
      </c>
      <c r="O73" s="84">
        <f t="shared" si="24"/>
        <v>285.89999999996508</v>
      </c>
      <c r="P73" s="79">
        <f>G73+M73</f>
        <v>407</v>
      </c>
      <c r="Q73" s="34">
        <f t="shared" si="26"/>
        <v>0.70245700245691667</v>
      </c>
      <c r="R73" s="1">
        <v>46</v>
      </c>
    </row>
    <row r="74" spans="1:18" ht="24" customHeight="1">
      <c r="A74" s="81">
        <v>26</v>
      </c>
      <c r="B74" s="31" t="s">
        <v>72</v>
      </c>
      <c r="C74" s="35">
        <v>283589.2</v>
      </c>
      <c r="D74" s="35">
        <v>283715.8</v>
      </c>
      <c r="E74" s="104">
        <f t="shared" si="19"/>
        <v>126.59999999997672</v>
      </c>
      <c r="F74" s="110">
        <v>20509</v>
      </c>
      <c r="G74" s="111">
        <v>174.32</v>
      </c>
      <c r="H74" s="10">
        <f t="shared" si="20"/>
        <v>0.72625057365750756</v>
      </c>
      <c r="I74" s="35">
        <v>283836.59999999998</v>
      </c>
      <c r="J74" s="106">
        <f t="shared" si="21"/>
        <v>120.79999999998836</v>
      </c>
      <c r="K74" s="110">
        <v>20530</v>
      </c>
      <c r="L74" s="107">
        <f t="shared" si="22"/>
        <v>21</v>
      </c>
      <c r="M74" s="112">
        <v>192</v>
      </c>
      <c r="N74" s="28">
        <f t="shared" si="23"/>
        <v>0.62916666666660603</v>
      </c>
      <c r="O74" s="84">
        <f t="shared" si="24"/>
        <v>247.39999999996508</v>
      </c>
      <c r="P74" s="79">
        <f t="shared" si="25"/>
        <v>366.32</v>
      </c>
      <c r="Q74" s="34">
        <f t="shared" si="26"/>
        <v>0.67536580039300365</v>
      </c>
      <c r="R74" s="1">
        <v>38</v>
      </c>
    </row>
    <row r="75" spans="1:18" ht="24" customHeight="1">
      <c r="A75" s="81">
        <v>27</v>
      </c>
      <c r="B75" s="31" t="s">
        <v>73</v>
      </c>
      <c r="C75" s="104">
        <v>311852.79999999999</v>
      </c>
      <c r="D75" s="104">
        <v>311977.5</v>
      </c>
      <c r="E75" s="104">
        <f t="shared" si="19"/>
        <v>124.70000000001164</v>
      </c>
      <c r="F75" s="110">
        <v>22636</v>
      </c>
      <c r="G75" s="111">
        <v>176</v>
      </c>
      <c r="H75" s="10">
        <f t="shared" si="20"/>
        <v>0.70852272727279342</v>
      </c>
      <c r="I75" s="104">
        <v>312110.5</v>
      </c>
      <c r="J75" s="106">
        <f t="shared" si="21"/>
        <v>133</v>
      </c>
      <c r="K75" s="110">
        <v>22659</v>
      </c>
      <c r="L75" s="107">
        <f t="shared" si="22"/>
        <v>23</v>
      </c>
      <c r="M75" s="112">
        <v>205</v>
      </c>
      <c r="N75" s="28">
        <f t="shared" si="23"/>
        <v>0.64878048780487807</v>
      </c>
      <c r="O75" s="84">
        <f t="shared" si="24"/>
        <v>257.70000000001164</v>
      </c>
      <c r="P75" s="79">
        <f t="shared" si="25"/>
        <v>381</v>
      </c>
      <c r="Q75" s="34">
        <f t="shared" si="26"/>
        <v>0.67637795275593604</v>
      </c>
      <c r="R75" s="1">
        <v>48</v>
      </c>
    </row>
    <row r="76" spans="1:18" ht="24" customHeight="1">
      <c r="A76" s="81">
        <v>28</v>
      </c>
      <c r="B76" s="31" t="s">
        <v>74</v>
      </c>
      <c r="C76" s="35">
        <v>281950.2</v>
      </c>
      <c r="D76" s="35">
        <v>282099.90000000002</v>
      </c>
      <c r="E76" s="104">
        <f t="shared" si="19"/>
        <v>149.70000000001164</v>
      </c>
      <c r="F76" s="110">
        <v>4154</v>
      </c>
      <c r="G76" s="111">
        <v>228</v>
      </c>
      <c r="H76" s="10">
        <f t="shared" si="20"/>
        <v>0.65657894736847211</v>
      </c>
      <c r="I76" s="35">
        <v>282243.8</v>
      </c>
      <c r="J76" s="106">
        <f t="shared" si="21"/>
        <v>143.89999999996508</v>
      </c>
      <c r="K76" s="110">
        <v>4176</v>
      </c>
      <c r="L76" s="107">
        <f>K76-F76</f>
        <v>22</v>
      </c>
      <c r="M76" s="111">
        <v>223</v>
      </c>
      <c r="N76" s="28">
        <f t="shared" si="23"/>
        <v>0.64529147982047119</v>
      </c>
      <c r="O76" s="84">
        <f t="shared" si="24"/>
        <v>293.59999999997672</v>
      </c>
      <c r="P76" s="79">
        <f t="shared" si="25"/>
        <v>451</v>
      </c>
      <c r="Q76" s="34">
        <f t="shared" si="26"/>
        <v>0.65099778270504816</v>
      </c>
      <c r="R76" s="1">
        <v>38</v>
      </c>
    </row>
    <row r="77" spans="1:18" ht="24" customHeight="1">
      <c r="A77" s="81">
        <v>29</v>
      </c>
      <c r="B77" s="31" t="s">
        <v>75</v>
      </c>
      <c r="C77" s="104">
        <v>299870.7</v>
      </c>
      <c r="D77" s="104">
        <v>300022</v>
      </c>
      <c r="E77" s="104">
        <f t="shared" si="19"/>
        <v>151.29999999998836</v>
      </c>
      <c r="F77" s="110">
        <v>21581</v>
      </c>
      <c r="G77" s="111">
        <v>212</v>
      </c>
      <c r="H77" s="10">
        <f t="shared" si="20"/>
        <v>0.713679245282964</v>
      </c>
      <c r="I77" s="104">
        <v>300106.2</v>
      </c>
      <c r="J77" s="106">
        <f t="shared" si="21"/>
        <v>84.200000000011642</v>
      </c>
      <c r="K77" s="110">
        <v>21600</v>
      </c>
      <c r="L77" s="107">
        <f t="shared" si="22"/>
        <v>19</v>
      </c>
      <c r="M77" s="112">
        <v>131</v>
      </c>
      <c r="N77" s="28">
        <f t="shared" si="23"/>
        <v>0.64274809160314228</v>
      </c>
      <c r="O77" s="84">
        <f t="shared" si="24"/>
        <v>235.5</v>
      </c>
      <c r="P77" s="79">
        <f t="shared" si="25"/>
        <v>343</v>
      </c>
      <c r="Q77" s="34">
        <f t="shared" si="26"/>
        <v>0.6865889212827988</v>
      </c>
      <c r="R77" s="1">
        <v>28</v>
      </c>
    </row>
    <row r="78" spans="1:18" ht="24" customHeight="1">
      <c r="A78" s="81">
        <v>30</v>
      </c>
      <c r="B78" s="31" t="s">
        <v>76</v>
      </c>
      <c r="C78" s="104">
        <v>264623.8</v>
      </c>
      <c r="D78" s="104">
        <v>264700.7</v>
      </c>
      <c r="E78" s="104">
        <f t="shared" si="19"/>
        <v>76.900000000023283</v>
      </c>
      <c r="F78" s="110">
        <v>19527</v>
      </c>
      <c r="G78" s="111">
        <v>142</v>
      </c>
      <c r="H78" s="10">
        <f t="shared" si="20"/>
        <v>0.54154929577481181</v>
      </c>
      <c r="I78" s="104">
        <v>264805.90000000002</v>
      </c>
      <c r="J78" s="106">
        <f t="shared" si="21"/>
        <v>105.20000000001164</v>
      </c>
      <c r="K78" s="110">
        <v>19548</v>
      </c>
      <c r="L78" s="107">
        <f t="shared" si="22"/>
        <v>21</v>
      </c>
      <c r="M78" s="111">
        <v>165</v>
      </c>
      <c r="N78" s="28">
        <f t="shared" si="23"/>
        <v>0.63757575757582818</v>
      </c>
      <c r="O78" s="84">
        <f t="shared" si="24"/>
        <v>182.10000000003492</v>
      </c>
      <c r="P78" s="79">
        <f t="shared" si="25"/>
        <v>307</v>
      </c>
      <c r="Q78" s="34">
        <f t="shared" si="26"/>
        <v>0.59315960912063492</v>
      </c>
      <c r="R78" s="1">
        <v>38</v>
      </c>
    </row>
    <row r="79" spans="1:18" ht="24" customHeight="1">
      <c r="A79" s="81">
        <v>31</v>
      </c>
      <c r="B79" s="31" t="s">
        <v>77</v>
      </c>
      <c r="C79" s="83">
        <v>262713.7</v>
      </c>
      <c r="D79" s="83">
        <v>262839.2</v>
      </c>
      <c r="E79" s="104">
        <f t="shared" si="19"/>
        <v>125.5</v>
      </c>
      <c r="F79" s="110">
        <v>19222</v>
      </c>
      <c r="G79" s="111">
        <v>234.77</v>
      </c>
      <c r="H79" s="10">
        <f t="shared" si="20"/>
        <v>0.53456574519742728</v>
      </c>
      <c r="I79" s="83">
        <v>262887.40000000002</v>
      </c>
      <c r="J79" s="106">
        <f t="shared" si="21"/>
        <v>48.200000000011642</v>
      </c>
      <c r="K79" s="110">
        <v>19245</v>
      </c>
      <c r="L79" s="107">
        <f>K79-F79</f>
        <v>23</v>
      </c>
      <c r="M79" s="111">
        <v>135</v>
      </c>
      <c r="N79" s="28">
        <f t="shared" si="23"/>
        <v>0.35703703703712325</v>
      </c>
      <c r="O79" s="84">
        <f t="shared" si="24"/>
        <v>173.70000000001164</v>
      </c>
      <c r="P79" s="79">
        <f t="shared" si="25"/>
        <v>369.77</v>
      </c>
      <c r="Q79" s="34">
        <f t="shared" si="26"/>
        <v>0.46975146712824634</v>
      </c>
      <c r="R79" s="1">
        <v>43</v>
      </c>
    </row>
    <row r="80" spans="1:18" ht="24" customHeight="1">
      <c r="A80" s="81">
        <v>32</v>
      </c>
      <c r="B80" s="31" t="s">
        <v>78</v>
      </c>
      <c r="C80" s="104">
        <v>288561.09999999998</v>
      </c>
      <c r="D80" s="104">
        <v>288713.90000000002</v>
      </c>
      <c r="E80" s="104">
        <f t="shared" si="19"/>
        <v>152.80000000004657</v>
      </c>
      <c r="F80" s="110">
        <v>20824</v>
      </c>
      <c r="G80" s="111">
        <v>210</v>
      </c>
      <c r="H80" s="10">
        <f t="shared" si="20"/>
        <v>0.72761904761926932</v>
      </c>
      <c r="I80" s="104">
        <v>288805.8</v>
      </c>
      <c r="J80" s="106">
        <f t="shared" si="21"/>
        <v>91.899999999965075</v>
      </c>
      <c r="K80" s="110">
        <v>20842</v>
      </c>
      <c r="L80" s="107">
        <f t="shared" si="22"/>
        <v>18</v>
      </c>
      <c r="M80" s="111">
        <v>172</v>
      </c>
      <c r="N80" s="28">
        <f t="shared" si="23"/>
        <v>0.53430232558119228</v>
      </c>
      <c r="O80" s="84">
        <f t="shared" si="24"/>
        <v>244.70000000001164</v>
      </c>
      <c r="P80" s="79">
        <f t="shared" si="25"/>
        <v>382</v>
      </c>
      <c r="Q80" s="34">
        <f t="shared" si="26"/>
        <v>0.640575916230397</v>
      </c>
      <c r="R80" s="1">
        <v>30</v>
      </c>
    </row>
    <row r="81" spans="1:19" ht="24" customHeight="1">
      <c r="A81" s="81">
        <v>33</v>
      </c>
      <c r="B81" s="31" t="s">
        <v>79</v>
      </c>
      <c r="C81" s="104">
        <v>303249.40000000002</v>
      </c>
      <c r="D81" s="104">
        <v>303394.8</v>
      </c>
      <c r="E81" s="104">
        <f t="shared" si="19"/>
        <v>145.39999999996508</v>
      </c>
      <c r="F81" s="110">
        <v>21554</v>
      </c>
      <c r="G81" s="111">
        <v>228.51</v>
      </c>
      <c r="H81" s="10">
        <f t="shared" si="20"/>
        <v>0.63629600455107038</v>
      </c>
      <c r="I81" s="104">
        <v>303459.20000000001</v>
      </c>
      <c r="J81" s="106">
        <f t="shared" si="21"/>
        <v>64.400000000023283</v>
      </c>
      <c r="K81" s="110">
        <v>21576</v>
      </c>
      <c r="L81" s="107">
        <f t="shared" si="22"/>
        <v>22</v>
      </c>
      <c r="M81" s="111">
        <v>121</v>
      </c>
      <c r="N81" s="28">
        <f t="shared" si="23"/>
        <v>0.53223140495887011</v>
      </c>
      <c r="O81" s="84">
        <f t="shared" si="24"/>
        <v>209.79999999998836</v>
      </c>
      <c r="P81" s="79">
        <f t="shared" si="25"/>
        <v>349.51</v>
      </c>
      <c r="Q81" s="34">
        <f t="shared" si="26"/>
        <v>0.60026894795567609</v>
      </c>
      <c r="R81" s="1">
        <v>63</v>
      </c>
    </row>
    <row r="82" spans="1:19" ht="24" customHeight="1">
      <c r="A82" s="81">
        <v>34</v>
      </c>
      <c r="B82" s="31" t="s">
        <v>163</v>
      </c>
      <c r="C82" s="104">
        <v>244141.4</v>
      </c>
      <c r="D82" s="104">
        <v>244299.2</v>
      </c>
      <c r="E82" s="104">
        <f t="shared" si="19"/>
        <v>157.80000000001746</v>
      </c>
      <c r="F82" s="110">
        <v>18226</v>
      </c>
      <c r="G82" s="111">
        <v>204.22</v>
      </c>
      <c r="H82" s="10">
        <f t="shared" si="20"/>
        <v>0.77269611203612509</v>
      </c>
      <c r="I82" s="104">
        <v>244398.9</v>
      </c>
      <c r="J82" s="106">
        <f t="shared" si="21"/>
        <v>99.699999999982538</v>
      </c>
      <c r="K82" s="110">
        <v>18248</v>
      </c>
      <c r="L82" s="107">
        <f t="shared" si="22"/>
        <v>22</v>
      </c>
      <c r="M82" s="111">
        <v>150</v>
      </c>
      <c r="N82" s="28">
        <f t="shared" si="23"/>
        <v>0.66466666666655028</v>
      </c>
      <c r="O82" s="84">
        <f t="shared" si="24"/>
        <v>257.5</v>
      </c>
      <c r="P82" s="79">
        <f t="shared" si="25"/>
        <v>354.22</v>
      </c>
      <c r="Q82" s="34">
        <f t="shared" si="26"/>
        <v>0.7269493535091186</v>
      </c>
      <c r="R82" s="1">
        <v>48</v>
      </c>
    </row>
    <row r="83" spans="1:19" ht="24" customHeight="1">
      <c r="A83" s="81">
        <v>35</v>
      </c>
      <c r="B83" s="31" t="s">
        <v>164</v>
      </c>
      <c r="C83" s="104">
        <v>243628.1</v>
      </c>
      <c r="D83" s="104">
        <v>243753.2</v>
      </c>
      <c r="E83" s="104">
        <f t="shared" si="19"/>
        <v>125.10000000000582</v>
      </c>
      <c r="F83" s="110">
        <v>18201</v>
      </c>
      <c r="G83" s="111">
        <v>224</v>
      </c>
      <c r="H83" s="10">
        <f t="shared" si="20"/>
        <v>0.5584821428571688</v>
      </c>
      <c r="I83" s="104">
        <v>243907.5</v>
      </c>
      <c r="J83" s="106">
        <f t="shared" si="21"/>
        <v>154.29999999998836</v>
      </c>
      <c r="K83" s="110">
        <v>18224</v>
      </c>
      <c r="L83" s="107">
        <f t="shared" si="22"/>
        <v>23</v>
      </c>
      <c r="M83" s="111">
        <v>201</v>
      </c>
      <c r="N83" s="28">
        <f t="shared" si="23"/>
        <v>0.76766169154223063</v>
      </c>
      <c r="O83" s="84">
        <f t="shared" si="24"/>
        <v>279.39999999999418</v>
      </c>
      <c r="P83" s="79">
        <f t="shared" si="25"/>
        <v>425</v>
      </c>
      <c r="Q83" s="34">
        <f t="shared" si="26"/>
        <v>0.65741176470586871</v>
      </c>
      <c r="R83" s="1">
        <v>37</v>
      </c>
    </row>
    <row r="84" spans="1:19" ht="24" customHeight="1">
      <c r="A84" s="81">
        <v>36</v>
      </c>
      <c r="B84" s="31" t="s">
        <v>165</v>
      </c>
      <c r="C84" s="104">
        <v>250585.2</v>
      </c>
      <c r="D84" s="104">
        <v>250689</v>
      </c>
      <c r="E84" s="104">
        <f t="shared" si="19"/>
        <v>103.79999999998836</v>
      </c>
      <c r="F84" s="110">
        <v>17842</v>
      </c>
      <c r="G84" s="111">
        <v>178</v>
      </c>
      <c r="H84" s="10">
        <f t="shared" si="20"/>
        <v>0.58314606741566488</v>
      </c>
      <c r="I84" s="104">
        <v>250815.6</v>
      </c>
      <c r="J84" s="106">
        <f t="shared" si="21"/>
        <v>126.60000000000582</v>
      </c>
      <c r="K84" s="110">
        <v>17865</v>
      </c>
      <c r="L84" s="107">
        <f t="shared" si="22"/>
        <v>23</v>
      </c>
      <c r="M84" s="112">
        <v>175</v>
      </c>
      <c r="N84" s="28">
        <f t="shared" si="23"/>
        <v>0.72342857142860473</v>
      </c>
      <c r="O84" s="84">
        <f t="shared" si="24"/>
        <v>230.39999999999418</v>
      </c>
      <c r="P84" s="79">
        <f t="shared" si="25"/>
        <v>353</v>
      </c>
      <c r="Q84" s="34">
        <f t="shared" si="26"/>
        <v>0.65269121813029507</v>
      </c>
      <c r="R84" s="1">
        <v>45</v>
      </c>
    </row>
    <row r="85" spans="1:19" ht="24" customHeight="1">
      <c r="A85" s="81">
        <v>37</v>
      </c>
      <c r="B85" s="31" t="s">
        <v>83</v>
      </c>
      <c r="C85" s="104">
        <v>259165.3</v>
      </c>
      <c r="D85" s="104">
        <v>259247.8</v>
      </c>
      <c r="E85" s="104">
        <f t="shared" si="19"/>
        <v>82.5</v>
      </c>
      <c r="F85" s="110">
        <v>18372</v>
      </c>
      <c r="G85" s="111">
        <v>123.23</v>
      </c>
      <c r="H85" s="10">
        <f t="shared" si="20"/>
        <v>0.66947983445589543</v>
      </c>
      <c r="I85" s="104">
        <v>259324.1</v>
      </c>
      <c r="J85" s="106">
        <f t="shared" si="21"/>
        <v>76.300000000017462</v>
      </c>
      <c r="K85" s="110">
        <v>18395</v>
      </c>
      <c r="L85" s="107">
        <f t="shared" si="22"/>
        <v>23</v>
      </c>
      <c r="M85" s="112">
        <v>103</v>
      </c>
      <c r="N85" s="28">
        <f t="shared" si="23"/>
        <v>0.74077669902929577</v>
      </c>
      <c r="O85" s="84">
        <f t="shared" si="24"/>
        <v>158.80000000001746</v>
      </c>
      <c r="P85" s="79">
        <f t="shared" si="25"/>
        <v>226.23000000000002</v>
      </c>
      <c r="Q85" s="34">
        <f t="shared" si="26"/>
        <v>0.70194050302796906</v>
      </c>
      <c r="R85" s="1">
        <v>57</v>
      </c>
    </row>
    <row r="86" spans="1:19" ht="24" customHeight="1">
      <c r="A86" s="81">
        <v>38</v>
      </c>
      <c r="B86" s="31" t="s">
        <v>84</v>
      </c>
      <c r="C86" s="104">
        <v>270527.5</v>
      </c>
      <c r="D86" s="104">
        <v>270640.5</v>
      </c>
      <c r="E86" s="104">
        <f t="shared" si="19"/>
        <v>113</v>
      </c>
      <c r="F86" s="110">
        <v>17734</v>
      </c>
      <c r="G86" s="111">
        <v>191</v>
      </c>
      <c r="H86" s="10">
        <f t="shared" si="20"/>
        <v>0.59162303664921467</v>
      </c>
      <c r="I86" s="104">
        <v>270754.59999999998</v>
      </c>
      <c r="J86" s="106">
        <f t="shared" si="21"/>
        <v>114.09999999997672</v>
      </c>
      <c r="K86" s="110">
        <v>17755</v>
      </c>
      <c r="L86" s="107">
        <f t="shared" si="22"/>
        <v>21</v>
      </c>
      <c r="M86" s="112">
        <v>161</v>
      </c>
      <c r="N86" s="28">
        <f t="shared" si="23"/>
        <v>0.7086956521737684</v>
      </c>
      <c r="O86" s="84">
        <f t="shared" si="24"/>
        <v>227.09999999997672</v>
      </c>
      <c r="P86" s="79">
        <f t="shared" si="25"/>
        <v>352</v>
      </c>
      <c r="Q86" s="34">
        <f t="shared" si="26"/>
        <v>0.64517045454538835</v>
      </c>
      <c r="R86" s="1">
        <v>42</v>
      </c>
    </row>
    <row r="87" spans="1:19" ht="24" customHeight="1">
      <c r="A87" s="81">
        <v>39</v>
      </c>
      <c r="B87" s="31" t="s">
        <v>85</v>
      </c>
      <c r="C87" s="35">
        <v>278588.90000000002</v>
      </c>
      <c r="D87" s="35">
        <v>278724.7</v>
      </c>
      <c r="E87" s="104">
        <f t="shared" si="19"/>
        <v>135.79999999998836</v>
      </c>
      <c r="F87" s="110">
        <v>19656</v>
      </c>
      <c r="G87" s="111">
        <v>192.57</v>
      </c>
      <c r="H87" s="10">
        <f t="shared" si="20"/>
        <v>0.70519810977820208</v>
      </c>
      <c r="I87" s="35">
        <v>278849.5</v>
      </c>
      <c r="J87" s="106">
        <f t="shared" si="21"/>
        <v>124.79999999998836</v>
      </c>
      <c r="K87" s="110">
        <v>19676</v>
      </c>
      <c r="L87" s="107">
        <f t="shared" si="22"/>
        <v>20</v>
      </c>
      <c r="M87" s="112">
        <v>175</v>
      </c>
      <c r="N87" s="28">
        <f t="shared" si="23"/>
        <v>0.71314285714279058</v>
      </c>
      <c r="O87" s="84">
        <f t="shared" si="24"/>
        <v>260.59999999997672</v>
      </c>
      <c r="P87" s="79">
        <f t="shared" si="25"/>
        <v>367.57</v>
      </c>
      <c r="Q87" s="34">
        <f t="shared" si="26"/>
        <v>0.70898060233418592</v>
      </c>
      <c r="R87" s="1">
        <v>35</v>
      </c>
    </row>
    <row r="88" spans="1:19" ht="24" customHeight="1">
      <c r="A88" s="81">
        <v>40</v>
      </c>
      <c r="B88" s="31" t="s">
        <v>86</v>
      </c>
      <c r="C88" s="104">
        <v>249520.3</v>
      </c>
      <c r="D88" s="104">
        <v>249606.9</v>
      </c>
      <c r="E88" s="104">
        <f t="shared" si="19"/>
        <v>86.600000000005821</v>
      </c>
      <c r="F88" s="110">
        <v>17725</v>
      </c>
      <c r="G88" s="111">
        <v>142.87</v>
      </c>
      <c r="H88" s="10">
        <f t="shared" si="20"/>
        <v>0.60614544690981886</v>
      </c>
      <c r="I88" s="104">
        <v>249674.6</v>
      </c>
      <c r="J88" s="106">
        <f t="shared" si="21"/>
        <v>67.700000000011642</v>
      </c>
      <c r="K88" s="110">
        <v>17737</v>
      </c>
      <c r="L88" s="107">
        <f t="shared" si="22"/>
        <v>12</v>
      </c>
      <c r="M88" s="112">
        <v>116</v>
      </c>
      <c r="N88" s="28">
        <f t="shared" si="23"/>
        <v>0.58362068965527281</v>
      </c>
      <c r="O88" s="84">
        <f t="shared" si="24"/>
        <v>154.30000000001746</v>
      </c>
      <c r="P88" s="79">
        <f t="shared" si="25"/>
        <v>258.87</v>
      </c>
      <c r="Q88" s="34">
        <f t="shared" si="26"/>
        <v>0.59605207246887415</v>
      </c>
      <c r="R88" s="1">
        <v>26</v>
      </c>
    </row>
    <row r="89" spans="1:19" ht="24" customHeight="1">
      <c r="A89" s="81">
        <v>41</v>
      </c>
      <c r="B89" s="31" t="s">
        <v>87</v>
      </c>
      <c r="C89" s="104">
        <v>278164.40000000002</v>
      </c>
      <c r="D89" s="104">
        <v>278316.79999999999</v>
      </c>
      <c r="E89" s="104">
        <f t="shared" si="19"/>
        <v>152.39999999996508</v>
      </c>
      <c r="F89" s="110">
        <v>19210</v>
      </c>
      <c r="G89" s="111">
        <v>205</v>
      </c>
      <c r="H89" s="10">
        <f t="shared" si="20"/>
        <v>0.74341463414617115</v>
      </c>
      <c r="I89" s="104">
        <v>278418.40000000002</v>
      </c>
      <c r="J89" s="106">
        <f t="shared" si="21"/>
        <v>101.60000000003492</v>
      </c>
      <c r="K89" s="110">
        <v>19228</v>
      </c>
      <c r="L89" s="107">
        <f t="shared" si="22"/>
        <v>18</v>
      </c>
      <c r="M89" s="111">
        <v>146</v>
      </c>
      <c r="N89" s="28">
        <f t="shared" si="23"/>
        <v>0.69589041095914328</v>
      </c>
      <c r="O89" s="84">
        <f t="shared" si="24"/>
        <v>254</v>
      </c>
      <c r="P89" s="79">
        <f t="shared" si="25"/>
        <v>351</v>
      </c>
      <c r="Q89" s="34">
        <f t="shared" si="26"/>
        <v>0.72364672364672367</v>
      </c>
      <c r="R89" s="1">
        <v>34</v>
      </c>
    </row>
    <row r="90" spans="1:19" ht="24" customHeight="1">
      <c r="A90" s="81">
        <v>42</v>
      </c>
      <c r="B90" s="31" t="s">
        <v>88</v>
      </c>
      <c r="C90" s="104">
        <v>274143.3</v>
      </c>
      <c r="D90" s="104">
        <v>274324.3</v>
      </c>
      <c r="E90" s="104">
        <f t="shared" si="19"/>
        <v>181</v>
      </c>
      <c r="F90" s="110">
        <v>18598</v>
      </c>
      <c r="G90" s="111">
        <v>244.54</v>
      </c>
      <c r="H90" s="10">
        <f t="shared" si="20"/>
        <v>0.74016520814590658</v>
      </c>
      <c r="I90" s="104">
        <v>274431.40000000002</v>
      </c>
      <c r="J90" s="106">
        <f t="shared" si="21"/>
        <v>107.10000000003492</v>
      </c>
      <c r="K90" s="110">
        <v>18622</v>
      </c>
      <c r="L90" s="107">
        <f t="shared" si="22"/>
        <v>24</v>
      </c>
      <c r="M90" s="111">
        <v>135</v>
      </c>
      <c r="N90" s="28">
        <f t="shared" si="23"/>
        <v>0.79333333333359202</v>
      </c>
      <c r="O90" s="84">
        <f t="shared" si="24"/>
        <v>288.10000000003492</v>
      </c>
      <c r="P90" s="79">
        <f t="shared" si="25"/>
        <v>379.53999999999996</v>
      </c>
      <c r="Q90" s="34">
        <f t="shared" si="26"/>
        <v>0.75907677715138044</v>
      </c>
      <c r="R90" s="1">
        <v>46</v>
      </c>
    </row>
    <row r="91" spans="1:19" ht="24" customHeight="1">
      <c r="A91" s="81">
        <v>43</v>
      </c>
      <c r="B91" s="31" t="s">
        <v>89</v>
      </c>
      <c r="C91" s="35">
        <v>266606.2</v>
      </c>
      <c r="D91" s="35">
        <v>266736</v>
      </c>
      <c r="E91" s="104">
        <f t="shared" si="19"/>
        <v>129.79999999998836</v>
      </c>
      <c r="F91" s="110">
        <v>18260</v>
      </c>
      <c r="G91" s="111">
        <v>186.24</v>
      </c>
      <c r="H91" s="10">
        <f t="shared" si="20"/>
        <v>0.6969501718212433</v>
      </c>
      <c r="I91" s="35">
        <v>266830.90000000002</v>
      </c>
      <c r="J91" s="106">
        <f t="shared" si="21"/>
        <v>94.900000000023283</v>
      </c>
      <c r="K91" s="110">
        <v>18282</v>
      </c>
      <c r="L91" s="107">
        <f t="shared" si="22"/>
        <v>22</v>
      </c>
      <c r="M91" s="111">
        <v>138</v>
      </c>
      <c r="N91" s="28">
        <f t="shared" si="23"/>
        <v>0.6876811594204586</v>
      </c>
      <c r="O91" s="84">
        <f t="shared" si="24"/>
        <v>224.70000000001164</v>
      </c>
      <c r="P91" s="79">
        <f t="shared" si="25"/>
        <v>324.24</v>
      </c>
      <c r="Q91" s="34">
        <f t="shared" si="26"/>
        <v>0.69300518134718614</v>
      </c>
      <c r="R91" s="1">
        <v>46</v>
      </c>
    </row>
    <row r="92" spans="1:19" ht="24" customHeight="1">
      <c r="A92" s="81">
        <v>44</v>
      </c>
      <c r="B92" s="31" t="s">
        <v>90</v>
      </c>
      <c r="C92" s="104">
        <v>243977.5</v>
      </c>
      <c r="D92" s="104">
        <v>244094.7</v>
      </c>
      <c r="E92" s="104">
        <f t="shared" si="19"/>
        <v>117.20000000001164</v>
      </c>
      <c r="F92" s="110">
        <v>17582</v>
      </c>
      <c r="G92" s="111">
        <v>218</v>
      </c>
      <c r="H92" s="10">
        <f>IFERROR(E92/G92,0)</f>
        <v>0.53761467889913594</v>
      </c>
      <c r="I92" s="104">
        <v>244221.5</v>
      </c>
      <c r="J92" s="106">
        <f t="shared" si="21"/>
        <v>126.79999999998836</v>
      </c>
      <c r="K92" s="110">
        <v>17603</v>
      </c>
      <c r="L92" s="107">
        <f t="shared" si="22"/>
        <v>21</v>
      </c>
      <c r="M92" s="111">
        <v>192</v>
      </c>
      <c r="N92" s="28">
        <f t="shared" si="23"/>
        <v>0.66041666666660603</v>
      </c>
      <c r="O92" s="84">
        <f t="shared" si="24"/>
        <v>244</v>
      </c>
      <c r="P92" s="79">
        <f t="shared" si="25"/>
        <v>410</v>
      </c>
      <c r="Q92" s="34">
        <f t="shared" si="26"/>
        <v>0.59512195121951217</v>
      </c>
      <c r="R92" s="1">
        <v>35</v>
      </c>
    </row>
    <row r="93" spans="1:19" ht="24" customHeight="1">
      <c r="A93" s="81">
        <v>45</v>
      </c>
      <c r="B93" s="31" t="s">
        <v>91</v>
      </c>
      <c r="C93" s="104">
        <v>254153.9</v>
      </c>
      <c r="D93" s="104">
        <v>254153.9</v>
      </c>
      <c r="E93" s="104">
        <f t="shared" si="19"/>
        <v>0</v>
      </c>
      <c r="F93" s="110">
        <v>17731</v>
      </c>
      <c r="G93" s="111">
        <v>0</v>
      </c>
      <c r="H93" s="10">
        <f t="shared" si="20"/>
        <v>0</v>
      </c>
      <c r="I93" s="104">
        <v>254153.9</v>
      </c>
      <c r="J93" s="106">
        <f t="shared" si="21"/>
        <v>0</v>
      </c>
      <c r="K93" s="110">
        <v>17731</v>
      </c>
      <c r="L93" s="107">
        <f t="shared" si="22"/>
        <v>0</v>
      </c>
      <c r="M93" s="111">
        <v>0</v>
      </c>
      <c r="N93" s="28">
        <f t="shared" si="23"/>
        <v>0</v>
      </c>
      <c r="O93" s="84">
        <f t="shared" si="24"/>
        <v>0</v>
      </c>
      <c r="P93" s="79">
        <f t="shared" si="25"/>
        <v>0</v>
      </c>
      <c r="Q93" s="34">
        <f t="shared" si="26"/>
        <v>0</v>
      </c>
      <c r="R93" s="1">
        <v>0</v>
      </c>
    </row>
    <row r="94" spans="1:19" ht="24" customHeight="1">
      <c r="A94" s="81">
        <v>46</v>
      </c>
      <c r="B94" s="31" t="s">
        <v>92</v>
      </c>
      <c r="C94" s="35">
        <v>238002.1</v>
      </c>
      <c r="D94" s="35">
        <v>238132.4</v>
      </c>
      <c r="E94" s="104">
        <f>D94-C94</f>
        <v>130.29999999998836</v>
      </c>
      <c r="F94" s="110">
        <v>17226</v>
      </c>
      <c r="G94" s="111">
        <v>181.68</v>
      </c>
      <c r="H94" s="10">
        <f t="shared" si="20"/>
        <v>0.71719506825180734</v>
      </c>
      <c r="I94" s="35">
        <v>238251.9</v>
      </c>
      <c r="J94" s="106">
        <f>I94-D94</f>
        <v>119.5</v>
      </c>
      <c r="K94" s="110">
        <v>17248</v>
      </c>
      <c r="L94" s="107">
        <f t="shared" si="22"/>
        <v>22</v>
      </c>
      <c r="M94" s="111">
        <v>182.68</v>
      </c>
      <c r="N94" s="28">
        <f t="shared" si="23"/>
        <v>0.65414933216553539</v>
      </c>
      <c r="O94" s="84">
        <f t="shared" si="24"/>
        <v>249.79999999998836</v>
      </c>
      <c r="P94" s="79">
        <f>G94+M94</f>
        <v>364.36</v>
      </c>
      <c r="Q94" s="34">
        <f t="shared" si="26"/>
        <v>0.68558568448783719</v>
      </c>
      <c r="R94" s="1">
        <v>45</v>
      </c>
    </row>
    <row r="95" spans="1:19" ht="24" customHeight="1">
      <c r="A95" s="81">
        <v>47</v>
      </c>
      <c r="B95" s="31" t="s">
        <v>93</v>
      </c>
      <c r="C95" s="104">
        <v>246318.8</v>
      </c>
      <c r="D95" s="104">
        <v>246430.4</v>
      </c>
      <c r="E95" s="104">
        <f>D95-C95</f>
        <v>111.60000000000582</v>
      </c>
      <c r="F95" s="110">
        <v>16705</v>
      </c>
      <c r="G95" s="111">
        <v>173</v>
      </c>
      <c r="H95" s="10">
        <f t="shared" si="20"/>
        <v>0.64508670520234579</v>
      </c>
      <c r="I95" s="104">
        <v>246596.3</v>
      </c>
      <c r="J95" s="106">
        <f>I95-D95</f>
        <v>165.89999999999418</v>
      </c>
      <c r="K95" s="110">
        <v>16727</v>
      </c>
      <c r="L95" s="107">
        <f t="shared" si="22"/>
        <v>22</v>
      </c>
      <c r="M95" s="111">
        <v>223</v>
      </c>
      <c r="N95" s="28">
        <f t="shared" si="23"/>
        <v>0.74394618834078108</v>
      </c>
      <c r="O95" s="84">
        <f t="shared" si="24"/>
        <v>277.5</v>
      </c>
      <c r="P95" s="79">
        <f t="shared" si="25"/>
        <v>396</v>
      </c>
      <c r="Q95" s="34">
        <f t="shared" si="26"/>
        <v>0.7007575757575758</v>
      </c>
      <c r="R95" s="1">
        <v>42</v>
      </c>
      <c r="S95" t="s">
        <v>94</v>
      </c>
    </row>
    <row r="96" spans="1:19" ht="24" customHeight="1">
      <c r="A96" s="81">
        <v>48</v>
      </c>
      <c r="B96" s="31" t="s">
        <v>95</v>
      </c>
      <c r="C96" s="104">
        <v>243497</v>
      </c>
      <c r="D96" s="104">
        <v>243679.3</v>
      </c>
      <c r="E96" s="104">
        <f t="shared" si="19"/>
        <v>182.29999999998836</v>
      </c>
      <c r="F96" s="110">
        <v>18148</v>
      </c>
      <c r="G96" s="111">
        <v>226</v>
      </c>
      <c r="H96" s="10">
        <f t="shared" si="20"/>
        <v>0.80663716814154141</v>
      </c>
      <c r="I96" s="104">
        <v>243773</v>
      </c>
      <c r="J96" s="106">
        <f t="shared" si="21"/>
        <v>93.700000000011642</v>
      </c>
      <c r="K96" s="110">
        <v>18168</v>
      </c>
      <c r="L96" s="107">
        <f t="shared" si="22"/>
        <v>20</v>
      </c>
      <c r="M96" s="111">
        <v>141</v>
      </c>
      <c r="N96" s="28">
        <f t="shared" si="23"/>
        <v>0.6645390070922812</v>
      </c>
      <c r="O96" s="84">
        <f t="shared" si="24"/>
        <v>276</v>
      </c>
      <c r="P96" s="79">
        <f t="shared" si="25"/>
        <v>367</v>
      </c>
      <c r="Q96" s="34">
        <f t="shared" si="26"/>
        <v>0.75204359673024523</v>
      </c>
      <c r="R96" s="1">
        <v>44</v>
      </c>
    </row>
    <row r="97" spans="1:18" ht="24" customHeight="1">
      <c r="A97" s="81">
        <v>49</v>
      </c>
      <c r="B97" s="31" t="s">
        <v>96</v>
      </c>
      <c r="C97" s="35">
        <v>248041</v>
      </c>
      <c r="D97" s="35">
        <v>248198.9</v>
      </c>
      <c r="E97" s="104">
        <f t="shared" si="19"/>
        <v>157.89999999999418</v>
      </c>
      <c r="F97" s="110">
        <v>17826</v>
      </c>
      <c r="G97" s="111">
        <v>197.52</v>
      </c>
      <c r="H97" s="10">
        <f>IFERROR(E97/G97,0)</f>
        <v>0.799412717699444</v>
      </c>
      <c r="I97" s="35">
        <v>248338</v>
      </c>
      <c r="J97" s="106">
        <f t="shared" si="21"/>
        <v>139.10000000000582</v>
      </c>
      <c r="K97" s="110">
        <v>17849</v>
      </c>
      <c r="L97" s="107">
        <f t="shared" si="22"/>
        <v>23</v>
      </c>
      <c r="M97" s="111">
        <v>207</v>
      </c>
      <c r="N97" s="28">
        <f t="shared" si="23"/>
        <v>0.67198067632853054</v>
      </c>
      <c r="O97" s="84">
        <f t="shared" si="24"/>
        <v>297</v>
      </c>
      <c r="P97" s="79">
        <f t="shared" si="25"/>
        <v>404.52</v>
      </c>
      <c r="Q97" s="34">
        <f t="shared" si="26"/>
        <v>0.73420350044497185</v>
      </c>
      <c r="R97" s="1">
        <v>31</v>
      </c>
    </row>
    <row r="98" spans="1:18" ht="24" customHeight="1">
      <c r="A98" s="81">
        <v>50</v>
      </c>
      <c r="B98" s="31" t="s">
        <v>97</v>
      </c>
      <c r="C98" s="104">
        <v>236600.4</v>
      </c>
      <c r="D98" s="104">
        <v>236753.5</v>
      </c>
      <c r="E98" s="104">
        <f t="shared" si="19"/>
        <v>153.10000000000582</v>
      </c>
      <c r="F98" s="110">
        <v>16344</v>
      </c>
      <c r="G98" s="111">
        <v>201.75</v>
      </c>
      <c r="H98" s="10">
        <f t="shared" si="20"/>
        <v>0.75885997521688142</v>
      </c>
      <c r="I98" s="104">
        <v>236913.7</v>
      </c>
      <c r="J98" s="106">
        <f t="shared" si="21"/>
        <v>160.20000000001164</v>
      </c>
      <c r="K98" s="110">
        <v>16365</v>
      </c>
      <c r="L98" s="107">
        <f t="shared" si="22"/>
        <v>21</v>
      </c>
      <c r="M98" s="111">
        <v>244</v>
      </c>
      <c r="N98" s="28">
        <f t="shared" si="23"/>
        <v>0.65655737704922801</v>
      </c>
      <c r="O98" s="84">
        <f t="shared" si="24"/>
        <v>313.30000000001746</v>
      </c>
      <c r="P98" s="79">
        <f t="shared" si="25"/>
        <v>445.75</v>
      </c>
      <c r="Q98" s="34">
        <f t="shared" si="26"/>
        <v>0.70286034772858652</v>
      </c>
      <c r="R98" s="1">
        <v>38</v>
      </c>
    </row>
    <row r="99" spans="1:18" ht="24" customHeight="1">
      <c r="A99" s="81">
        <v>51</v>
      </c>
      <c r="B99" s="121" t="s">
        <v>166</v>
      </c>
      <c r="C99" s="104">
        <v>204670</v>
      </c>
      <c r="D99" s="104">
        <v>204781</v>
      </c>
      <c r="E99" s="118">
        <f t="shared" si="19"/>
        <v>111</v>
      </c>
      <c r="F99" s="110">
        <v>17434</v>
      </c>
      <c r="G99" s="111">
        <v>161</v>
      </c>
      <c r="H99" s="55">
        <f t="shared" si="20"/>
        <v>0.68944099378881984</v>
      </c>
      <c r="I99" s="104">
        <v>204924</v>
      </c>
      <c r="J99" s="119">
        <f t="shared" si="21"/>
        <v>143</v>
      </c>
      <c r="K99" s="110">
        <v>17452</v>
      </c>
      <c r="L99" s="120">
        <f t="shared" si="22"/>
        <v>18</v>
      </c>
      <c r="M99" s="111">
        <v>190</v>
      </c>
      <c r="N99" s="28">
        <f t="shared" si="23"/>
        <v>0.75263157894736843</v>
      </c>
      <c r="O99" s="58">
        <f t="shared" si="24"/>
        <v>254</v>
      </c>
      <c r="P99" s="79">
        <f t="shared" si="25"/>
        <v>351</v>
      </c>
      <c r="Q99" s="34">
        <f t="shared" si="26"/>
        <v>0.72364672364672367</v>
      </c>
      <c r="R99" s="1">
        <v>38</v>
      </c>
    </row>
    <row r="100" spans="1:18" ht="24" customHeight="1">
      <c r="A100" s="81">
        <v>52</v>
      </c>
      <c r="B100" s="121" t="s">
        <v>167</v>
      </c>
      <c r="C100" s="104">
        <v>186406</v>
      </c>
      <c r="D100" s="104">
        <v>186406</v>
      </c>
      <c r="E100" s="118">
        <f t="shared" si="19"/>
        <v>0</v>
      </c>
      <c r="F100" s="110">
        <v>16317</v>
      </c>
      <c r="G100" s="111">
        <v>0</v>
      </c>
      <c r="H100" s="55">
        <f t="shared" si="20"/>
        <v>0</v>
      </c>
      <c r="I100" s="104">
        <v>186406</v>
      </c>
      <c r="J100" s="119">
        <f t="shared" si="21"/>
        <v>0</v>
      </c>
      <c r="K100" s="110">
        <v>16317</v>
      </c>
      <c r="L100" s="120">
        <f t="shared" si="22"/>
        <v>0</v>
      </c>
      <c r="M100" s="111">
        <v>0</v>
      </c>
      <c r="N100" s="28">
        <f t="shared" si="23"/>
        <v>0</v>
      </c>
      <c r="O100" s="58">
        <f t="shared" si="24"/>
        <v>0</v>
      </c>
      <c r="P100" s="79">
        <f t="shared" si="25"/>
        <v>0</v>
      </c>
      <c r="Q100" s="34">
        <f t="shared" si="26"/>
        <v>0</v>
      </c>
      <c r="R100" s="1">
        <v>0</v>
      </c>
    </row>
    <row r="101" spans="1:18" ht="24" customHeight="1">
      <c r="A101" s="81">
        <v>53</v>
      </c>
      <c r="B101" s="121" t="s">
        <v>168</v>
      </c>
      <c r="C101" s="104">
        <v>191572</v>
      </c>
      <c r="D101" s="104">
        <v>191729</v>
      </c>
      <c r="E101" s="118">
        <f t="shared" si="19"/>
        <v>157</v>
      </c>
      <c r="F101" s="110">
        <v>17098</v>
      </c>
      <c r="G101" s="111">
        <v>220</v>
      </c>
      <c r="H101" s="55">
        <f t="shared" si="20"/>
        <v>0.71363636363636362</v>
      </c>
      <c r="I101" s="104">
        <v>191843</v>
      </c>
      <c r="J101" s="119">
        <f t="shared" si="21"/>
        <v>114</v>
      </c>
      <c r="K101" s="110">
        <v>17119</v>
      </c>
      <c r="L101" s="120">
        <f t="shared" si="22"/>
        <v>21</v>
      </c>
      <c r="M101" s="111">
        <v>183</v>
      </c>
      <c r="N101" s="28">
        <f t="shared" si="23"/>
        <v>0.62295081967213117</v>
      </c>
      <c r="O101" s="58">
        <f t="shared" si="24"/>
        <v>271</v>
      </c>
      <c r="P101" s="79">
        <f t="shared" si="25"/>
        <v>403</v>
      </c>
      <c r="Q101" s="34">
        <f t="shared" si="26"/>
        <v>0.67245657568238215</v>
      </c>
      <c r="R101" s="1">
        <v>41</v>
      </c>
    </row>
    <row r="102" spans="1:18" ht="24" customHeight="1">
      <c r="A102" s="81">
        <v>54</v>
      </c>
      <c r="B102" s="121" t="s">
        <v>169</v>
      </c>
      <c r="C102" s="104">
        <v>195731</v>
      </c>
      <c r="D102" s="104">
        <v>195881</v>
      </c>
      <c r="E102" s="118">
        <f t="shared" si="19"/>
        <v>150</v>
      </c>
      <c r="F102" s="110">
        <v>16582</v>
      </c>
      <c r="G102" s="111">
        <v>227</v>
      </c>
      <c r="H102" s="55">
        <f t="shared" si="20"/>
        <v>0.66079295154185025</v>
      </c>
      <c r="I102" s="104">
        <v>195991</v>
      </c>
      <c r="J102" s="119">
        <f t="shared" si="21"/>
        <v>110</v>
      </c>
      <c r="K102" s="110">
        <v>16602</v>
      </c>
      <c r="L102" s="120">
        <f t="shared" si="22"/>
        <v>20</v>
      </c>
      <c r="M102" s="111">
        <v>166</v>
      </c>
      <c r="N102" s="28">
        <f t="shared" si="23"/>
        <v>0.66265060240963858</v>
      </c>
      <c r="O102" s="58">
        <f t="shared" si="24"/>
        <v>260</v>
      </c>
      <c r="P102" s="79">
        <f t="shared" si="25"/>
        <v>393</v>
      </c>
      <c r="Q102" s="34">
        <f t="shared" si="26"/>
        <v>0.66157760814249367</v>
      </c>
      <c r="R102" s="1">
        <v>44</v>
      </c>
    </row>
    <row r="103" spans="1:18" ht="24" customHeight="1">
      <c r="A103" s="81">
        <v>55</v>
      </c>
      <c r="B103" s="121" t="s">
        <v>104</v>
      </c>
      <c r="C103" s="104">
        <v>70588.100000000006</v>
      </c>
      <c r="D103" s="104">
        <v>70588.100000000006</v>
      </c>
      <c r="E103" s="122">
        <f t="shared" si="19"/>
        <v>0</v>
      </c>
      <c r="F103" s="110">
        <v>4774</v>
      </c>
      <c r="G103" s="111">
        <v>0</v>
      </c>
      <c r="H103" s="78">
        <f t="shared" si="20"/>
        <v>0</v>
      </c>
      <c r="I103" s="104">
        <v>70719.7</v>
      </c>
      <c r="J103" s="112">
        <f t="shared" si="21"/>
        <v>131.59999999999127</v>
      </c>
      <c r="K103" s="110">
        <v>4782</v>
      </c>
      <c r="L103" s="107">
        <f t="shared" si="22"/>
        <v>8</v>
      </c>
      <c r="M103" s="111">
        <v>206</v>
      </c>
      <c r="N103" s="28">
        <f t="shared" si="23"/>
        <v>0.63883495145626834</v>
      </c>
      <c r="O103" s="58">
        <f t="shared" si="24"/>
        <v>131.59999999999127</v>
      </c>
      <c r="P103" s="79">
        <f t="shared" si="25"/>
        <v>206</v>
      </c>
      <c r="Q103" s="34">
        <f t="shared" si="26"/>
        <v>0.63883495145626834</v>
      </c>
      <c r="R103" s="1">
        <v>24</v>
      </c>
    </row>
    <row r="104" spans="1:18" ht="24" customHeight="1">
      <c r="A104" s="81">
        <v>56</v>
      </c>
      <c r="B104" s="121" t="s">
        <v>105</v>
      </c>
      <c r="C104" s="35">
        <v>69262.899999999994</v>
      </c>
      <c r="D104" s="35">
        <v>69431</v>
      </c>
      <c r="E104" s="122">
        <f t="shared" si="19"/>
        <v>168.10000000000582</v>
      </c>
      <c r="F104" s="110">
        <v>4779</v>
      </c>
      <c r="G104" s="111">
        <v>201</v>
      </c>
      <c r="H104" s="78">
        <f t="shared" si="20"/>
        <v>0.83631840796022794</v>
      </c>
      <c r="I104" s="35">
        <v>69576.5</v>
      </c>
      <c r="J104" s="112">
        <f t="shared" si="21"/>
        <v>145.5</v>
      </c>
      <c r="K104" s="110">
        <v>4803</v>
      </c>
      <c r="L104" s="107">
        <f t="shared" si="22"/>
        <v>24</v>
      </c>
      <c r="M104" s="111">
        <v>227</v>
      </c>
      <c r="N104" s="28">
        <f t="shared" si="23"/>
        <v>0.6409691629955947</v>
      </c>
      <c r="O104" s="58">
        <f t="shared" si="24"/>
        <v>313.60000000000582</v>
      </c>
      <c r="P104" s="79">
        <f t="shared" si="25"/>
        <v>428</v>
      </c>
      <c r="Q104" s="34">
        <f t="shared" si="26"/>
        <v>0.73271028037384534</v>
      </c>
      <c r="R104" s="1">
        <v>41</v>
      </c>
    </row>
    <row r="105" spans="1:18" ht="24" customHeight="1">
      <c r="A105" s="81">
        <v>57</v>
      </c>
      <c r="B105" s="121" t="s">
        <v>106</v>
      </c>
      <c r="C105" s="104">
        <v>67154.899999999994</v>
      </c>
      <c r="D105" s="104">
        <v>67312.600000000006</v>
      </c>
      <c r="E105" s="122">
        <f t="shared" si="19"/>
        <v>157.70000000001164</v>
      </c>
      <c r="F105" s="110">
        <v>4803</v>
      </c>
      <c r="G105" s="111">
        <v>240.78</v>
      </c>
      <c r="H105" s="78">
        <f t="shared" si="20"/>
        <v>0.65495473045938879</v>
      </c>
      <c r="I105" s="104">
        <v>67427.199999999997</v>
      </c>
      <c r="J105" s="112">
        <f t="shared" si="21"/>
        <v>114.59999999999127</v>
      </c>
      <c r="K105" s="110">
        <v>4822</v>
      </c>
      <c r="L105" s="107">
        <f t="shared" si="22"/>
        <v>19</v>
      </c>
      <c r="M105" s="111">
        <v>143</v>
      </c>
      <c r="N105" s="28">
        <f t="shared" si="23"/>
        <v>0.80139860139854036</v>
      </c>
      <c r="O105" s="58">
        <f t="shared" si="24"/>
        <v>272.30000000000291</v>
      </c>
      <c r="P105" s="79">
        <f t="shared" si="25"/>
        <v>383.78</v>
      </c>
      <c r="Q105" s="34">
        <f t="shared" si="26"/>
        <v>0.70952107978530132</v>
      </c>
      <c r="R105" s="1">
        <v>33</v>
      </c>
    </row>
    <row r="106" spans="1:18" ht="24" customHeight="1">
      <c r="A106" s="81">
        <v>58</v>
      </c>
      <c r="B106" s="121" t="s">
        <v>107</v>
      </c>
      <c r="C106" s="104">
        <v>69431.399999999994</v>
      </c>
      <c r="D106" s="104">
        <v>69593</v>
      </c>
      <c r="E106" s="122">
        <f t="shared" si="19"/>
        <v>161.60000000000582</v>
      </c>
      <c r="F106" s="110">
        <v>4803</v>
      </c>
      <c r="G106" s="111">
        <v>241</v>
      </c>
      <c r="H106" s="78">
        <f t="shared" si="20"/>
        <v>0.67053941908716108</v>
      </c>
      <c r="I106" s="104">
        <v>69678.600000000006</v>
      </c>
      <c r="J106" s="112">
        <f t="shared" si="21"/>
        <v>85.600000000005821</v>
      </c>
      <c r="K106" s="110">
        <v>4822</v>
      </c>
      <c r="L106" s="107">
        <f t="shared" si="22"/>
        <v>19</v>
      </c>
      <c r="M106" s="111">
        <v>133</v>
      </c>
      <c r="N106" s="28">
        <f t="shared" si="23"/>
        <v>0.64360902255643471</v>
      </c>
      <c r="O106" s="58">
        <f t="shared" si="24"/>
        <v>247.20000000001164</v>
      </c>
      <c r="P106" s="79">
        <f t="shared" si="25"/>
        <v>374</v>
      </c>
      <c r="Q106" s="34">
        <f t="shared" si="26"/>
        <v>0.66096256684495092</v>
      </c>
      <c r="R106" s="1">
        <v>35</v>
      </c>
    </row>
    <row r="107" spans="1:18" ht="24" customHeight="1">
      <c r="A107" s="81">
        <v>59</v>
      </c>
      <c r="B107" s="121" t="s">
        <v>108</v>
      </c>
      <c r="C107" s="104">
        <v>68475.399999999994</v>
      </c>
      <c r="D107" s="104">
        <v>68665.7</v>
      </c>
      <c r="E107" s="122">
        <f t="shared" si="19"/>
        <v>190.30000000000291</v>
      </c>
      <c r="F107" s="110">
        <v>4770</v>
      </c>
      <c r="G107" s="111">
        <v>260.47000000000003</v>
      </c>
      <c r="H107" s="78">
        <f t="shared" si="20"/>
        <v>0.73060237263409566</v>
      </c>
      <c r="I107" s="104">
        <v>68821.5</v>
      </c>
      <c r="J107" s="112">
        <f t="shared" si="21"/>
        <v>155.80000000000291</v>
      </c>
      <c r="K107" s="110">
        <v>4794</v>
      </c>
      <c r="L107" s="107">
        <f t="shared" si="22"/>
        <v>24</v>
      </c>
      <c r="M107" s="111">
        <v>234</v>
      </c>
      <c r="N107" s="28">
        <f t="shared" si="23"/>
        <v>0.66581196581197821</v>
      </c>
      <c r="O107" s="58">
        <f t="shared" si="24"/>
        <v>346.10000000000582</v>
      </c>
      <c r="P107" s="79">
        <f t="shared" si="25"/>
        <v>494.47</v>
      </c>
      <c r="Q107" s="34">
        <f t="shared" si="26"/>
        <v>0.69994135134589719</v>
      </c>
      <c r="R107" s="1">
        <v>50</v>
      </c>
    </row>
    <row r="108" spans="1:18" ht="24" customHeight="1">
      <c r="A108" s="81">
        <v>60</v>
      </c>
      <c r="B108" s="121" t="s">
        <v>109</v>
      </c>
      <c r="C108" s="104">
        <v>70299.100000000006</v>
      </c>
      <c r="D108" s="104">
        <v>70444.600000000006</v>
      </c>
      <c r="E108" s="118">
        <f t="shared" si="19"/>
        <v>145.5</v>
      </c>
      <c r="F108" s="110">
        <v>4861</v>
      </c>
      <c r="G108" s="111">
        <v>215</v>
      </c>
      <c r="H108" s="55">
        <f t="shared" si="20"/>
        <v>0.67674418604651165</v>
      </c>
      <c r="I108" s="104">
        <v>70580.899999999994</v>
      </c>
      <c r="J108" s="119">
        <f t="shared" si="21"/>
        <v>136.29999999998836</v>
      </c>
      <c r="K108" s="110">
        <v>4881</v>
      </c>
      <c r="L108" s="120">
        <f t="shared" si="22"/>
        <v>20</v>
      </c>
      <c r="M108" s="111">
        <v>206</v>
      </c>
      <c r="N108" s="28">
        <f t="shared" si="23"/>
        <v>0.66165048543683669</v>
      </c>
      <c r="O108" s="58">
        <f t="shared" si="24"/>
        <v>281.79999999998836</v>
      </c>
      <c r="P108" s="79">
        <f t="shared" si="25"/>
        <v>421</v>
      </c>
      <c r="Q108" s="34">
        <f t="shared" si="26"/>
        <v>0.66935866983370151</v>
      </c>
      <c r="R108" s="1">
        <v>36</v>
      </c>
    </row>
    <row r="109" spans="1:18" ht="24" customHeight="1">
      <c r="A109" s="81">
        <v>61</v>
      </c>
      <c r="B109" s="121" t="s">
        <v>176</v>
      </c>
      <c r="C109" s="104">
        <v>0</v>
      </c>
      <c r="D109" s="104">
        <v>0</v>
      </c>
      <c r="E109" s="118">
        <f t="shared" si="19"/>
        <v>0</v>
      </c>
      <c r="F109" s="110">
        <v>0</v>
      </c>
      <c r="G109" s="111">
        <v>0</v>
      </c>
      <c r="H109" s="55">
        <f t="shared" si="20"/>
        <v>0</v>
      </c>
      <c r="I109" s="104">
        <v>0</v>
      </c>
      <c r="J109" s="119">
        <f t="shared" si="21"/>
        <v>0</v>
      </c>
      <c r="K109" s="110">
        <v>0</v>
      </c>
      <c r="L109" s="120">
        <f t="shared" si="22"/>
        <v>0</v>
      </c>
      <c r="M109" s="111">
        <v>0</v>
      </c>
      <c r="N109" s="28">
        <f t="shared" si="23"/>
        <v>0</v>
      </c>
      <c r="O109" s="58">
        <f t="shared" si="24"/>
        <v>0</v>
      </c>
      <c r="P109" s="79">
        <f t="shared" si="25"/>
        <v>0</v>
      </c>
      <c r="Q109" s="34">
        <f t="shared" si="26"/>
        <v>0</v>
      </c>
      <c r="R109" s="1">
        <v>14</v>
      </c>
    </row>
    <row r="110" spans="1:18" ht="24" customHeight="1">
      <c r="A110" s="81">
        <v>62</v>
      </c>
      <c r="B110" s="121" t="s">
        <v>177</v>
      </c>
      <c r="C110" s="104">
        <v>0</v>
      </c>
      <c r="D110" s="104">
        <v>0</v>
      </c>
      <c r="E110" s="118">
        <f t="shared" si="19"/>
        <v>0</v>
      </c>
      <c r="F110" s="110">
        <v>0</v>
      </c>
      <c r="G110" s="111">
        <v>0</v>
      </c>
      <c r="H110" s="55">
        <f t="shared" si="20"/>
        <v>0</v>
      </c>
      <c r="I110" s="104">
        <v>0</v>
      </c>
      <c r="J110" s="119">
        <f t="shared" si="21"/>
        <v>0</v>
      </c>
      <c r="K110" s="110">
        <v>0</v>
      </c>
      <c r="L110" s="120">
        <f t="shared" si="22"/>
        <v>0</v>
      </c>
      <c r="M110" s="111">
        <v>0</v>
      </c>
      <c r="N110" s="28">
        <f t="shared" si="23"/>
        <v>0</v>
      </c>
      <c r="O110" s="58">
        <f t="shared" si="24"/>
        <v>0</v>
      </c>
      <c r="P110" s="79">
        <f t="shared" si="25"/>
        <v>0</v>
      </c>
      <c r="Q110" s="34">
        <f t="shared" si="26"/>
        <v>0</v>
      </c>
      <c r="R110" s="1">
        <v>21</v>
      </c>
    </row>
    <row r="111" spans="1:18" ht="24" customHeight="1">
      <c r="A111" s="81">
        <v>63</v>
      </c>
      <c r="B111" s="121" t="s">
        <v>178</v>
      </c>
      <c r="C111" s="104">
        <v>0</v>
      </c>
      <c r="D111" s="104">
        <v>0</v>
      </c>
      <c r="E111" s="118">
        <f t="shared" si="19"/>
        <v>0</v>
      </c>
      <c r="F111" s="110">
        <v>0</v>
      </c>
      <c r="G111" s="111">
        <v>0</v>
      </c>
      <c r="H111" s="55">
        <f t="shared" si="20"/>
        <v>0</v>
      </c>
      <c r="I111" s="104">
        <v>0</v>
      </c>
      <c r="J111" s="119">
        <f t="shared" si="21"/>
        <v>0</v>
      </c>
      <c r="K111" s="110">
        <v>0</v>
      </c>
      <c r="L111" s="120">
        <f t="shared" si="22"/>
        <v>0</v>
      </c>
      <c r="M111" s="111">
        <v>0</v>
      </c>
      <c r="N111" s="28">
        <f t="shared" si="23"/>
        <v>0</v>
      </c>
      <c r="O111" s="58">
        <f t="shared" si="24"/>
        <v>0</v>
      </c>
      <c r="P111" s="79">
        <f t="shared" si="25"/>
        <v>0</v>
      </c>
      <c r="Q111" s="34">
        <f t="shared" si="26"/>
        <v>0</v>
      </c>
      <c r="R111" s="1">
        <v>20</v>
      </c>
    </row>
    <row r="112" spans="1:18" ht="24" customHeight="1">
      <c r="A112" s="81">
        <v>64</v>
      </c>
      <c r="B112" s="121" t="s">
        <v>179</v>
      </c>
      <c r="C112" s="104">
        <v>0</v>
      </c>
      <c r="D112" s="104">
        <v>0</v>
      </c>
      <c r="E112" s="118">
        <f t="shared" si="19"/>
        <v>0</v>
      </c>
      <c r="F112" s="110">
        <v>0</v>
      </c>
      <c r="G112" s="111">
        <v>0</v>
      </c>
      <c r="H112" s="55">
        <f t="shared" si="20"/>
        <v>0</v>
      </c>
      <c r="I112" s="104">
        <v>0</v>
      </c>
      <c r="J112" s="119">
        <f t="shared" si="21"/>
        <v>0</v>
      </c>
      <c r="K112" s="110">
        <v>0</v>
      </c>
      <c r="L112" s="120">
        <f t="shared" si="22"/>
        <v>0</v>
      </c>
      <c r="M112" s="111">
        <v>0</v>
      </c>
      <c r="N112" s="28">
        <f t="shared" si="23"/>
        <v>0</v>
      </c>
      <c r="O112" s="58">
        <f t="shared" si="24"/>
        <v>0</v>
      </c>
      <c r="P112" s="79">
        <f t="shared" si="25"/>
        <v>0</v>
      </c>
      <c r="Q112" s="34">
        <f t="shared" si="26"/>
        <v>0</v>
      </c>
      <c r="R112" s="1">
        <v>22</v>
      </c>
    </row>
    <row r="113" spans="1:18" ht="24" customHeight="1">
      <c r="A113" s="81">
        <v>65</v>
      </c>
      <c r="B113" s="121" t="s">
        <v>180</v>
      </c>
      <c r="C113" s="104">
        <v>0</v>
      </c>
      <c r="D113" s="104">
        <v>0</v>
      </c>
      <c r="E113" s="118">
        <f t="shared" si="19"/>
        <v>0</v>
      </c>
      <c r="F113" s="110">
        <v>0</v>
      </c>
      <c r="G113" s="111">
        <v>0</v>
      </c>
      <c r="H113" s="55">
        <f t="shared" si="20"/>
        <v>0</v>
      </c>
      <c r="I113" s="104">
        <v>0</v>
      </c>
      <c r="J113" s="119">
        <f t="shared" si="21"/>
        <v>0</v>
      </c>
      <c r="K113" s="110">
        <v>0</v>
      </c>
      <c r="L113" s="120">
        <f t="shared" si="22"/>
        <v>0</v>
      </c>
      <c r="M113" s="111">
        <v>0</v>
      </c>
      <c r="N113" s="28">
        <f t="shared" si="23"/>
        <v>0</v>
      </c>
      <c r="O113" s="58">
        <f t="shared" si="24"/>
        <v>0</v>
      </c>
      <c r="P113" s="79">
        <f t="shared" si="25"/>
        <v>0</v>
      </c>
      <c r="Q113" s="34">
        <f t="shared" si="26"/>
        <v>0</v>
      </c>
      <c r="R113" s="1">
        <v>22</v>
      </c>
    </row>
    <row r="114" spans="1:18" ht="24" customHeight="1">
      <c r="A114" s="81">
        <v>66</v>
      </c>
      <c r="B114" s="121" t="s">
        <v>110</v>
      </c>
      <c r="C114" s="104">
        <v>34353.4</v>
      </c>
      <c r="D114" s="104">
        <v>34497.199999999997</v>
      </c>
      <c r="E114" s="118">
        <f t="shared" si="19"/>
        <v>143.79999999999563</v>
      </c>
      <c r="F114" s="110">
        <v>2777</v>
      </c>
      <c r="G114" s="111">
        <v>241.07</v>
      </c>
      <c r="H114" s="55">
        <f t="shared" si="20"/>
        <v>0.59650723856139565</v>
      </c>
      <c r="I114" s="104">
        <v>34631.4</v>
      </c>
      <c r="J114" s="119">
        <f t="shared" si="21"/>
        <v>134.20000000000437</v>
      </c>
      <c r="K114" s="110">
        <v>2797</v>
      </c>
      <c r="L114" s="120">
        <f t="shared" si="22"/>
        <v>20</v>
      </c>
      <c r="M114" s="111">
        <v>185</v>
      </c>
      <c r="N114" s="28">
        <f t="shared" si="23"/>
        <v>0.72540540540542897</v>
      </c>
      <c r="O114" s="58">
        <f t="shared" si="24"/>
        <v>278</v>
      </c>
      <c r="P114" s="79">
        <f t="shared" si="25"/>
        <v>426.07</v>
      </c>
      <c r="Q114" s="34">
        <f t="shared" si="26"/>
        <v>0.65247494543150186</v>
      </c>
      <c r="R114" s="1">
        <v>45</v>
      </c>
    </row>
    <row r="115" spans="1:18" ht="22.2" customHeight="1">
      <c r="A115" s="123" t="s">
        <v>28</v>
      </c>
      <c r="B115" s="123"/>
      <c r="C115" s="40"/>
      <c r="D115" s="123"/>
      <c r="E115" s="124">
        <f>SUM(E49:E114)</f>
        <v>7033.0999999998821</v>
      </c>
      <c r="F115" s="125"/>
      <c r="G115" s="126">
        <f>SUM(G49:G114)</f>
        <v>10590.619999999999</v>
      </c>
      <c r="H115" s="39"/>
      <c r="I115" s="40"/>
      <c r="J115" s="40">
        <f>SUM(J49:J114)</f>
        <v>6094.0000000001237</v>
      </c>
      <c r="K115" s="127"/>
      <c r="L115" s="128">
        <f>SUM(L49:L114)</f>
        <v>1062.4199999999946</v>
      </c>
      <c r="M115" s="128">
        <f>SUM(M49:M114)</f>
        <v>9368.68</v>
      </c>
      <c r="N115" s="28">
        <f>IFERROR(J115/M115,0)</f>
        <v>0.65046516691787137</v>
      </c>
      <c r="O115" s="129">
        <f>SUM(O49:O114)</f>
        <v>13127.100000000006</v>
      </c>
      <c r="P115" s="79">
        <f>G115+M115</f>
        <v>19959.3</v>
      </c>
      <c r="Q115" s="34">
        <f>IFERROR(O115/P115,0)</f>
        <v>0.65769340608137594</v>
      </c>
      <c r="R115" s="130">
        <f>SUM(R49:R114)</f>
        <v>2051</v>
      </c>
    </row>
    <row r="116" spans="1:18" ht="22.2" customHeight="1" thickBot="1">
      <c r="A116" s="206" t="s">
        <v>111</v>
      </c>
      <c r="B116" s="207"/>
      <c r="C116" s="207"/>
      <c r="D116" s="207"/>
      <c r="E116" s="207"/>
      <c r="F116" s="207"/>
      <c r="G116" s="207"/>
      <c r="H116" s="207"/>
      <c r="I116" s="207"/>
      <c r="J116" s="207"/>
      <c r="K116" s="207"/>
      <c r="L116" s="208"/>
      <c r="M116" s="131"/>
      <c r="N116" s="132"/>
      <c r="O116" s="133"/>
    </row>
    <row r="117" spans="1:18" ht="22.2" customHeight="1">
      <c r="A117" s="209" t="s">
        <v>3</v>
      </c>
      <c r="B117" s="211" t="s">
        <v>4</v>
      </c>
      <c r="C117" s="213" t="s">
        <v>5</v>
      </c>
      <c r="D117" s="214"/>
      <c r="E117" s="214"/>
      <c r="F117" s="214"/>
      <c r="G117" s="215"/>
      <c r="H117" s="216" t="s">
        <v>6</v>
      </c>
      <c r="I117" s="217"/>
      <c r="J117" s="217"/>
      <c r="K117" s="218"/>
      <c r="L117" s="48"/>
      <c r="M117" s="219" t="s">
        <v>7</v>
      </c>
      <c r="N117" s="194" t="s">
        <v>8</v>
      </c>
      <c r="O117" s="37"/>
    </row>
    <row r="118" spans="1:18" ht="27.6" customHeight="1" thickBot="1">
      <c r="A118" s="210"/>
      <c r="B118" s="212"/>
      <c r="C118" s="49" t="s">
        <v>11</v>
      </c>
      <c r="D118" s="49" t="s">
        <v>12</v>
      </c>
      <c r="E118" s="49" t="s">
        <v>13</v>
      </c>
      <c r="F118" s="6" t="s">
        <v>14</v>
      </c>
      <c r="G118" s="6" t="s">
        <v>8</v>
      </c>
      <c r="H118" s="49" t="s">
        <v>12</v>
      </c>
      <c r="I118" s="49" t="s">
        <v>13</v>
      </c>
      <c r="J118" s="49" t="s">
        <v>14</v>
      </c>
      <c r="K118" s="7" t="s">
        <v>8</v>
      </c>
      <c r="L118" s="50" t="s">
        <v>15</v>
      </c>
      <c r="M118" s="220"/>
      <c r="N118" s="195"/>
      <c r="O118" s="37"/>
    </row>
    <row r="119" spans="1:18" ht="22.2" customHeight="1">
      <c r="A119" s="76">
        <v>1</v>
      </c>
      <c r="B119" s="31" t="s">
        <v>112</v>
      </c>
      <c r="C119" s="35">
        <v>121832</v>
      </c>
      <c r="D119" s="35">
        <v>121832</v>
      </c>
      <c r="E119" s="17">
        <f>D119-C119</f>
        <v>0</v>
      </c>
      <c r="F119" s="33">
        <v>0</v>
      </c>
      <c r="G119" s="10">
        <f>IFERROR(F119/E119,0)</f>
        <v>0</v>
      </c>
      <c r="H119" s="35">
        <v>121832</v>
      </c>
      <c r="I119" s="19">
        <f>H119-D119</f>
        <v>0</v>
      </c>
      <c r="J119" s="33">
        <v>0</v>
      </c>
      <c r="K119" s="28">
        <f t="shared" ref="K119:K133" si="27">IFERROR(J119/I119,0)</f>
        <v>0</v>
      </c>
      <c r="L119" s="18">
        <f t="shared" ref="L119:M133" si="28">E119+I119</f>
        <v>0</v>
      </c>
      <c r="M119" s="22">
        <f>F119+J119</f>
        <v>0</v>
      </c>
      <c r="N119" s="71">
        <f>IFERROR(L119/M119,0)</f>
        <v>0</v>
      </c>
      <c r="O119" s="37"/>
    </row>
    <row r="120" spans="1:18" ht="22.2" customHeight="1">
      <c r="A120" s="76">
        <v>2</v>
      </c>
      <c r="B120" s="31" t="s">
        <v>113</v>
      </c>
      <c r="C120" s="35">
        <v>4298.33</v>
      </c>
      <c r="D120" s="35">
        <v>4298.33</v>
      </c>
      <c r="E120" s="17">
        <f t="shared" ref="E120:E133" si="29">D120-C120</f>
        <v>0</v>
      </c>
      <c r="F120" s="33">
        <v>0</v>
      </c>
      <c r="G120" s="10">
        <f t="shared" ref="G120:G133" si="30">IFERROR(F120/E120,0)</f>
        <v>0</v>
      </c>
      <c r="H120" s="35">
        <v>4298.33</v>
      </c>
      <c r="I120" s="19">
        <f>H120-D120</f>
        <v>0</v>
      </c>
      <c r="J120" s="33">
        <v>0</v>
      </c>
      <c r="K120" s="28">
        <f t="shared" si="27"/>
        <v>0</v>
      </c>
      <c r="L120" s="18">
        <f t="shared" si="28"/>
        <v>0</v>
      </c>
      <c r="M120" s="22">
        <f t="shared" si="28"/>
        <v>0</v>
      </c>
      <c r="N120" s="71">
        <f t="shared" ref="N120:N133" si="31">IFERROR(L120/M120,0)</f>
        <v>0</v>
      </c>
      <c r="O120" s="134"/>
    </row>
    <row r="121" spans="1:18" ht="22.2" customHeight="1">
      <c r="A121" s="76">
        <v>3</v>
      </c>
      <c r="B121" s="31" t="s">
        <v>114</v>
      </c>
      <c r="C121" s="35">
        <v>156.43</v>
      </c>
      <c r="D121" s="35">
        <v>156.43</v>
      </c>
      <c r="E121" s="17">
        <f t="shared" si="29"/>
        <v>0</v>
      </c>
      <c r="F121" s="33">
        <v>0</v>
      </c>
      <c r="G121" s="10">
        <f t="shared" si="30"/>
        <v>0</v>
      </c>
      <c r="H121" s="35">
        <v>156.43</v>
      </c>
      <c r="I121" s="19">
        <f t="shared" ref="I121:I133" si="32">H121-D121</f>
        <v>0</v>
      </c>
      <c r="J121" s="33">
        <v>0</v>
      </c>
      <c r="K121" s="28">
        <f t="shared" si="27"/>
        <v>0</v>
      </c>
      <c r="L121" s="18">
        <f t="shared" si="28"/>
        <v>0</v>
      </c>
      <c r="M121" s="22">
        <f t="shared" si="28"/>
        <v>0</v>
      </c>
      <c r="N121" s="71">
        <f t="shared" si="31"/>
        <v>0</v>
      </c>
      <c r="O121" s="37"/>
    </row>
    <row r="122" spans="1:18" ht="22.2" customHeight="1">
      <c r="A122" s="76">
        <v>4</v>
      </c>
      <c r="B122" s="31" t="s">
        <v>115</v>
      </c>
      <c r="C122" s="136">
        <v>140361</v>
      </c>
      <c r="D122" s="136">
        <v>140361</v>
      </c>
      <c r="E122" s="17">
        <f t="shared" si="29"/>
        <v>0</v>
      </c>
      <c r="F122" s="33">
        <v>0</v>
      </c>
      <c r="G122" s="10">
        <f t="shared" si="30"/>
        <v>0</v>
      </c>
      <c r="H122" s="136">
        <v>140361</v>
      </c>
      <c r="I122" s="19">
        <f t="shared" si="32"/>
        <v>0</v>
      </c>
      <c r="J122" s="33">
        <v>0</v>
      </c>
      <c r="K122" s="28">
        <f t="shared" si="27"/>
        <v>0</v>
      </c>
      <c r="L122" s="18">
        <f t="shared" si="28"/>
        <v>0</v>
      </c>
      <c r="M122" s="22">
        <f t="shared" si="28"/>
        <v>0</v>
      </c>
      <c r="N122" s="71">
        <f t="shared" si="31"/>
        <v>0</v>
      </c>
      <c r="O122" s="137"/>
    </row>
    <row r="123" spans="1:18" ht="22.2" customHeight="1">
      <c r="A123" s="76">
        <v>5</v>
      </c>
      <c r="B123" s="31" t="s">
        <v>116</v>
      </c>
      <c r="C123" s="35">
        <v>44558.9</v>
      </c>
      <c r="D123" s="35">
        <v>44558.9</v>
      </c>
      <c r="E123" s="17">
        <f t="shared" si="29"/>
        <v>0</v>
      </c>
      <c r="F123" s="33">
        <v>0</v>
      </c>
      <c r="G123" s="10">
        <f t="shared" si="30"/>
        <v>0</v>
      </c>
      <c r="H123" s="35">
        <v>44558.9</v>
      </c>
      <c r="I123" s="19">
        <f t="shared" si="32"/>
        <v>0</v>
      </c>
      <c r="J123" s="33">
        <v>161</v>
      </c>
      <c r="K123" s="28">
        <f t="shared" si="27"/>
        <v>0</v>
      </c>
      <c r="L123" s="18">
        <f t="shared" si="28"/>
        <v>0</v>
      </c>
      <c r="M123" s="22">
        <f t="shared" si="28"/>
        <v>161</v>
      </c>
      <c r="N123" s="71">
        <f t="shared" si="31"/>
        <v>0</v>
      </c>
      <c r="O123" s="77"/>
    </row>
    <row r="124" spans="1:18" ht="22.2" customHeight="1">
      <c r="A124" s="76">
        <v>6</v>
      </c>
      <c r="B124" s="31" t="s">
        <v>117</v>
      </c>
      <c r="C124" s="35">
        <v>100316.9</v>
      </c>
      <c r="D124" s="35">
        <v>100316.9</v>
      </c>
      <c r="E124" s="17">
        <f t="shared" si="29"/>
        <v>0</v>
      </c>
      <c r="F124" s="33">
        <v>0</v>
      </c>
      <c r="G124" s="10">
        <f t="shared" si="30"/>
        <v>0</v>
      </c>
      <c r="H124" s="35">
        <v>100493.6</v>
      </c>
      <c r="I124" s="19">
        <f t="shared" si="32"/>
        <v>176.70000000001164</v>
      </c>
      <c r="J124" s="33">
        <v>182</v>
      </c>
      <c r="K124" s="28">
        <f t="shared" si="27"/>
        <v>1.029994340690368</v>
      </c>
      <c r="L124" s="18">
        <f t="shared" si="28"/>
        <v>176.70000000001164</v>
      </c>
      <c r="M124" s="22">
        <f t="shared" si="28"/>
        <v>182</v>
      </c>
      <c r="N124" s="71">
        <f t="shared" si="31"/>
        <v>0.97087912087918482</v>
      </c>
      <c r="O124" s="37"/>
    </row>
    <row r="125" spans="1:18" ht="22.2" customHeight="1">
      <c r="A125" s="76">
        <v>7</v>
      </c>
      <c r="B125" s="31" t="s">
        <v>118</v>
      </c>
      <c r="C125" s="35">
        <v>152067.5</v>
      </c>
      <c r="D125" s="35">
        <v>152067.5</v>
      </c>
      <c r="E125" s="17">
        <f t="shared" si="29"/>
        <v>0</v>
      </c>
      <c r="F125" s="33">
        <v>0</v>
      </c>
      <c r="G125" s="10">
        <f t="shared" si="30"/>
        <v>0</v>
      </c>
      <c r="H125" s="35">
        <v>152067.5</v>
      </c>
      <c r="I125" s="19">
        <f t="shared" si="32"/>
        <v>0</v>
      </c>
      <c r="J125" s="33">
        <v>0</v>
      </c>
      <c r="K125" s="28">
        <f t="shared" si="27"/>
        <v>0</v>
      </c>
      <c r="L125" s="18">
        <f t="shared" si="28"/>
        <v>0</v>
      </c>
      <c r="M125" s="22">
        <f>F125+J125</f>
        <v>0</v>
      </c>
      <c r="N125" s="71">
        <f t="shared" si="31"/>
        <v>0</v>
      </c>
      <c r="O125" s="37"/>
    </row>
    <row r="126" spans="1:18" ht="22.2" customHeight="1">
      <c r="A126" s="76">
        <v>8</v>
      </c>
      <c r="B126" s="138" t="s">
        <v>119</v>
      </c>
      <c r="C126" s="136">
        <v>40573.199999999997</v>
      </c>
      <c r="D126" s="136">
        <v>40650.800000000003</v>
      </c>
      <c r="E126" s="17">
        <f t="shared" si="29"/>
        <v>77.600000000005821</v>
      </c>
      <c r="F126" s="33">
        <v>173</v>
      </c>
      <c r="G126" s="10">
        <f t="shared" si="30"/>
        <v>2.2293814432988017</v>
      </c>
      <c r="H126" s="136">
        <v>40650.800000000003</v>
      </c>
      <c r="I126" s="19">
        <f t="shared" si="32"/>
        <v>0</v>
      </c>
      <c r="J126" s="33">
        <v>0</v>
      </c>
      <c r="K126" s="28">
        <f t="shared" si="27"/>
        <v>0</v>
      </c>
      <c r="L126" s="18">
        <f t="shared" si="28"/>
        <v>77.600000000005821</v>
      </c>
      <c r="M126" s="22">
        <f>F126+J126</f>
        <v>173</v>
      </c>
      <c r="N126" s="71">
        <f t="shared" si="31"/>
        <v>0.44855491329483133</v>
      </c>
      <c r="O126" s="37"/>
    </row>
    <row r="127" spans="1:18" ht="22.2" customHeight="1">
      <c r="A127" s="76">
        <v>9</v>
      </c>
      <c r="B127" s="138" t="s">
        <v>120</v>
      </c>
      <c r="C127" s="35">
        <v>33807</v>
      </c>
      <c r="D127" s="35">
        <v>33807</v>
      </c>
      <c r="E127" s="17">
        <f t="shared" si="29"/>
        <v>0</v>
      </c>
      <c r="F127" s="33">
        <v>0</v>
      </c>
      <c r="G127" s="10">
        <f t="shared" si="30"/>
        <v>0</v>
      </c>
      <c r="H127" s="35">
        <v>33807</v>
      </c>
      <c r="I127" s="19">
        <f t="shared" si="32"/>
        <v>0</v>
      </c>
      <c r="J127" s="33">
        <v>0</v>
      </c>
      <c r="K127" s="28">
        <f t="shared" si="27"/>
        <v>0</v>
      </c>
      <c r="L127" s="18">
        <f t="shared" si="28"/>
        <v>0</v>
      </c>
      <c r="M127" s="22">
        <f t="shared" si="28"/>
        <v>0</v>
      </c>
      <c r="N127" s="71">
        <f t="shared" si="31"/>
        <v>0</v>
      </c>
      <c r="O127" s="37"/>
    </row>
    <row r="128" spans="1:18" ht="22.2" customHeight="1">
      <c r="A128" s="76">
        <v>10</v>
      </c>
      <c r="B128" s="31" t="s">
        <v>121</v>
      </c>
      <c r="C128" s="35">
        <v>154787</v>
      </c>
      <c r="D128" s="35">
        <v>154787</v>
      </c>
      <c r="E128" s="17">
        <f t="shared" si="29"/>
        <v>0</v>
      </c>
      <c r="F128" s="33">
        <v>0</v>
      </c>
      <c r="G128" s="10">
        <f t="shared" si="30"/>
        <v>0</v>
      </c>
      <c r="H128" s="35">
        <v>154787</v>
      </c>
      <c r="I128" s="19">
        <f t="shared" si="32"/>
        <v>0</v>
      </c>
      <c r="J128" s="33">
        <v>0</v>
      </c>
      <c r="K128" s="28">
        <f t="shared" si="27"/>
        <v>0</v>
      </c>
      <c r="L128" s="18">
        <f t="shared" si="28"/>
        <v>0</v>
      </c>
      <c r="M128" s="22">
        <f t="shared" si="28"/>
        <v>0</v>
      </c>
      <c r="N128" s="71">
        <f t="shared" si="31"/>
        <v>0</v>
      </c>
      <c r="O128" s="137"/>
    </row>
    <row r="129" spans="1:17" ht="23.4" customHeight="1">
      <c r="A129" s="76">
        <v>11</v>
      </c>
      <c r="B129" s="138" t="s">
        <v>122</v>
      </c>
      <c r="C129" s="35">
        <v>36866</v>
      </c>
      <c r="D129" s="35">
        <v>36866</v>
      </c>
      <c r="E129" s="17">
        <f t="shared" si="29"/>
        <v>0</v>
      </c>
      <c r="F129" s="33">
        <v>0</v>
      </c>
      <c r="G129" s="10">
        <f t="shared" si="30"/>
        <v>0</v>
      </c>
      <c r="H129" s="35">
        <v>36866</v>
      </c>
      <c r="I129" s="19">
        <f t="shared" si="32"/>
        <v>0</v>
      </c>
      <c r="J129" s="33">
        <v>0</v>
      </c>
      <c r="K129" s="28">
        <f t="shared" si="27"/>
        <v>0</v>
      </c>
      <c r="L129" s="18">
        <f t="shared" si="28"/>
        <v>0</v>
      </c>
      <c r="M129" s="22">
        <f t="shared" si="28"/>
        <v>0</v>
      </c>
      <c r="N129" s="71">
        <f t="shared" si="31"/>
        <v>0</v>
      </c>
      <c r="O129" s="37"/>
      <c r="Q129" s="38"/>
    </row>
    <row r="130" spans="1:17" ht="22.2" customHeight="1">
      <c r="A130" s="76">
        <v>12</v>
      </c>
      <c r="B130" s="138" t="s">
        <v>123</v>
      </c>
      <c r="C130" s="35">
        <v>15919</v>
      </c>
      <c r="D130" s="35">
        <v>15919</v>
      </c>
      <c r="E130" s="17">
        <f t="shared" si="29"/>
        <v>0</v>
      </c>
      <c r="F130" s="33">
        <v>0</v>
      </c>
      <c r="G130" s="78">
        <f t="shared" si="30"/>
        <v>0</v>
      </c>
      <c r="H130" s="35">
        <v>15919</v>
      </c>
      <c r="I130" s="19">
        <f t="shared" si="32"/>
        <v>0</v>
      </c>
      <c r="J130" s="33">
        <v>0</v>
      </c>
      <c r="K130" s="28">
        <f t="shared" si="27"/>
        <v>0</v>
      </c>
      <c r="L130" s="18">
        <f t="shared" si="28"/>
        <v>0</v>
      </c>
      <c r="M130" s="79">
        <f t="shared" si="28"/>
        <v>0</v>
      </c>
      <c r="N130" s="71">
        <f t="shared" si="31"/>
        <v>0</v>
      </c>
      <c r="O130" s="37"/>
      <c r="Q130" s="45"/>
    </row>
    <row r="131" spans="1:17" ht="21.6" customHeight="1">
      <c r="A131" s="76">
        <v>13</v>
      </c>
      <c r="B131" s="171" t="s">
        <v>124</v>
      </c>
      <c r="C131" s="35">
        <v>890.2</v>
      </c>
      <c r="D131" s="35">
        <v>890.2</v>
      </c>
      <c r="E131" s="17">
        <f t="shared" si="29"/>
        <v>0</v>
      </c>
      <c r="F131" s="35">
        <v>0</v>
      </c>
      <c r="G131" s="78">
        <f t="shared" si="30"/>
        <v>0</v>
      </c>
      <c r="H131" s="35">
        <v>890.2</v>
      </c>
      <c r="I131" s="19">
        <f t="shared" si="32"/>
        <v>0</v>
      </c>
      <c r="J131" s="35">
        <v>0</v>
      </c>
      <c r="K131" s="28">
        <f t="shared" si="27"/>
        <v>0</v>
      </c>
      <c r="L131" s="18">
        <f t="shared" si="28"/>
        <v>0</v>
      </c>
      <c r="M131" s="79">
        <f t="shared" si="28"/>
        <v>0</v>
      </c>
      <c r="N131" s="71">
        <f t="shared" si="31"/>
        <v>0</v>
      </c>
      <c r="O131" s="37"/>
      <c r="Q131" s="45"/>
    </row>
    <row r="132" spans="1:17" ht="21.6" customHeight="1">
      <c r="A132" s="76">
        <v>14</v>
      </c>
      <c r="B132" s="171" t="s">
        <v>174</v>
      </c>
      <c r="C132" s="35">
        <v>2401</v>
      </c>
      <c r="D132" s="35">
        <v>2401</v>
      </c>
      <c r="E132" s="17">
        <f t="shared" si="29"/>
        <v>0</v>
      </c>
      <c r="F132" s="35">
        <v>0</v>
      </c>
      <c r="G132" s="78">
        <f t="shared" si="30"/>
        <v>0</v>
      </c>
      <c r="H132" s="35">
        <v>2401</v>
      </c>
      <c r="I132" s="19">
        <f t="shared" si="32"/>
        <v>0</v>
      </c>
      <c r="J132" s="141">
        <v>0</v>
      </c>
      <c r="K132" s="28">
        <f t="shared" si="27"/>
        <v>0</v>
      </c>
      <c r="L132" s="18">
        <f t="shared" si="28"/>
        <v>0</v>
      </c>
      <c r="M132" s="79">
        <f t="shared" si="28"/>
        <v>0</v>
      </c>
      <c r="N132" s="71">
        <f t="shared" si="31"/>
        <v>0</v>
      </c>
      <c r="O132" s="37"/>
      <c r="Q132" s="45"/>
    </row>
    <row r="133" spans="1:17" ht="25.2" customHeight="1">
      <c r="A133" s="76">
        <v>15</v>
      </c>
      <c r="B133" s="138" t="s">
        <v>127</v>
      </c>
      <c r="C133" s="35">
        <v>0</v>
      </c>
      <c r="D133" s="35">
        <v>0</v>
      </c>
      <c r="E133" s="17">
        <f t="shared" si="29"/>
        <v>0</v>
      </c>
      <c r="F133" s="33">
        <v>0</v>
      </c>
      <c r="G133" s="78">
        <f t="shared" si="30"/>
        <v>0</v>
      </c>
      <c r="H133" s="35">
        <v>0</v>
      </c>
      <c r="I133" s="19">
        <f t="shared" si="32"/>
        <v>0</v>
      </c>
      <c r="J133" s="33">
        <v>0</v>
      </c>
      <c r="K133" s="28">
        <f t="shared" si="27"/>
        <v>0</v>
      </c>
      <c r="L133" s="18">
        <f t="shared" si="28"/>
        <v>0</v>
      </c>
      <c r="M133" s="79">
        <f t="shared" si="28"/>
        <v>0</v>
      </c>
      <c r="N133" s="71">
        <f t="shared" si="31"/>
        <v>0</v>
      </c>
      <c r="O133" s="77"/>
      <c r="Q133" s="45"/>
    </row>
    <row r="134" spans="1:17" ht="18">
      <c r="A134" s="196" t="s">
        <v>28</v>
      </c>
      <c r="B134" s="197"/>
      <c r="C134" s="123"/>
      <c r="D134" s="123"/>
      <c r="E134" s="40">
        <f>SUM(E119:E133)</f>
        <v>77.600000000005821</v>
      </c>
      <c r="F134" s="40">
        <f>SUM(F119:F133)</f>
        <v>173</v>
      </c>
      <c r="G134" s="39"/>
      <c r="H134" s="39"/>
      <c r="I134" s="40">
        <f>SUM(I119:I133)</f>
        <v>176.70000000001164</v>
      </c>
      <c r="J134" s="40">
        <f>SUM(J119:J133)</f>
        <v>343</v>
      </c>
      <c r="K134" s="145"/>
      <c r="L134" s="146">
        <f>SUM(L119:L133)</f>
        <v>254.30000000001746</v>
      </c>
      <c r="M134" s="147">
        <f>SUM(M119:M133)</f>
        <v>516</v>
      </c>
      <c r="N134" s="34"/>
      <c r="O134" s="37"/>
      <c r="P134" s="72"/>
    </row>
    <row r="135" spans="1:17" ht="21.6" thickBot="1">
      <c r="A135" s="148"/>
      <c r="B135" s="149"/>
      <c r="C135" s="149"/>
      <c r="D135" s="149"/>
      <c r="E135" s="149" t="s">
        <v>139</v>
      </c>
      <c r="F135" s="150">
        <f>F18+F24+F33+F39+F45+G115+F134</f>
        <v>15421.38</v>
      </c>
      <c r="G135" s="149"/>
      <c r="H135" s="149"/>
      <c r="I135" s="151" t="s">
        <v>140</v>
      </c>
      <c r="J135" s="150">
        <f>J18+J24+J33+J39+J45+M115+J134</f>
        <v>13912.66</v>
      </c>
      <c r="K135" s="198" t="s">
        <v>141</v>
      </c>
      <c r="L135" s="198"/>
      <c r="M135" s="198"/>
      <c r="N135" s="198"/>
      <c r="O135" s="152"/>
    </row>
    <row r="136" spans="1:17" ht="15">
      <c r="B136" s="153"/>
      <c r="C136" s="152"/>
      <c r="D136" s="152"/>
      <c r="E136" s="152"/>
      <c r="F136" s="152"/>
      <c r="G136" s="152"/>
      <c r="H136" s="152"/>
      <c r="I136" s="152"/>
      <c r="J136" s="154"/>
      <c r="K136" s="155" t="s">
        <v>142</v>
      </c>
      <c r="L136" s="199">
        <f>N2</f>
        <v>46214</v>
      </c>
      <c r="M136" s="200"/>
      <c r="N136" s="156"/>
      <c r="O136" s="157">
        <f>M134-N142</f>
        <v>0</v>
      </c>
    </row>
    <row r="137" spans="1:17" ht="18">
      <c r="B137" s="158" t="s">
        <v>143</v>
      </c>
      <c r="C137" s="159">
        <f>F135</f>
        <v>15421.38</v>
      </c>
      <c r="D137" s="160"/>
      <c r="E137" s="160"/>
      <c r="F137" s="159"/>
      <c r="G137" s="160"/>
      <c r="H137" s="160"/>
      <c r="I137" s="160"/>
      <c r="J137" s="45"/>
      <c r="K137" s="188" t="s">
        <v>144</v>
      </c>
      <c r="L137" s="189"/>
      <c r="M137" s="190"/>
      <c r="N137" s="161">
        <f>P115</f>
        <v>19959.3</v>
      </c>
      <c r="O137" s="152"/>
    </row>
    <row r="138" spans="1:17" ht="18">
      <c r="B138" s="158" t="s">
        <v>145</v>
      </c>
      <c r="C138" s="159">
        <f>J135</f>
        <v>13912.66</v>
      </c>
      <c r="D138" s="160"/>
      <c r="E138" s="160"/>
      <c r="F138" s="159"/>
      <c r="G138" s="159"/>
      <c r="H138" s="160"/>
      <c r="I138" s="160"/>
      <c r="J138" s="45"/>
      <c r="K138" s="188" t="s">
        <v>146</v>
      </c>
      <c r="L138" s="189"/>
      <c r="M138" s="190"/>
      <c r="N138" s="161">
        <f>M18</f>
        <v>5756.7</v>
      </c>
      <c r="O138" s="152"/>
    </row>
    <row r="139" spans="1:17" ht="18">
      <c r="B139" s="158" t="s">
        <v>28</v>
      </c>
      <c r="C139" s="159">
        <f>C137+C138</f>
        <v>29334.04</v>
      </c>
      <c r="D139" s="160"/>
      <c r="E139" s="160"/>
      <c r="F139" s="160"/>
      <c r="G139" s="159"/>
      <c r="H139" s="160"/>
      <c r="I139" s="160"/>
      <c r="K139" s="188" t="s">
        <v>147</v>
      </c>
      <c r="L139" s="189"/>
      <c r="M139" s="190"/>
      <c r="N139" s="161">
        <f>M33</f>
        <v>1842.95</v>
      </c>
    </row>
    <row r="140" spans="1:17" ht="18">
      <c r="C140" s="45"/>
      <c r="D140" s="45"/>
      <c r="E140" s="45"/>
      <c r="F140" s="45"/>
      <c r="G140" s="45"/>
      <c r="H140" s="160" t="s">
        <v>94</v>
      </c>
      <c r="I140" s="45"/>
      <c r="K140" s="188" t="s">
        <v>148</v>
      </c>
      <c r="L140" s="189"/>
      <c r="M140" s="190"/>
      <c r="N140" s="161">
        <f>M39</f>
        <v>356</v>
      </c>
    </row>
    <row r="141" spans="1:17" ht="25.2" customHeight="1">
      <c r="B141" s="162" t="s">
        <v>149</v>
      </c>
      <c r="C141" s="193"/>
      <c r="D141" s="193"/>
      <c r="E141" s="193"/>
      <c r="F141" s="193"/>
      <c r="G141" s="193"/>
      <c r="H141" s="193"/>
      <c r="I141" s="193"/>
      <c r="J141" s="193"/>
      <c r="K141" s="188" t="s">
        <v>150</v>
      </c>
      <c r="L141" s="189"/>
      <c r="M141" s="190"/>
      <c r="N141" s="161">
        <f>M45</f>
        <v>612.23</v>
      </c>
    </row>
    <row r="142" spans="1:17" ht="18">
      <c r="C142" s="45"/>
      <c r="D142" s="45"/>
      <c r="E142" s="26"/>
      <c r="F142" s="26"/>
      <c r="G142" s="45"/>
      <c r="H142" s="160"/>
      <c r="I142" s="45"/>
      <c r="K142" s="188" t="s">
        <v>151</v>
      </c>
      <c r="L142" s="189"/>
      <c r="M142" s="190"/>
      <c r="N142" s="161">
        <f>M123+M124+M125+M126</f>
        <v>516</v>
      </c>
    </row>
    <row r="143" spans="1:17" ht="18">
      <c r="E143" s="38"/>
      <c r="F143" s="45"/>
      <c r="G143" s="45"/>
      <c r="H143" s="160"/>
      <c r="I143" s="45"/>
      <c r="K143" s="188" t="s">
        <v>152</v>
      </c>
      <c r="L143" s="189"/>
      <c r="M143" s="190"/>
      <c r="N143" s="161">
        <f>O136</f>
        <v>0</v>
      </c>
    </row>
    <row r="144" spans="1:17" ht="18.600000000000001" thickBot="1">
      <c r="C144" s="38"/>
      <c r="D144" s="38"/>
      <c r="G144" s="163"/>
      <c r="H144" s="160"/>
      <c r="K144" s="188" t="s">
        <v>153</v>
      </c>
      <c r="L144" s="189"/>
      <c r="M144" s="190"/>
      <c r="N144" s="164">
        <f>M24</f>
        <v>290.86</v>
      </c>
      <c r="P144" s="38"/>
    </row>
    <row r="145" spans="1:14" ht="16.8" thickBot="1">
      <c r="C145" s="38"/>
      <c r="D145" s="38"/>
      <c r="E145" s="38"/>
      <c r="F145" s="38"/>
      <c r="H145" s="38"/>
      <c r="K145" s="191" t="s">
        <v>154</v>
      </c>
      <c r="L145" s="192"/>
      <c r="M145" s="192"/>
      <c r="N145" s="165">
        <f>SUM(N137:N144)</f>
        <v>29334.04</v>
      </c>
    </row>
    <row r="146" spans="1:14">
      <c r="C146" s="38"/>
      <c r="D146" s="38"/>
      <c r="E146" s="159"/>
      <c r="F146" s="159"/>
      <c r="H146" s="38"/>
      <c r="I146" s="38"/>
    </row>
    <row r="147" spans="1:14">
      <c r="C147" s="38"/>
      <c r="D147" s="38"/>
      <c r="E147" s="38"/>
      <c r="F147" s="38"/>
      <c r="H147" s="160"/>
    </row>
    <row r="148" spans="1:14">
      <c r="A148" s="159"/>
      <c r="B148" s="159"/>
      <c r="C148" s="159"/>
      <c r="D148" s="159"/>
      <c r="E148" s="159"/>
      <c r="F148" s="159"/>
      <c r="G148" s="38"/>
      <c r="H148" s="38"/>
      <c r="N148" s="45"/>
    </row>
    <row r="149" spans="1:14">
      <c r="A149" s="159"/>
    </row>
  </sheetData>
  <mergeCells count="72">
    <mergeCell ref="K144:M144"/>
    <mergeCell ref="K145:M145"/>
    <mergeCell ref="K139:M139"/>
    <mergeCell ref="K140:M140"/>
    <mergeCell ref="C141:J141"/>
    <mergeCell ref="K141:M141"/>
    <mergeCell ref="K142:M142"/>
    <mergeCell ref="K143:M143"/>
    <mergeCell ref="K138:M138"/>
    <mergeCell ref="O47:O48"/>
    <mergeCell ref="P47:P48"/>
    <mergeCell ref="Q47:Q48"/>
    <mergeCell ref="R47:R48"/>
    <mergeCell ref="A116:L116"/>
    <mergeCell ref="A117:A118"/>
    <mergeCell ref="B117:B118"/>
    <mergeCell ref="C117:G117"/>
    <mergeCell ref="H117:K117"/>
    <mergeCell ref="M117:M118"/>
    <mergeCell ref="N117:N118"/>
    <mergeCell ref="A134:B134"/>
    <mergeCell ref="K135:N135"/>
    <mergeCell ref="L136:M136"/>
    <mergeCell ref="K137:M137"/>
    <mergeCell ref="M41:M42"/>
    <mergeCell ref="N41:N42"/>
    <mergeCell ref="A45:B45"/>
    <mergeCell ref="A46:L46"/>
    <mergeCell ref="A47:A48"/>
    <mergeCell ref="B47:B48"/>
    <mergeCell ref="C47:H47"/>
    <mergeCell ref="I47:N47"/>
    <mergeCell ref="A39:B39"/>
    <mergeCell ref="A40:L40"/>
    <mergeCell ref="A41:A42"/>
    <mergeCell ref="B41:B42"/>
    <mergeCell ref="C41:G41"/>
    <mergeCell ref="H41:K41"/>
    <mergeCell ref="M26:M27"/>
    <mergeCell ref="N26:N27"/>
    <mergeCell ref="A33:B33"/>
    <mergeCell ref="A34:L34"/>
    <mergeCell ref="A35:A36"/>
    <mergeCell ref="B35:B36"/>
    <mergeCell ref="C35:G35"/>
    <mergeCell ref="H35:K35"/>
    <mergeCell ref="M35:M36"/>
    <mergeCell ref="N35:N36"/>
    <mergeCell ref="A24:B24"/>
    <mergeCell ref="A25:L25"/>
    <mergeCell ref="A26:A27"/>
    <mergeCell ref="B26:B27"/>
    <mergeCell ref="C26:G26"/>
    <mergeCell ref="H26:K26"/>
    <mergeCell ref="O3:O4"/>
    <mergeCell ref="P3:P4"/>
    <mergeCell ref="A18:B18"/>
    <mergeCell ref="A19:L19"/>
    <mergeCell ref="A20:A21"/>
    <mergeCell ref="B20:B21"/>
    <mergeCell ref="C20:G20"/>
    <mergeCell ref="H20:K20"/>
    <mergeCell ref="M20:M21"/>
    <mergeCell ref="N20:N21"/>
    <mergeCell ref="A1:N1"/>
    <mergeCell ref="A2:L2"/>
    <mergeCell ref="A3:A4"/>
    <mergeCell ref="B3:B4"/>
    <mergeCell ref="C3:G3"/>
    <mergeCell ref="H3:L3"/>
    <mergeCell ref="M3:M4"/>
    <mergeCell ref="N3:N4"/>
  </mergeCells>
  <phoneticPr fontId="45" type="noConversion"/>
  <conditionalFormatting sqref="N7:N19 N22:N23 N28:N32 N37:N38 N43:N44">
    <cfRule type="cellIs" dxfId="31" priority="2" operator="greaterThan">
      <formula>40</formula>
    </cfRule>
  </conditionalFormatting>
  <conditionalFormatting sqref="Q49:Q115">
    <cfRule type="cellIs" dxfId="30" priority="1" operator="lessThan">
      <formula>0.5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00F58-3313-430F-BC51-5FB9D6617846}">
  <dimension ref="A1:AA150"/>
  <sheetViews>
    <sheetView zoomScale="74" zoomScaleNormal="74" workbookViewId="0">
      <pane ySplit="1" topLeftCell="A74" activePane="bottomLeft" state="frozen"/>
      <selection pane="bottomLeft" activeCell="I87" sqref="I87"/>
    </sheetView>
  </sheetViews>
  <sheetFormatPr defaultColWidth="9" defaultRowHeight="14.4"/>
  <cols>
    <col min="1" max="1" width="8.5546875" customWidth="1"/>
    <col min="2" max="2" width="29.44140625" bestFit="1" customWidth="1"/>
    <col min="3" max="3" width="11.6640625" customWidth="1"/>
    <col min="4" max="4" width="11.21875" customWidth="1"/>
    <col min="5" max="5" width="9.77734375" customWidth="1"/>
    <col min="6" max="6" width="13.6640625" customWidth="1"/>
    <col min="7" max="7" width="10" customWidth="1"/>
    <col min="8" max="8" width="9.77734375" customWidth="1"/>
    <col min="9" max="9" width="12.77734375" bestFit="1" customWidth="1"/>
    <col min="10" max="10" width="10.6640625" bestFit="1" customWidth="1"/>
    <col min="11" max="11" width="15.77734375" customWidth="1"/>
    <col min="12" max="12" width="10.77734375" customWidth="1"/>
    <col min="13" max="13" width="12.5546875" customWidth="1"/>
    <col min="14" max="14" width="17.88671875" customWidth="1"/>
    <col min="15" max="15" width="13.44140625" customWidth="1"/>
    <col min="16" max="16" width="17" customWidth="1"/>
    <col min="17" max="17" width="11.109375" bestFit="1" customWidth="1"/>
    <col min="19" max="19" width="9.21875" bestFit="1" customWidth="1"/>
    <col min="20" max="20" width="8.21875" bestFit="1" customWidth="1"/>
    <col min="21" max="22" width="11.21875" customWidth="1"/>
  </cols>
  <sheetData>
    <row r="1" spans="1:22" ht="18.600000000000001" thickBot="1">
      <c r="A1" s="249" t="s">
        <v>0</v>
      </c>
      <c r="B1" s="249"/>
      <c r="C1" s="249"/>
      <c r="D1" s="249"/>
      <c r="E1" s="249"/>
      <c r="F1" s="249"/>
      <c r="G1" s="249"/>
      <c r="H1" s="249"/>
      <c r="I1" s="249"/>
      <c r="J1" s="249"/>
      <c r="K1" s="249"/>
      <c r="L1" s="249"/>
      <c r="M1" s="249"/>
      <c r="N1" s="249"/>
      <c r="O1" s="1"/>
      <c r="V1" s="2"/>
    </row>
    <row r="2" spans="1:22" ht="19.8" customHeight="1" thickBot="1">
      <c r="A2" s="250" t="s">
        <v>1</v>
      </c>
      <c r="B2" s="251"/>
      <c r="C2" s="252"/>
      <c r="D2" s="252"/>
      <c r="E2" s="252"/>
      <c r="F2" s="252"/>
      <c r="G2" s="252"/>
      <c r="H2" s="252"/>
      <c r="I2" s="252"/>
      <c r="J2" s="252"/>
      <c r="K2" s="252"/>
      <c r="L2" s="251"/>
      <c r="M2" s="3" t="s">
        <v>2</v>
      </c>
      <c r="N2" s="4">
        <v>46215</v>
      </c>
      <c r="O2" s="1"/>
    </row>
    <row r="3" spans="1:22" ht="18" customHeight="1">
      <c r="A3" s="209" t="s">
        <v>3</v>
      </c>
      <c r="B3" s="211" t="s">
        <v>4</v>
      </c>
      <c r="C3" s="213" t="s">
        <v>5</v>
      </c>
      <c r="D3" s="214"/>
      <c r="E3" s="214"/>
      <c r="F3" s="214"/>
      <c r="G3" s="215"/>
      <c r="H3" s="253" t="s">
        <v>6</v>
      </c>
      <c r="I3" s="254"/>
      <c r="J3" s="254"/>
      <c r="K3" s="254"/>
      <c r="L3" s="255"/>
      <c r="M3" s="219" t="s">
        <v>7</v>
      </c>
      <c r="N3" s="194" t="s">
        <v>8</v>
      </c>
      <c r="O3" s="243" t="s">
        <v>9</v>
      </c>
      <c r="P3" s="222" t="s">
        <v>10</v>
      </c>
    </row>
    <row r="4" spans="1:22" ht="22.8" customHeight="1">
      <c r="A4" s="247"/>
      <c r="B4" s="248"/>
      <c r="C4" s="6" t="s">
        <v>11</v>
      </c>
      <c r="D4" s="6" t="s">
        <v>12</v>
      </c>
      <c r="E4" s="6" t="s">
        <v>13</v>
      </c>
      <c r="F4" s="6" t="s">
        <v>14</v>
      </c>
      <c r="G4" s="6" t="s">
        <v>8</v>
      </c>
      <c r="H4" s="6" t="s">
        <v>12</v>
      </c>
      <c r="I4" s="6" t="s">
        <v>13</v>
      </c>
      <c r="J4" s="6" t="s">
        <v>14</v>
      </c>
      <c r="K4" s="7" t="s">
        <v>8</v>
      </c>
      <c r="L4" s="8" t="s">
        <v>15</v>
      </c>
      <c r="M4" s="236"/>
      <c r="N4" s="237"/>
      <c r="O4" s="248"/>
      <c r="P4" s="243"/>
    </row>
    <row r="5" spans="1:22" ht="22.8" customHeight="1">
      <c r="A5" s="5">
        <v>1</v>
      </c>
      <c r="B5" s="9" t="s">
        <v>175</v>
      </c>
      <c r="C5" s="2">
        <v>32003.5</v>
      </c>
      <c r="D5" s="2">
        <v>32003.5</v>
      </c>
      <c r="E5" s="2">
        <f>D5-C5</f>
        <v>0</v>
      </c>
      <c r="F5" s="2">
        <v>0</v>
      </c>
      <c r="G5" s="10">
        <f>IFERROR(F5/E5,0)</f>
        <v>0</v>
      </c>
      <c r="H5" s="2">
        <v>32003.5</v>
      </c>
      <c r="I5" s="167">
        <f>H5-D5</f>
        <v>0</v>
      </c>
      <c r="J5" s="2">
        <v>0</v>
      </c>
      <c r="K5" s="11">
        <f>IFERROR(J5/I5,0)</f>
        <v>0</v>
      </c>
      <c r="L5" s="12">
        <f>E5+I5</f>
        <v>0</v>
      </c>
      <c r="M5" s="13">
        <f>F5+J5</f>
        <v>0</v>
      </c>
      <c r="N5" s="14">
        <f>IFERROR(M5/L5,0)</f>
        <v>0</v>
      </c>
      <c r="O5" s="2">
        <v>0</v>
      </c>
      <c r="P5" s="5"/>
    </row>
    <row r="6" spans="1:22" ht="22.8" customHeight="1">
      <c r="A6" s="81">
        <v>2</v>
      </c>
      <c r="B6" s="16" t="s">
        <v>170</v>
      </c>
      <c r="C6" s="49">
        <v>33802.6</v>
      </c>
      <c r="D6" s="49">
        <v>33814.400000000001</v>
      </c>
      <c r="E6" s="2">
        <f>D6-C6</f>
        <v>11.80000000000291</v>
      </c>
      <c r="F6" s="49">
        <v>382.83</v>
      </c>
      <c r="G6" s="10">
        <f>IFERROR(F6/E6,0)</f>
        <v>32.443220338975046</v>
      </c>
      <c r="H6" s="49">
        <v>33823.5</v>
      </c>
      <c r="I6" s="167">
        <f>H6-D6</f>
        <v>9.0999999999985448</v>
      </c>
      <c r="J6" s="49">
        <v>289.73</v>
      </c>
      <c r="K6" s="11">
        <f>IFERROR(J6/I6,0)</f>
        <v>31.838461538466632</v>
      </c>
      <c r="L6" s="169">
        <v>0</v>
      </c>
      <c r="M6" s="13">
        <f>F6+J6</f>
        <v>672.56</v>
      </c>
      <c r="N6" s="14">
        <f>IFERROR(M6/L6,0)</f>
        <v>0</v>
      </c>
      <c r="O6" s="49">
        <v>250</v>
      </c>
      <c r="P6" s="81"/>
    </row>
    <row r="7" spans="1:22" ht="24" customHeight="1">
      <c r="A7" s="5">
        <v>3</v>
      </c>
      <c r="B7" s="16" t="s">
        <v>17</v>
      </c>
      <c r="C7" s="17">
        <v>32493.3</v>
      </c>
      <c r="D7" s="17">
        <v>32493.3</v>
      </c>
      <c r="E7" s="17">
        <f t="shared" ref="E7:E18" si="0">D7-C7</f>
        <v>0</v>
      </c>
      <c r="F7" s="18">
        <v>0</v>
      </c>
      <c r="G7" s="10">
        <f>IFERROR(F7/E7,0)</f>
        <v>0</v>
      </c>
      <c r="H7" s="17">
        <v>32493.3</v>
      </c>
      <c r="I7" s="19">
        <f t="shared" ref="I7:I14" si="1">H7-D7</f>
        <v>0</v>
      </c>
      <c r="J7" s="20">
        <v>0</v>
      </c>
      <c r="K7" s="21">
        <f>IFERROR(J7/I7,0)</f>
        <v>0</v>
      </c>
      <c r="L7" s="18">
        <f>E7+I7</f>
        <v>0</v>
      </c>
      <c r="M7" s="22">
        <f>F7+J7</f>
        <v>0</v>
      </c>
      <c r="N7" s="23">
        <f>IFERROR(M7/L7,0)</f>
        <v>0</v>
      </c>
      <c r="O7" s="24">
        <v>0</v>
      </c>
      <c r="P7" s="25"/>
      <c r="Q7" s="26"/>
    </row>
    <row r="8" spans="1:22" ht="25.8" customHeight="1">
      <c r="A8" s="81">
        <v>4</v>
      </c>
      <c r="B8" s="16" t="s">
        <v>18</v>
      </c>
      <c r="C8" s="17">
        <v>24647.8</v>
      </c>
      <c r="D8" s="17">
        <v>24658.9</v>
      </c>
      <c r="E8" s="17">
        <f t="shared" si="0"/>
        <v>11.100000000002183</v>
      </c>
      <c r="F8" s="18">
        <v>371</v>
      </c>
      <c r="G8" s="10">
        <f t="shared" ref="G8:G13" si="2">IFERROR(F8/E8,0)</f>
        <v>33.42342342341685</v>
      </c>
      <c r="H8" s="17">
        <v>24668.3</v>
      </c>
      <c r="I8" s="19">
        <f t="shared" si="1"/>
        <v>9.3999999999978172</v>
      </c>
      <c r="J8" s="20">
        <v>292.20999999999998</v>
      </c>
      <c r="K8" s="28">
        <f t="shared" ref="K8:K14" si="3">IFERROR(J8/I8,0)</f>
        <v>31.086170212773172</v>
      </c>
      <c r="L8" s="18">
        <f t="shared" ref="L8:M17" si="4">E8+I8</f>
        <v>20.5</v>
      </c>
      <c r="M8" s="22">
        <f t="shared" si="4"/>
        <v>663.21</v>
      </c>
      <c r="N8" s="23">
        <f t="shared" ref="N8:N18" si="5">IFERROR(M8/L8,0)</f>
        <v>32.351707317073171</v>
      </c>
      <c r="O8" s="29">
        <v>219</v>
      </c>
      <c r="P8" s="30"/>
      <c r="Q8" s="26"/>
      <c r="S8" s="26"/>
    </row>
    <row r="9" spans="1:22" ht="25.8" customHeight="1">
      <c r="A9" s="5">
        <v>5</v>
      </c>
      <c r="B9" s="31" t="s">
        <v>19</v>
      </c>
      <c r="C9" s="17">
        <v>32557.4</v>
      </c>
      <c r="D9" s="17">
        <v>32570.6</v>
      </c>
      <c r="E9" s="17">
        <f t="shared" si="0"/>
        <v>13.19999999999709</v>
      </c>
      <c r="F9" s="32">
        <v>418.29</v>
      </c>
      <c r="G9" s="10">
        <f t="shared" si="2"/>
        <v>31.688636363643351</v>
      </c>
      <c r="H9" s="17">
        <v>32577.9</v>
      </c>
      <c r="I9" s="19">
        <f t="shared" si="1"/>
        <v>7.3000000000029104</v>
      </c>
      <c r="J9" s="33">
        <v>187.23</v>
      </c>
      <c r="K9" s="28">
        <f t="shared" si="3"/>
        <v>25.647945205469224</v>
      </c>
      <c r="L9" s="18">
        <f t="shared" si="4"/>
        <v>20.5</v>
      </c>
      <c r="M9" s="22">
        <f t="shared" si="4"/>
        <v>605.52</v>
      </c>
      <c r="N9" s="23">
        <f t="shared" si="5"/>
        <v>29.537560975609754</v>
      </c>
      <c r="O9" s="29">
        <v>189</v>
      </c>
      <c r="P9" s="30"/>
      <c r="Q9" s="26"/>
      <c r="S9" s="26"/>
    </row>
    <row r="10" spans="1:22" ht="25.8" customHeight="1">
      <c r="A10" s="81">
        <v>6</v>
      </c>
      <c r="B10" s="16" t="s">
        <v>20</v>
      </c>
      <c r="C10" s="17">
        <v>33523.1</v>
      </c>
      <c r="D10" s="17">
        <v>33536.1</v>
      </c>
      <c r="E10" s="17">
        <f>D10-C10</f>
        <v>13</v>
      </c>
      <c r="F10" s="34">
        <v>439</v>
      </c>
      <c r="G10" s="10">
        <f>IFERROR(F10/E10,0)</f>
        <v>33.769230769230766</v>
      </c>
      <c r="H10" s="17">
        <v>33544.199999999997</v>
      </c>
      <c r="I10" s="19">
        <f>H10-D10</f>
        <v>8.0999999999985448</v>
      </c>
      <c r="J10" s="33">
        <v>290.3</v>
      </c>
      <c r="K10" s="28">
        <f>IFERROR(J10/I10,0)</f>
        <v>35.839506172845944</v>
      </c>
      <c r="L10" s="18">
        <f>E10+I10</f>
        <v>21.099999999998545</v>
      </c>
      <c r="M10" s="22">
        <f>F10+J10</f>
        <v>729.3</v>
      </c>
      <c r="N10" s="23">
        <f>IFERROR(M10/L10,0)</f>
        <v>34.563981042656408</v>
      </c>
      <c r="O10" s="29">
        <v>237</v>
      </c>
      <c r="P10" s="30"/>
      <c r="Q10" s="26"/>
      <c r="S10" s="26"/>
    </row>
    <row r="11" spans="1:22" ht="22.8" customHeight="1">
      <c r="A11" s="5">
        <v>7</v>
      </c>
      <c r="B11" s="16" t="s">
        <v>21</v>
      </c>
      <c r="C11" s="17">
        <v>28028.5</v>
      </c>
      <c r="D11" s="17">
        <v>28039.599999999999</v>
      </c>
      <c r="E11" s="17">
        <f t="shared" si="0"/>
        <v>11.099999999998545</v>
      </c>
      <c r="F11" s="32">
        <v>275</v>
      </c>
      <c r="G11" s="10">
        <f t="shared" si="2"/>
        <v>24.774774774778024</v>
      </c>
      <c r="H11" s="17">
        <v>28049.4</v>
      </c>
      <c r="I11" s="19">
        <f t="shared" si="1"/>
        <v>9.8000000000029104</v>
      </c>
      <c r="J11" s="20">
        <v>261.31</v>
      </c>
      <c r="K11" s="28">
        <f t="shared" si="3"/>
        <v>26.664285714277796</v>
      </c>
      <c r="L11" s="18">
        <f t="shared" si="4"/>
        <v>20.900000000001455</v>
      </c>
      <c r="M11" s="22">
        <f t="shared" si="4"/>
        <v>536.30999999999995</v>
      </c>
      <c r="N11" s="23">
        <f t="shared" si="5"/>
        <v>25.660765550237446</v>
      </c>
      <c r="O11" s="29">
        <v>250</v>
      </c>
      <c r="P11" s="30"/>
      <c r="Q11" s="26"/>
      <c r="S11" s="26"/>
    </row>
    <row r="12" spans="1:22" ht="22.8" customHeight="1">
      <c r="A12" s="81">
        <v>8</v>
      </c>
      <c r="B12" s="31" t="s">
        <v>22</v>
      </c>
      <c r="C12" s="35">
        <v>27404.3</v>
      </c>
      <c r="D12" s="35">
        <v>27416.3</v>
      </c>
      <c r="E12" s="17">
        <f t="shared" si="0"/>
        <v>12</v>
      </c>
      <c r="F12" s="32">
        <v>269.70999999999998</v>
      </c>
      <c r="G12" s="10">
        <f t="shared" si="2"/>
        <v>22.47583333333333</v>
      </c>
      <c r="H12" s="35">
        <v>27426.400000000001</v>
      </c>
      <c r="I12" s="19">
        <f t="shared" si="1"/>
        <v>10.100000000002183</v>
      </c>
      <c r="J12" s="33">
        <v>258.41000000000003</v>
      </c>
      <c r="K12" s="28">
        <f t="shared" si="3"/>
        <v>25.585148514845958</v>
      </c>
      <c r="L12" s="18">
        <f t="shared" si="4"/>
        <v>22.100000000002183</v>
      </c>
      <c r="M12" s="22">
        <f t="shared" si="4"/>
        <v>528.12</v>
      </c>
      <c r="N12" s="23">
        <f t="shared" si="5"/>
        <v>23.896832579183162</v>
      </c>
      <c r="O12" s="29">
        <v>203</v>
      </c>
      <c r="P12" s="30"/>
      <c r="Q12" s="26"/>
      <c r="S12" s="26"/>
    </row>
    <row r="13" spans="1:22" ht="24" customHeight="1">
      <c r="A13" s="5">
        <v>9</v>
      </c>
      <c r="B13" s="31" t="s">
        <v>23</v>
      </c>
      <c r="C13" s="17">
        <v>22547.27</v>
      </c>
      <c r="D13" s="17">
        <v>22561.119999999999</v>
      </c>
      <c r="E13" s="17">
        <f t="shared" si="0"/>
        <v>13.849999999998545</v>
      </c>
      <c r="F13" s="34">
        <v>414.18</v>
      </c>
      <c r="G13" s="10">
        <f t="shared" si="2"/>
        <v>29.904693140797367</v>
      </c>
      <c r="H13" s="17">
        <v>22568.77</v>
      </c>
      <c r="I13" s="19">
        <f t="shared" si="1"/>
        <v>7.6500000000014552</v>
      </c>
      <c r="J13" s="20">
        <v>269.37</v>
      </c>
      <c r="K13" s="28">
        <f t="shared" si="3"/>
        <v>35.211764705875659</v>
      </c>
      <c r="L13" s="18">
        <f t="shared" si="4"/>
        <v>21.5</v>
      </c>
      <c r="M13" s="22">
        <f t="shared" si="4"/>
        <v>683.55</v>
      </c>
      <c r="N13" s="23">
        <f t="shared" si="5"/>
        <v>31.793023255813953</v>
      </c>
      <c r="O13" s="29">
        <v>260</v>
      </c>
      <c r="P13" s="36"/>
      <c r="Q13" s="26"/>
      <c r="S13" s="26"/>
    </row>
    <row r="14" spans="1:22" ht="24" customHeight="1">
      <c r="A14" s="81">
        <v>10</v>
      </c>
      <c r="B14" s="31" t="s">
        <v>24</v>
      </c>
      <c r="C14" s="17">
        <v>22520.639999999999</v>
      </c>
      <c r="D14" s="17">
        <v>22533.37</v>
      </c>
      <c r="E14" s="17">
        <f t="shared" si="0"/>
        <v>12.729999999999563</v>
      </c>
      <c r="F14" s="32">
        <v>335</v>
      </c>
      <c r="G14" s="10">
        <f>IFERROR(F14/E14,0)</f>
        <v>26.315789473685111</v>
      </c>
      <c r="H14" s="17">
        <v>22540.81</v>
      </c>
      <c r="I14" s="19">
        <f t="shared" si="1"/>
        <v>7.4400000000023283</v>
      </c>
      <c r="J14" s="20">
        <v>252.7</v>
      </c>
      <c r="K14" s="28">
        <f t="shared" si="3"/>
        <v>33.965053763430227</v>
      </c>
      <c r="L14" s="18">
        <f t="shared" si="4"/>
        <v>20.170000000001892</v>
      </c>
      <c r="M14" s="22">
        <f t="shared" si="4"/>
        <v>587.70000000000005</v>
      </c>
      <c r="N14" s="23">
        <f t="shared" si="5"/>
        <v>29.137332672282842</v>
      </c>
      <c r="O14" s="29">
        <v>303</v>
      </c>
      <c r="P14" s="37"/>
      <c r="Q14" s="26"/>
      <c r="S14" s="26"/>
    </row>
    <row r="15" spans="1:22" ht="24" customHeight="1">
      <c r="A15" s="5">
        <v>11</v>
      </c>
      <c r="B15" s="31" t="s">
        <v>25</v>
      </c>
      <c r="C15" s="17">
        <v>20009.7</v>
      </c>
      <c r="D15" s="17">
        <v>20020.2</v>
      </c>
      <c r="E15" s="17">
        <f t="shared" si="0"/>
        <v>10.5</v>
      </c>
      <c r="F15" s="32">
        <v>378.58</v>
      </c>
      <c r="G15" s="10">
        <f>IFERROR(F15/E15,0)</f>
        <v>36.055238095238096</v>
      </c>
      <c r="H15" s="17">
        <v>20028.93</v>
      </c>
      <c r="I15" s="19">
        <f>H15-D15</f>
        <v>8.7299999999995634</v>
      </c>
      <c r="J15" s="20">
        <v>422.48</v>
      </c>
      <c r="K15" s="28">
        <f>IFERROR(J15/I15,0)</f>
        <v>48.394043528066568</v>
      </c>
      <c r="L15" s="18">
        <f>E15+I15</f>
        <v>19.229999999999563</v>
      </c>
      <c r="M15" s="22">
        <f t="shared" si="4"/>
        <v>801.06</v>
      </c>
      <c r="N15" s="23">
        <f t="shared" si="5"/>
        <v>41.6567862714518</v>
      </c>
      <c r="O15" s="29">
        <v>253</v>
      </c>
      <c r="P15" s="37"/>
      <c r="Q15" s="26"/>
      <c r="S15" s="26"/>
      <c r="T15" s="38"/>
    </row>
    <row r="16" spans="1:22" ht="24" customHeight="1">
      <c r="A16" s="81">
        <v>12</v>
      </c>
      <c r="B16" s="31" t="s">
        <v>181</v>
      </c>
      <c r="C16" s="17">
        <v>10164.73</v>
      </c>
      <c r="D16" s="17">
        <v>10164.73</v>
      </c>
      <c r="E16" s="17">
        <f t="shared" si="0"/>
        <v>0</v>
      </c>
      <c r="F16" s="32">
        <v>0</v>
      </c>
      <c r="G16" s="10">
        <f>IFERROR(F16/E16,0)</f>
        <v>0</v>
      </c>
      <c r="H16" s="17">
        <v>10164.73</v>
      </c>
      <c r="I16" s="19">
        <f>H16-D16</f>
        <v>0</v>
      </c>
      <c r="J16" s="20">
        <v>410.64</v>
      </c>
      <c r="K16" s="28">
        <f>IFERROR(J16/I16,0)</f>
        <v>0</v>
      </c>
      <c r="L16" s="18">
        <f>E16+I16</f>
        <v>0</v>
      </c>
      <c r="M16" s="22">
        <f t="shared" si="4"/>
        <v>410.64</v>
      </c>
      <c r="N16" s="23">
        <f t="shared" si="5"/>
        <v>0</v>
      </c>
      <c r="O16" s="29">
        <v>52</v>
      </c>
      <c r="P16" s="37"/>
      <c r="Q16" s="26"/>
      <c r="S16" s="26"/>
      <c r="T16" s="38"/>
    </row>
    <row r="17" spans="1:20" ht="24" customHeight="1">
      <c r="A17" s="5">
        <v>13</v>
      </c>
      <c r="B17" s="31" t="s">
        <v>27</v>
      </c>
      <c r="C17" s="17">
        <v>18238</v>
      </c>
      <c r="D17" s="17">
        <v>18238</v>
      </c>
      <c r="E17" s="17">
        <f t="shared" si="0"/>
        <v>0</v>
      </c>
      <c r="F17" s="18">
        <v>0</v>
      </c>
      <c r="G17" s="10">
        <f>IFERROR(F17/E17,0)</f>
        <v>0</v>
      </c>
      <c r="H17" s="17">
        <v>18239.400000000001</v>
      </c>
      <c r="I17" s="19">
        <f t="shared" ref="I17" si="6">H17-D17</f>
        <v>1.4000000000014552</v>
      </c>
      <c r="J17" s="20">
        <v>408</v>
      </c>
      <c r="K17" s="28">
        <f t="shared" ref="K17" si="7">IFERROR(J17/I17,0)</f>
        <v>291.42857142826853</v>
      </c>
      <c r="L17" s="18">
        <f t="shared" ref="L17" si="8">E17+I17</f>
        <v>1.4000000000014552</v>
      </c>
      <c r="M17" s="22">
        <f t="shared" si="4"/>
        <v>408</v>
      </c>
      <c r="N17" s="23">
        <f t="shared" si="5"/>
        <v>291.42857142826853</v>
      </c>
      <c r="O17" s="29">
        <v>0</v>
      </c>
      <c r="P17" s="172" t="s">
        <v>182</v>
      </c>
      <c r="Q17" s="26"/>
      <c r="S17" s="26"/>
      <c r="T17" s="38"/>
    </row>
    <row r="18" spans="1:20" ht="24" customHeight="1">
      <c r="A18" s="81">
        <v>14</v>
      </c>
      <c r="B18" s="31" t="s">
        <v>26</v>
      </c>
      <c r="C18" s="17">
        <v>15231.7</v>
      </c>
      <c r="D18" s="17">
        <v>15231.7</v>
      </c>
      <c r="E18" s="17">
        <f t="shared" si="0"/>
        <v>0</v>
      </c>
      <c r="F18" s="32">
        <v>0</v>
      </c>
      <c r="G18" s="10">
        <f>IFERROR(F18/E18,0)</f>
        <v>0</v>
      </c>
      <c r="H18" s="17">
        <v>15231.7</v>
      </c>
      <c r="I18" s="19">
        <f>H18-D18</f>
        <v>0</v>
      </c>
      <c r="J18" s="20">
        <v>0</v>
      </c>
      <c r="K18" s="28">
        <f>IFERROR(J18/I18,0)</f>
        <v>0</v>
      </c>
      <c r="L18" s="18">
        <f>E18+I18</f>
        <v>0</v>
      </c>
      <c r="M18" s="22">
        <f>F18+J18</f>
        <v>0</v>
      </c>
      <c r="N18" s="23">
        <f t="shared" si="5"/>
        <v>0</v>
      </c>
      <c r="O18" s="29">
        <v>0</v>
      </c>
      <c r="P18" s="37"/>
      <c r="Q18" s="26"/>
      <c r="S18" s="26"/>
      <c r="T18" s="38"/>
    </row>
    <row r="19" spans="1:20" ht="24" customHeight="1">
      <c r="A19" s="196" t="s">
        <v>28</v>
      </c>
      <c r="B19" s="197"/>
      <c r="C19" s="39"/>
      <c r="D19" s="39"/>
      <c r="E19" s="40">
        <f>SUM(E7:E18)</f>
        <v>97.479999999995925</v>
      </c>
      <c r="F19" s="41">
        <f>SUM(F5:F18)</f>
        <v>3283.5899999999997</v>
      </c>
      <c r="G19" s="39"/>
      <c r="H19" s="39"/>
      <c r="I19" s="40">
        <f>SUM(I7:I18)</f>
        <v>69.920000000009168</v>
      </c>
      <c r="J19" s="41">
        <f>SUM(J5:J18)</f>
        <v>3342.3799999999997</v>
      </c>
      <c r="K19" s="28">
        <f>IFERROR(J19/I19,0)</f>
        <v>47.802917620131026</v>
      </c>
      <c r="L19" s="42">
        <f>SUM(L7:L18)</f>
        <v>167.40000000000509</v>
      </c>
      <c r="M19" s="43">
        <f>SUM(M5:M18)</f>
        <v>6625.97</v>
      </c>
      <c r="N19" s="23">
        <f>IFERROR(M19/L19,0)</f>
        <v>39.581660692949811</v>
      </c>
      <c r="O19" s="44">
        <f>SUM(O5:O18)</f>
        <v>2216</v>
      </c>
      <c r="P19" s="45"/>
      <c r="S19" s="26"/>
    </row>
    <row r="20" spans="1:20" ht="18" customHeight="1" thickBot="1">
      <c r="A20" s="206" t="s">
        <v>29</v>
      </c>
      <c r="B20" s="207"/>
      <c r="C20" s="207"/>
      <c r="D20" s="207"/>
      <c r="E20" s="207"/>
      <c r="F20" s="207"/>
      <c r="G20" s="207"/>
      <c r="H20" s="207"/>
      <c r="I20" s="207"/>
      <c r="J20" s="207"/>
      <c r="K20" s="207"/>
      <c r="L20" s="208"/>
      <c r="M20" s="46"/>
      <c r="N20" s="47"/>
      <c r="O20" s="37"/>
    </row>
    <row r="21" spans="1:20" ht="22.8" customHeight="1">
      <c r="A21" s="209" t="s">
        <v>3</v>
      </c>
      <c r="B21" s="211" t="s">
        <v>4</v>
      </c>
      <c r="C21" s="234" t="s">
        <v>5</v>
      </c>
      <c r="D21" s="234"/>
      <c r="E21" s="234"/>
      <c r="F21" s="234"/>
      <c r="G21" s="234"/>
      <c r="H21" s="235" t="s">
        <v>6</v>
      </c>
      <c r="I21" s="235"/>
      <c r="J21" s="235"/>
      <c r="K21" s="235"/>
      <c r="L21" s="48"/>
      <c r="M21" s="219" t="s">
        <v>7</v>
      </c>
      <c r="N21" s="194" t="s">
        <v>8</v>
      </c>
      <c r="O21" s="37"/>
    </row>
    <row r="22" spans="1:20" s="51" customFormat="1" ht="24" customHeight="1" thickBot="1">
      <c r="A22" s="210"/>
      <c r="B22" s="212"/>
      <c r="C22" s="49" t="s">
        <v>11</v>
      </c>
      <c r="D22" s="49" t="s">
        <v>12</v>
      </c>
      <c r="E22" s="49" t="s">
        <v>13</v>
      </c>
      <c r="F22" s="2" t="s">
        <v>14</v>
      </c>
      <c r="G22" s="2" t="s">
        <v>8</v>
      </c>
      <c r="H22" s="49" t="s">
        <v>12</v>
      </c>
      <c r="I22" s="49" t="s">
        <v>13</v>
      </c>
      <c r="J22" s="49" t="s">
        <v>14</v>
      </c>
      <c r="K22" s="7" t="s">
        <v>8</v>
      </c>
      <c r="L22" s="50" t="s">
        <v>15</v>
      </c>
      <c r="M22" s="220"/>
      <c r="N22" s="195"/>
      <c r="O22" s="37"/>
      <c r="Q22"/>
      <c r="R22"/>
      <c r="S22"/>
      <c r="T22"/>
    </row>
    <row r="23" spans="1:20" s="51" customFormat="1" ht="24" customHeight="1">
      <c r="A23" s="27">
        <v>1</v>
      </c>
      <c r="B23" s="52" t="s">
        <v>30</v>
      </c>
      <c r="C23" s="6">
        <v>18808</v>
      </c>
      <c r="D23" s="6">
        <v>18819.900000000001</v>
      </c>
      <c r="E23" s="53">
        <f>D23-C23</f>
        <v>11.900000000001455</v>
      </c>
      <c r="F23" s="54">
        <v>149</v>
      </c>
      <c r="G23" s="55">
        <f>IFERROR(F23/E23,0)</f>
        <v>12.521008403359813</v>
      </c>
      <c r="H23" s="6">
        <v>18825.900000000001</v>
      </c>
      <c r="I23" s="56">
        <f>H23-D23</f>
        <v>6</v>
      </c>
      <c r="J23" s="54">
        <v>95.96</v>
      </c>
      <c r="K23" s="57">
        <f>IFERROR(J23/I23,0)</f>
        <v>15.993333333333332</v>
      </c>
      <c r="L23" s="58">
        <f>E23+I23</f>
        <v>17.900000000001455</v>
      </c>
      <c r="M23" s="59">
        <f t="shared" ref="M23:M24" si="9">F23+J23</f>
        <v>244.95999999999998</v>
      </c>
      <c r="N23" s="60">
        <f>IFERROR(M23/L23,0)</f>
        <v>13.684916201116204</v>
      </c>
      <c r="O23" s="61"/>
      <c r="Q23"/>
      <c r="R23"/>
      <c r="S23"/>
      <c r="T23"/>
    </row>
    <row r="24" spans="1:20" ht="24" customHeight="1">
      <c r="A24" s="62">
        <v>2</v>
      </c>
      <c r="B24" s="52" t="s">
        <v>31</v>
      </c>
      <c r="C24" s="63">
        <v>11218.3</v>
      </c>
      <c r="D24" s="63">
        <v>11223.8</v>
      </c>
      <c r="E24" s="53">
        <f>D24-C24</f>
        <v>5.5</v>
      </c>
      <c r="F24" s="54">
        <v>75.64</v>
      </c>
      <c r="G24" s="55">
        <f>IFERROR(F24/E24,0)</f>
        <v>13.752727272727272</v>
      </c>
      <c r="H24" s="63">
        <v>11234.2</v>
      </c>
      <c r="I24" s="64">
        <f>H24-D24</f>
        <v>10.400000000001455</v>
      </c>
      <c r="J24" s="54">
        <v>191</v>
      </c>
      <c r="K24" s="57">
        <f>IFERROR(J24/I24,0)</f>
        <v>18.365384615382045</v>
      </c>
      <c r="L24" s="58">
        <f>E24+I24</f>
        <v>15.900000000001455</v>
      </c>
      <c r="M24" s="59">
        <f t="shared" si="9"/>
        <v>266.64</v>
      </c>
      <c r="N24" s="60">
        <f>IFERROR(M24/L24,0)</f>
        <v>16.769811320753181</v>
      </c>
      <c r="O24" s="65"/>
    </row>
    <row r="25" spans="1:20" ht="24" customHeight="1" thickBot="1">
      <c r="A25" s="238" t="s">
        <v>28</v>
      </c>
      <c r="B25" s="239"/>
      <c r="C25" s="66"/>
      <c r="D25" s="66"/>
      <c r="E25" s="67">
        <f>SUM(E23:E24)</f>
        <v>17.400000000001455</v>
      </c>
      <c r="F25" s="67">
        <f>SUM(F23:F24)</f>
        <v>224.64</v>
      </c>
      <c r="G25" s="68"/>
      <c r="H25" s="68"/>
      <c r="I25" s="67">
        <f>SUM(I23:I24)</f>
        <v>16.400000000001455</v>
      </c>
      <c r="J25" s="67">
        <f>SUM(J23:J24)</f>
        <v>286.95999999999998</v>
      </c>
      <c r="K25" s="69">
        <f>SUM(K23:K24)</f>
        <v>34.35871794871538</v>
      </c>
      <c r="L25" s="70">
        <f>SUM(L23:L24)</f>
        <v>33.80000000000291</v>
      </c>
      <c r="M25" s="43">
        <f>SUM(M23:M24)</f>
        <v>511.59999999999997</v>
      </c>
      <c r="N25" s="71"/>
      <c r="O25" s="37"/>
      <c r="P25" s="72"/>
    </row>
    <row r="26" spans="1:20" ht="18" customHeight="1" thickBot="1">
      <c r="A26" s="245" t="s">
        <v>32</v>
      </c>
      <c r="B26" s="246"/>
      <c r="C26" s="226"/>
      <c r="D26" s="226"/>
      <c r="E26" s="226"/>
      <c r="F26" s="226"/>
      <c r="G26" s="226"/>
      <c r="H26" s="226"/>
      <c r="I26" s="226"/>
      <c r="J26" s="226"/>
      <c r="K26" s="226"/>
      <c r="L26" s="246"/>
      <c r="M26" s="46"/>
      <c r="N26" s="47"/>
      <c r="O26" s="37"/>
    </row>
    <row r="27" spans="1:20" ht="22.8" customHeight="1">
      <c r="A27" s="209" t="s">
        <v>3</v>
      </c>
      <c r="B27" s="211" t="s">
        <v>4</v>
      </c>
      <c r="C27" s="234" t="s">
        <v>5</v>
      </c>
      <c r="D27" s="234"/>
      <c r="E27" s="234"/>
      <c r="F27" s="234"/>
      <c r="G27" s="234"/>
      <c r="H27" s="235" t="s">
        <v>6</v>
      </c>
      <c r="I27" s="235"/>
      <c r="J27" s="235"/>
      <c r="K27" s="235"/>
      <c r="L27" s="48"/>
      <c r="M27" s="219" t="s">
        <v>7</v>
      </c>
      <c r="N27" s="194" t="s">
        <v>8</v>
      </c>
      <c r="O27" s="37"/>
      <c r="S27" s="51"/>
    </row>
    <row r="28" spans="1:20" ht="24" customHeight="1">
      <c r="A28" s="247"/>
      <c r="B28" s="248"/>
      <c r="C28" s="6" t="s">
        <v>11</v>
      </c>
      <c r="D28" s="6" t="s">
        <v>12</v>
      </c>
      <c r="E28" s="6" t="s">
        <v>13</v>
      </c>
      <c r="F28" s="6" t="s">
        <v>14</v>
      </c>
      <c r="G28" s="6" t="s">
        <v>8</v>
      </c>
      <c r="H28" s="6" t="s">
        <v>12</v>
      </c>
      <c r="I28" s="6" t="s">
        <v>13</v>
      </c>
      <c r="J28" s="6" t="s">
        <v>14</v>
      </c>
      <c r="K28" s="7" t="s">
        <v>8</v>
      </c>
      <c r="L28" s="73" t="s">
        <v>15</v>
      </c>
      <c r="M28" s="236"/>
      <c r="N28" s="237"/>
      <c r="O28" s="37"/>
      <c r="P28" s="74"/>
      <c r="S28" s="51"/>
      <c r="T28" s="75"/>
    </row>
    <row r="29" spans="1:20" ht="24" customHeight="1">
      <c r="A29" s="76">
        <v>1</v>
      </c>
      <c r="B29" s="31" t="s">
        <v>33</v>
      </c>
      <c r="C29" s="35">
        <v>21595.8</v>
      </c>
      <c r="D29" s="35">
        <v>21605.200000000001</v>
      </c>
      <c r="E29" s="35">
        <f>D29-C29</f>
        <v>9.4000000000014552</v>
      </c>
      <c r="F29" s="33">
        <v>178</v>
      </c>
      <c r="G29" s="10">
        <f t="shared" ref="G29:G33" si="10">IFERROR(F29/E29,0)</f>
        <v>18.936170212763027</v>
      </c>
      <c r="H29" s="35">
        <v>21605.200000000001</v>
      </c>
      <c r="I29" s="56">
        <f>H29-D29</f>
        <v>0</v>
      </c>
      <c r="J29" s="33">
        <v>0</v>
      </c>
      <c r="K29" s="28">
        <f t="shared" ref="K29:K33" si="11">IFERROR(J29/I29,0)</f>
        <v>0</v>
      </c>
      <c r="L29" s="18">
        <f t="shared" ref="L29:M33" si="12">E29+I29</f>
        <v>9.4000000000014552</v>
      </c>
      <c r="M29" s="22">
        <f t="shared" si="12"/>
        <v>178</v>
      </c>
      <c r="N29" s="23">
        <f>IFERROR(M29/L29,0)</f>
        <v>18.936170212763027</v>
      </c>
      <c r="O29" s="37"/>
    </row>
    <row r="30" spans="1:20" ht="24" customHeight="1">
      <c r="A30" s="76">
        <v>2</v>
      </c>
      <c r="B30" s="31" t="s">
        <v>34</v>
      </c>
      <c r="C30" s="35">
        <v>21078.6</v>
      </c>
      <c r="D30" s="35">
        <v>21090</v>
      </c>
      <c r="E30" s="35">
        <f>D30-C30</f>
        <v>11.400000000001455</v>
      </c>
      <c r="F30" s="33">
        <v>266.72000000000003</v>
      </c>
      <c r="G30" s="10">
        <f t="shared" si="10"/>
        <v>23.396491228067191</v>
      </c>
      <c r="H30" s="35">
        <v>21096.2</v>
      </c>
      <c r="I30" s="56">
        <f>H30-D30</f>
        <v>6.2000000000007276</v>
      </c>
      <c r="J30" s="33">
        <v>112.07</v>
      </c>
      <c r="K30" s="28">
        <f>IFERROR(J30/I30,0)</f>
        <v>18.075806451610781</v>
      </c>
      <c r="L30" s="18">
        <f t="shared" si="12"/>
        <v>17.600000000002183</v>
      </c>
      <c r="M30" s="22">
        <f t="shared" si="12"/>
        <v>378.79</v>
      </c>
      <c r="N30" s="23">
        <f>IFERROR(M30/L30,0)</f>
        <v>21.522159090906424</v>
      </c>
      <c r="O30" s="37"/>
    </row>
    <row r="31" spans="1:20" ht="24" customHeight="1">
      <c r="A31" s="76">
        <v>3</v>
      </c>
      <c r="B31" s="31" t="s">
        <v>35</v>
      </c>
      <c r="C31" s="35">
        <v>8923.7999999999993</v>
      </c>
      <c r="D31" s="35">
        <v>8928.6</v>
      </c>
      <c r="E31" s="17">
        <f t="shared" ref="E31:E33" si="13">D31-C31</f>
        <v>4.8000000000010914</v>
      </c>
      <c r="F31" s="33">
        <v>106</v>
      </c>
      <c r="G31" s="10">
        <f t="shared" si="10"/>
        <v>22.083333333328312</v>
      </c>
      <c r="H31" s="35">
        <v>8933.7999999999993</v>
      </c>
      <c r="I31" s="19">
        <f>H31-D31</f>
        <v>5.1999999999989086</v>
      </c>
      <c r="J31" s="33">
        <v>101.49</v>
      </c>
      <c r="K31" s="28">
        <f t="shared" si="11"/>
        <v>19.517307692311789</v>
      </c>
      <c r="L31" s="18">
        <f t="shared" si="12"/>
        <v>10</v>
      </c>
      <c r="M31" s="22">
        <f t="shared" si="12"/>
        <v>207.49</v>
      </c>
      <c r="N31" s="23">
        <f>IFERROR(M31/L31,0)</f>
        <v>20.749000000000002</v>
      </c>
      <c r="O31" s="77"/>
    </row>
    <row r="32" spans="1:20" ht="24.6" customHeight="1">
      <c r="A32" s="76">
        <v>4</v>
      </c>
      <c r="B32" s="31" t="s">
        <v>36</v>
      </c>
      <c r="C32" s="35">
        <v>3377.8</v>
      </c>
      <c r="D32" s="35">
        <v>3387.7</v>
      </c>
      <c r="E32" s="17">
        <f t="shared" si="13"/>
        <v>9.8999999999996362</v>
      </c>
      <c r="F32" s="33">
        <v>232</v>
      </c>
      <c r="G32" s="78">
        <f t="shared" si="10"/>
        <v>23.434343434344296</v>
      </c>
      <c r="H32" s="35">
        <v>3395.7</v>
      </c>
      <c r="I32" s="19">
        <f t="shared" ref="I32:I33" si="14">H32-D32</f>
        <v>8</v>
      </c>
      <c r="J32" s="33">
        <v>168.72</v>
      </c>
      <c r="K32" s="28">
        <f t="shared" si="11"/>
        <v>21.09</v>
      </c>
      <c r="L32" s="18">
        <f t="shared" si="12"/>
        <v>17.899999999999636</v>
      </c>
      <c r="M32" s="79">
        <f t="shared" si="12"/>
        <v>400.72</v>
      </c>
      <c r="N32" s="23">
        <f>IFERROR(M32/L32,0)</f>
        <v>22.386592178771405</v>
      </c>
      <c r="O32" s="80"/>
    </row>
    <row r="33" spans="1:26" ht="24.6" customHeight="1">
      <c r="A33" s="76">
        <v>5</v>
      </c>
      <c r="B33" s="31" t="s">
        <v>37</v>
      </c>
      <c r="C33" s="35">
        <v>705.3</v>
      </c>
      <c r="D33" s="35">
        <v>715.4</v>
      </c>
      <c r="E33" s="17">
        <f t="shared" si="13"/>
        <v>10.100000000000023</v>
      </c>
      <c r="F33" s="33">
        <v>300.14999999999998</v>
      </c>
      <c r="G33" s="78">
        <f t="shared" si="10"/>
        <v>29.717821782178149</v>
      </c>
      <c r="H33" s="35">
        <v>724.4</v>
      </c>
      <c r="I33" s="19">
        <f t="shared" si="14"/>
        <v>9</v>
      </c>
      <c r="J33" s="33">
        <v>242</v>
      </c>
      <c r="K33" s="28">
        <f t="shared" si="11"/>
        <v>26.888888888888889</v>
      </c>
      <c r="L33" s="18">
        <f t="shared" si="12"/>
        <v>19.100000000000023</v>
      </c>
      <c r="M33" s="79">
        <f t="shared" si="12"/>
        <v>542.15</v>
      </c>
      <c r="N33" s="23">
        <f>IFERROR(M33/L33,0)</f>
        <v>28.384816753926668</v>
      </c>
      <c r="O33" s="80"/>
    </row>
    <row r="34" spans="1:26" ht="22.8" customHeight="1" thickBot="1">
      <c r="A34" s="238" t="s">
        <v>28</v>
      </c>
      <c r="B34" s="239"/>
      <c r="C34" s="66"/>
      <c r="D34" s="66"/>
      <c r="E34" s="67">
        <f>SUM(E29:E33)</f>
        <v>45.600000000003661</v>
      </c>
      <c r="F34" s="67">
        <f>SUM(F29:F33)</f>
        <v>1082.8699999999999</v>
      </c>
      <c r="G34" s="68"/>
      <c r="H34" s="68"/>
      <c r="I34" s="67">
        <f>SUM(I29:I33)</f>
        <v>28.399999999999636</v>
      </c>
      <c r="J34" s="67">
        <f>SUM(J29:J33)</f>
        <v>624.28</v>
      </c>
      <c r="K34" s="69">
        <f>SUM(K29:K33)</f>
        <v>85.572003032811452</v>
      </c>
      <c r="L34" s="70">
        <f>SUM(L29:L33)</f>
        <v>74.000000000003297</v>
      </c>
      <c r="M34" s="43">
        <f>SUM(M29:M33)</f>
        <v>1707.15</v>
      </c>
      <c r="N34" s="71">
        <f>IFERROR(M34/K34,0)</f>
        <v>19.949866071797057</v>
      </c>
      <c r="O34" s="37"/>
      <c r="P34" s="72"/>
      <c r="S34" s="51"/>
    </row>
    <row r="35" spans="1:26" ht="24" customHeight="1">
      <c r="A35" s="240" t="s">
        <v>38</v>
      </c>
      <c r="B35" s="241"/>
      <c r="C35" s="241"/>
      <c r="D35" s="241"/>
      <c r="E35" s="241"/>
      <c r="F35" s="241"/>
      <c r="G35" s="241"/>
      <c r="H35" s="241"/>
      <c r="I35" s="241"/>
      <c r="J35" s="241"/>
      <c r="K35" s="241"/>
      <c r="L35" s="242"/>
      <c r="M35" s="46"/>
      <c r="N35" s="47"/>
      <c r="O35" s="61"/>
      <c r="S35" s="51"/>
    </row>
    <row r="36" spans="1:26" ht="24" customHeight="1">
      <c r="A36" s="243" t="s">
        <v>3</v>
      </c>
      <c r="B36" s="243" t="s">
        <v>4</v>
      </c>
      <c r="C36" s="213" t="s">
        <v>5</v>
      </c>
      <c r="D36" s="214"/>
      <c r="E36" s="214"/>
      <c r="F36" s="214"/>
      <c r="G36" s="215"/>
      <c r="H36" s="216" t="s">
        <v>6</v>
      </c>
      <c r="I36" s="217"/>
      <c r="J36" s="217"/>
      <c r="K36" s="218"/>
      <c r="L36" s="5"/>
      <c r="M36" s="221" t="s">
        <v>7</v>
      </c>
      <c r="N36" s="222" t="s">
        <v>8</v>
      </c>
      <c r="O36" s="37"/>
    </row>
    <row r="37" spans="1:26" ht="24" customHeight="1">
      <c r="A37" s="244"/>
      <c r="B37" s="244"/>
      <c r="C37" s="2" t="s">
        <v>11</v>
      </c>
      <c r="D37" s="2" t="s">
        <v>12</v>
      </c>
      <c r="E37" s="2" t="s">
        <v>13</v>
      </c>
      <c r="F37" s="2" t="s">
        <v>14</v>
      </c>
      <c r="G37" s="2" t="s">
        <v>8</v>
      </c>
      <c r="H37" s="2" t="s">
        <v>12</v>
      </c>
      <c r="I37" s="2" t="s">
        <v>13</v>
      </c>
      <c r="J37" s="2" t="s">
        <v>14</v>
      </c>
      <c r="K37" s="82" t="s">
        <v>8</v>
      </c>
      <c r="L37" s="12" t="s">
        <v>15</v>
      </c>
      <c r="M37" s="221"/>
      <c r="N37" s="222"/>
      <c r="O37" s="37"/>
    </row>
    <row r="38" spans="1:26" ht="24" customHeight="1">
      <c r="A38" s="76">
        <v>1</v>
      </c>
      <c r="B38" s="31" t="s">
        <v>39</v>
      </c>
      <c r="C38" s="83">
        <v>16554</v>
      </c>
      <c r="D38" s="83">
        <v>16554</v>
      </c>
      <c r="E38" s="35">
        <f>D38-C38</f>
        <v>0</v>
      </c>
      <c r="F38" s="33">
        <v>0</v>
      </c>
      <c r="G38" s="78">
        <f t="shared" ref="G38:G39" si="15">IFERROR(F38/E38,0)</f>
        <v>0</v>
      </c>
      <c r="H38" s="83">
        <v>16561.099999999999</v>
      </c>
      <c r="I38" s="56">
        <f>H38-D38</f>
        <v>7.0999999999985448</v>
      </c>
      <c r="J38" s="33">
        <v>86</v>
      </c>
      <c r="K38" s="28">
        <f>IFERROR(J38/I38,0)</f>
        <v>12.112676056340511</v>
      </c>
      <c r="L38" s="84">
        <f t="shared" ref="L38:L39" si="16">E38+I38</f>
        <v>7.0999999999985448</v>
      </c>
      <c r="M38" s="79">
        <f>F38+J38</f>
        <v>86</v>
      </c>
      <c r="N38" s="34">
        <f>IFERROR(M38/L38,0)</f>
        <v>12.112676056340511</v>
      </c>
      <c r="O38" s="37"/>
    </row>
    <row r="39" spans="1:26" ht="27" customHeight="1">
      <c r="A39" s="76">
        <v>2</v>
      </c>
      <c r="B39" s="31" t="s">
        <v>40</v>
      </c>
      <c r="C39" s="35">
        <v>4396.5</v>
      </c>
      <c r="D39" s="35">
        <v>4408.3</v>
      </c>
      <c r="E39" s="17">
        <f>D39-C39</f>
        <v>11.800000000000182</v>
      </c>
      <c r="F39" s="33">
        <v>250.55</v>
      </c>
      <c r="G39" s="10">
        <f t="shared" si="15"/>
        <v>21.233050847457299</v>
      </c>
      <c r="H39" s="35">
        <v>4417.5</v>
      </c>
      <c r="I39" s="19">
        <f>H39-D39</f>
        <v>9.1999999999998181</v>
      </c>
      <c r="J39" s="33">
        <v>162</v>
      </c>
      <c r="K39" s="28">
        <f>IFERROR(J39/I39,0)</f>
        <v>17.608695652174262</v>
      </c>
      <c r="L39" s="18">
        <f t="shared" si="16"/>
        <v>21</v>
      </c>
      <c r="M39" s="22">
        <f>F39+J39</f>
        <v>412.55</v>
      </c>
      <c r="N39" s="23">
        <f>IFERROR(M39/L39,0)</f>
        <v>19.645238095238096</v>
      </c>
      <c r="O39" s="37"/>
      <c r="S39" s="51"/>
    </row>
    <row r="40" spans="1:26" ht="22.8" customHeight="1" thickBot="1">
      <c r="A40" s="196" t="s">
        <v>28</v>
      </c>
      <c r="B40" s="233"/>
      <c r="C40" s="68"/>
      <c r="D40" s="66"/>
      <c r="E40" s="67">
        <f>SUM(E38:E39)</f>
        <v>11.800000000000182</v>
      </c>
      <c r="F40" s="67">
        <f>SUM(F38:F39:F39)</f>
        <v>250.55</v>
      </c>
      <c r="G40" s="68"/>
      <c r="H40" s="68"/>
      <c r="I40" s="67">
        <f>SUM(I38:I39)</f>
        <v>16.299999999998363</v>
      </c>
      <c r="J40" s="67">
        <f>SUM(J38:J39)</f>
        <v>248</v>
      </c>
      <c r="K40" s="69">
        <f>SUM(K38:K39)</f>
        <v>29.721371708514774</v>
      </c>
      <c r="L40" s="70">
        <f>SUM(L38:L39)</f>
        <v>28.099999999998545</v>
      </c>
      <c r="M40" s="43">
        <f>SUM(M38:M39)</f>
        <v>498.55</v>
      </c>
      <c r="N40" s="71">
        <f>IFERROR(M40/K40,0)</f>
        <v>16.774124858348046</v>
      </c>
      <c r="O40" s="37"/>
      <c r="P40" s="72"/>
      <c r="S40" s="51"/>
    </row>
    <row r="41" spans="1:26" ht="24" customHeight="1">
      <c r="A41" s="225" t="s">
        <v>41</v>
      </c>
      <c r="B41" s="226"/>
      <c r="C41" s="226"/>
      <c r="D41" s="226"/>
      <c r="E41" s="226"/>
      <c r="F41" s="226"/>
      <c r="G41" s="226"/>
      <c r="H41" s="226"/>
      <c r="I41" s="226"/>
      <c r="J41" s="226"/>
      <c r="K41" s="226"/>
      <c r="L41" s="226"/>
      <c r="M41" s="46"/>
      <c r="N41" s="47"/>
      <c r="O41" s="61"/>
    </row>
    <row r="42" spans="1:26" ht="24" customHeight="1">
      <c r="A42" s="222" t="s">
        <v>3</v>
      </c>
      <c r="B42" s="222" t="s">
        <v>4</v>
      </c>
      <c r="C42" s="234" t="s">
        <v>5</v>
      </c>
      <c r="D42" s="234"/>
      <c r="E42" s="234"/>
      <c r="F42" s="234"/>
      <c r="G42" s="234"/>
      <c r="H42" s="235" t="s">
        <v>6</v>
      </c>
      <c r="I42" s="235"/>
      <c r="J42" s="235"/>
      <c r="K42" s="235"/>
      <c r="L42" s="5"/>
      <c r="M42" s="221" t="s">
        <v>7</v>
      </c>
      <c r="N42" s="222" t="s">
        <v>8</v>
      </c>
      <c r="O42" s="37"/>
    </row>
    <row r="43" spans="1:26" ht="25.8" customHeight="1">
      <c r="A43" s="222"/>
      <c r="B43" s="222"/>
      <c r="C43" s="2" t="s">
        <v>11</v>
      </c>
      <c r="D43" s="2" t="s">
        <v>12</v>
      </c>
      <c r="E43" s="2" t="s">
        <v>13</v>
      </c>
      <c r="F43" s="2" t="s">
        <v>14</v>
      </c>
      <c r="G43" s="2" t="s">
        <v>8</v>
      </c>
      <c r="H43" s="2" t="s">
        <v>12</v>
      </c>
      <c r="I43" s="2" t="s">
        <v>13</v>
      </c>
      <c r="J43" s="2" t="s">
        <v>14</v>
      </c>
      <c r="K43" s="82" t="s">
        <v>8</v>
      </c>
      <c r="L43" s="12" t="s">
        <v>15</v>
      </c>
      <c r="M43" s="221"/>
      <c r="N43" s="222"/>
      <c r="O43" s="37"/>
    </row>
    <row r="44" spans="1:26" ht="24.6" customHeight="1">
      <c r="A44" s="76">
        <v>1</v>
      </c>
      <c r="B44" s="85" t="s">
        <v>42</v>
      </c>
      <c r="C44" s="33">
        <v>8631.5</v>
      </c>
      <c r="D44" s="33">
        <v>8631.5</v>
      </c>
      <c r="E44" s="20">
        <f>D44-C44</f>
        <v>0</v>
      </c>
      <c r="F44" s="33">
        <v>0</v>
      </c>
      <c r="G44" s="10">
        <f t="shared" ref="G44:G45" si="17">IFERROR(F44/E44,0)</f>
        <v>0</v>
      </c>
      <c r="H44" s="33">
        <v>8631.5</v>
      </c>
      <c r="I44" s="86">
        <f>H44-D44</f>
        <v>0</v>
      </c>
      <c r="J44" s="33">
        <v>0</v>
      </c>
      <c r="K44" s="28">
        <f>IFERROR(J44/I44,0)</f>
        <v>0</v>
      </c>
      <c r="L44" s="18">
        <f>E44+I44</f>
        <v>0</v>
      </c>
      <c r="M44" s="22">
        <f>F44+J44</f>
        <v>0</v>
      </c>
      <c r="N44" s="23">
        <f>IFERROR(M44/L44,0)</f>
        <v>0</v>
      </c>
      <c r="O44" s="87"/>
      <c r="S44" s="51"/>
    </row>
    <row r="45" spans="1:26" ht="22.8" customHeight="1">
      <c r="A45" s="76">
        <v>2</v>
      </c>
      <c r="B45" s="85" t="s">
        <v>43</v>
      </c>
      <c r="C45" s="33">
        <v>1620.6</v>
      </c>
      <c r="D45" s="33">
        <v>1620.6</v>
      </c>
      <c r="E45" s="20">
        <f>D45-C45</f>
        <v>0</v>
      </c>
      <c r="F45" s="33">
        <v>0</v>
      </c>
      <c r="G45" s="10">
        <f t="shared" si="17"/>
        <v>0</v>
      </c>
      <c r="H45" s="33">
        <v>1620.6</v>
      </c>
      <c r="I45" s="86">
        <f>H45-D45</f>
        <v>0</v>
      </c>
      <c r="J45" s="33">
        <v>0</v>
      </c>
      <c r="K45" s="28">
        <f>IFERROR(J45/I45,0)</f>
        <v>0</v>
      </c>
      <c r="L45" s="18">
        <f>E45+I45</f>
        <v>0</v>
      </c>
      <c r="M45" s="22">
        <f t="shared" ref="M45" si="18">F45+J45</f>
        <v>0</v>
      </c>
      <c r="N45" s="23">
        <f>IFERROR(M45/L45,0)</f>
        <v>0</v>
      </c>
      <c r="O45" s="87"/>
      <c r="P45" s="88"/>
      <c r="Q45" s="89"/>
    </row>
    <row r="46" spans="1:26" ht="24" customHeight="1" thickBot="1">
      <c r="A46" s="223" t="s">
        <v>28</v>
      </c>
      <c r="B46" s="224"/>
      <c r="C46" s="90"/>
      <c r="D46" s="90"/>
      <c r="E46" s="91">
        <f>SUM(E44:E45)</f>
        <v>0</v>
      </c>
      <c r="F46" s="91">
        <f>SUM(F44:F45)</f>
        <v>0</v>
      </c>
      <c r="G46" s="92"/>
      <c r="H46" s="92"/>
      <c r="I46" s="91">
        <f>SUM(I44:I45)</f>
        <v>0</v>
      </c>
      <c r="J46" s="91">
        <f>SUM(J44:J45)</f>
        <v>0</v>
      </c>
      <c r="K46" s="93">
        <f>SUM(K44:K45)</f>
        <v>0</v>
      </c>
      <c r="L46" s="94">
        <f>SUM(L44:L45)</f>
        <v>0</v>
      </c>
      <c r="M46" s="95">
        <f>SUM(M44:M45)</f>
        <v>0</v>
      </c>
      <c r="N46" s="96" t="e">
        <f>M46/L46</f>
        <v>#DIV/0!</v>
      </c>
      <c r="O46" s="37"/>
      <c r="P46" s="97"/>
      <c r="Q46" s="89"/>
    </row>
    <row r="47" spans="1:26" ht="24" customHeight="1">
      <c r="A47" s="225" t="s">
        <v>44</v>
      </c>
      <c r="B47" s="226"/>
      <c r="C47" s="226"/>
      <c r="D47" s="226"/>
      <c r="E47" s="226"/>
      <c r="F47" s="226"/>
      <c r="G47" s="226"/>
      <c r="H47" s="226"/>
      <c r="I47" s="226"/>
      <c r="J47" s="226"/>
      <c r="K47" s="226"/>
      <c r="L47" s="226"/>
      <c r="M47" s="98"/>
      <c r="N47" s="99"/>
      <c r="O47" s="37"/>
      <c r="P47" s="100"/>
      <c r="Q47" s="100"/>
    </row>
    <row r="48" spans="1:26" ht="24" customHeight="1">
      <c r="A48" s="222" t="s">
        <v>3</v>
      </c>
      <c r="B48" s="222" t="s">
        <v>4</v>
      </c>
      <c r="C48" s="227" t="s">
        <v>5</v>
      </c>
      <c r="D48" s="228"/>
      <c r="E48" s="228"/>
      <c r="F48" s="228"/>
      <c r="G48" s="228"/>
      <c r="H48" s="229"/>
      <c r="I48" s="230" t="s">
        <v>6</v>
      </c>
      <c r="J48" s="231"/>
      <c r="K48" s="231"/>
      <c r="L48" s="231"/>
      <c r="M48" s="231"/>
      <c r="N48" s="232"/>
      <c r="O48" s="201" t="s">
        <v>45</v>
      </c>
      <c r="P48" s="203" t="s">
        <v>46</v>
      </c>
      <c r="Q48" s="203" t="s">
        <v>47</v>
      </c>
      <c r="R48" s="205" t="s">
        <v>48</v>
      </c>
      <c r="Z48" s="101"/>
    </row>
    <row r="49" spans="1:27" ht="33" customHeight="1">
      <c r="A49" s="222"/>
      <c r="B49" s="222"/>
      <c r="C49" s="2" t="s">
        <v>49</v>
      </c>
      <c r="D49" s="2" t="s">
        <v>50</v>
      </c>
      <c r="E49" s="2" t="s">
        <v>51</v>
      </c>
      <c r="F49" s="102" t="s">
        <v>11</v>
      </c>
      <c r="G49" s="2" t="s">
        <v>14</v>
      </c>
      <c r="H49" s="2" t="s">
        <v>8</v>
      </c>
      <c r="I49" s="2" t="s">
        <v>50</v>
      </c>
      <c r="J49" s="2" t="s">
        <v>45</v>
      </c>
      <c r="K49" s="102" t="s">
        <v>12</v>
      </c>
      <c r="L49" s="102" t="s">
        <v>15</v>
      </c>
      <c r="M49" s="2" t="s">
        <v>14</v>
      </c>
      <c r="N49" s="82" t="s">
        <v>8</v>
      </c>
      <c r="O49" s="202"/>
      <c r="P49" s="204"/>
      <c r="Q49" s="204"/>
      <c r="R49" s="205"/>
    </row>
    <row r="50" spans="1:27" ht="21" customHeight="1">
      <c r="A50" s="81">
        <v>1</v>
      </c>
      <c r="B50" s="103" t="s">
        <v>52</v>
      </c>
      <c r="C50" s="2">
        <v>279183.2</v>
      </c>
      <c r="D50" s="2">
        <v>279241</v>
      </c>
      <c r="E50" s="104">
        <f t="shared" ref="E50:E115" si="19">D50-C50</f>
        <v>57.799999999988358</v>
      </c>
      <c r="F50" s="105">
        <v>22098.27</v>
      </c>
      <c r="G50" s="49">
        <v>81</v>
      </c>
      <c r="H50" s="10">
        <f t="shared" ref="H50:H115" si="20">IFERROR(E50/G50,0)</f>
        <v>0.71358024691343658</v>
      </c>
      <c r="I50" s="2">
        <v>279249.09999999998</v>
      </c>
      <c r="J50" s="106">
        <f t="shared" ref="J50:J115" si="21">I50-D50</f>
        <v>8.0999999999767169</v>
      </c>
      <c r="K50" s="105">
        <v>22103.5</v>
      </c>
      <c r="L50" s="107">
        <f t="shared" ref="L50:L115" si="22">K50-F50</f>
        <v>5.2299999999995634</v>
      </c>
      <c r="M50" s="2">
        <v>25</v>
      </c>
      <c r="N50" s="28">
        <f t="shared" ref="N50:N115" si="23">IFERROR(J50/M50,0)</f>
        <v>0.3239999999990687</v>
      </c>
      <c r="O50" s="84">
        <f t="shared" ref="O50:O115" si="24">J50+E50</f>
        <v>65.899999999965075</v>
      </c>
      <c r="P50" s="79">
        <f t="shared" ref="P50:P115" si="25">G50+M50</f>
        <v>106</v>
      </c>
      <c r="Q50" s="34">
        <f t="shared" ref="Q50:Q115" si="26">IFERROR(O50/P50,0)</f>
        <v>0.62169811320721768</v>
      </c>
      <c r="R50" s="108">
        <v>0</v>
      </c>
    </row>
    <row r="51" spans="1:27" ht="21" customHeight="1">
      <c r="A51" s="81">
        <v>2</v>
      </c>
      <c r="B51" s="103" t="s">
        <v>155</v>
      </c>
      <c r="C51" s="2">
        <v>301703</v>
      </c>
      <c r="D51" s="2">
        <v>301881</v>
      </c>
      <c r="E51" s="104">
        <f t="shared" si="19"/>
        <v>178</v>
      </c>
      <c r="F51" s="105">
        <v>30490</v>
      </c>
      <c r="G51" s="49">
        <v>250</v>
      </c>
      <c r="H51" s="10">
        <f t="shared" si="20"/>
        <v>0.71199999999999997</v>
      </c>
      <c r="I51" s="2">
        <v>301949</v>
      </c>
      <c r="J51" s="106">
        <f t="shared" si="21"/>
        <v>68</v>
      </c>
      <c r="K51" s="105">
        <v>30513</v>
      </c>
      <c r="L51" s="107">
        <f t="shared" si="22"/>
        <v>23</v>
      </c>
      <c r="M51" s="2">
        <v>90</v>
      </c>
      <c r="N51" s="28">
        <f t="shared" si="23"/>
        <v>0.75555555555555554</v>
      </c>
      <c r="O51" s="84">
        <f t="shared" si="24"/>
        <v>246</v>
      </c>
      <c r="P51" s="79">
        <f t="shared" si="25"/>
        <v>340</v>
      </c>
      <c r="Q51" s="34">
        <f t="shared" si="26"/>
        <v>0.72352941176470587</v>
      </c>
      <c r="R51" s="108">
        <v>63</v>
      </c>
    </row>
    <row r="52" spans="1:27" ht="21" customHeight="1">
      <c r="A52" s="81">
        <v>3</v>
      </c>
      <c r="B52" s="103" t="s">
        <v>171</v>
      </c>
      <c r="C52" s="2">
        <v>311013</v>
      </c>
      <c r="D52" s="2">
        <v>311013</v>
      </c>
      <c r="E52" s="104">
        <f t="shared" si="19"/>
        <v>0</v>
      </c>
      <c r="F52" s="105">
        <v>31068</v>
      </c>
      <c r="G52" s="49">
        <v>0</v>
      </c>
      <c r="H52" s="10">
        <f t="shared" si="20"/>
        <v>0</v>
      </c>
      <c r="I52" s="2">
        <v>311051</v>
      </c>
      <c r="J52" s="106">
        <f t="shared" si="21"/>
        <v>38</v>
      </c>
      <c r="K52" s="105">
        <v>31072</v>
      </c>
      <c r="L52" s="107">
        <f t="shared" si="22"/>
        <v>4</v>
      </c>
      <c r="M52" s="2">
        <v>85</v>
      </c>
      <c r="N52" s="28">
        <f t="shared" si="23"/>
        <v>0.44705882352941179</v>
      </c>
      <c r="O52" s="84">
        <f t="shared" si="24"/>
        <v>38</v>
      </c>
      <c r="P52" s="79">
        <f t="shared" si="25"/>
        <v>85</v>
      </c>
      <c r="Q52" s="34">
        <f t="shared" si="26"/>
        <v>0.44705882352941179</v>
      </c>
      <c r="R52" s="108">
        <v>16</v>
      </c>
    </row>
    <row r="53" spans="1:27" ht="21" customHeight="1">
      <c r="A53" s="81">
        <v>4</v>
      </c>
      <c r="B53" s="103" t="s">
        <v>156</v>
      </c>
      <c r="C53" s="2">
        <v>261612</v>
      </c>
      <c r="D53" s="2">
        <v>261732</v>
      </c>
      <c r="E53" s="104">
        <f t="shared" si="19"/>
        <v>120</v>
      </c>
      <c r="F53" s="105">
        <v>27735</v>
      </c>
      <c r="G53" s="49">
        <v>183.56</v>
      </c>
      <c r="H53" s="10">
        <f t="shared" si="20"/>
        <v>0.65373719764654603</v>
      </c>
      <c r="I53" s="2">
        <v>261826</v>
      </c>
      <c r="J53" s="106">
        <f t="shared" si="21"/>
        <v>94</v>
      </c>
      <c r="K53" s="105">
        <v>27753</v>
      </c>
      <c r="L53" s="107">
        <f t="shared" si="22"/>
        <v>18</v>
      </c>
      <c r="M53" s="2">
        <v>153</v>
      </c>
      <c r="N53" s="28">
        <f t="shared" si="23"/>
        <v>0.6143790849673203</v>
      </c>
      <c r="O53" s="84">
        <f t="shared" si="24"/>
        <v>214</v>
      </c>
      <c r="P53" s="79">
        <f t="shared" si="25"/>
        <v>336.56</v>
      </c>
      <c r="Q53" s="34">
        <f t="shared" si="26"/>
        <v>0.63584502020442124</v>
      </c>
      <c r="R53" s="108">
        <v>44</v>
      </c>
    </row>
    <row r="54" spans="1:27" ht="21" customHeight="1">
      <c r="A54" s="81">
        <v>5</v>
      </c>
      <c r="B54" s="103" t="s">
        <v>157</v>
      </c>
      <c r="C54" s="2">
        <v>276700</v>
      </c>
      <c r="D54" s="2">
        <v>276846</v>
      </c>
      <c r="E54" s="104">
        <f t="shared" si="19"/>
        <v>146</v>
      </c>
      <c r="F54" s="105">
        <v>28077</v>
      </c>
      <c r="G54" s="49">
        <v>214</v>
      </c>
      <c r="H54" s="10">
        <f t="shared" si="20"/>
        <v>0.68224299065420557</v>
      </c>
      <c r="I54" s="2">
        <v>276863</v>
      </c>
      <c r="J54" s="106">
        <f t="shared" si="21"/>
        <v>17</v>
      </c>
      <c r="K54" s="105">
        <v>28092</v>
      </c>
      <c r="L54" s="107">
        <f t="shared" si="22"/>
        <v>15</v>
      </c>
      <c r="M54" s="2">
        <v>38</v>
      </c>
      <c r="N54" s="28">
        <f t="shared" si="23"/>
        <v>0.44736842105263158</v>
      </c>
      <c r="O54" s="84">
        <f t="shared" si="24"/>
        <v>163</v>
      </c>
      <c r="P54" s="79">
        <f t="shared" si="25"/>
        <v>252</v>
      </c>
      <c r="Q54" s="34">
        <f t="shared" si="26"/>
        <v>0.64682539682539686</v>
      </c>
      <c r="R54" s="108">
        <v>31</v>
      </c>
    </row>
    <row r="55" spans="1:27" ht="21" customHeight="1">
      <c r="A55" s="81">
        <v>6</v>
      </c>
      <c r="B55" s="103" t="s">
        <v>172</v>
      </c>
      <c r="C55" s="2">
        <v>266608</v>
      </c>
      <c r="D55" s="2">
        <v>266608</v>
      </c>
      <c r="E55" s="104">
        <f t="shared" si="19"/>
        <v>0</v>
      </c>
      <c r="F55" s="105">
        <v>26393</v>
      </c>
      <c r="G55" s="49">
        <v>0</v>
      </c>
      <c r="H55" s="10">
        <f t="shared" si="20"/>
        <v>0</v>
      </c>
      <c r="I55" s="2">
        <v>266608</v>
      </c>
      <c r="J55" s="106">
        <f t="shared" si="21"/>
        <v>0</v>
      </c>
      <c r="K55" s="105">
        <v>26393</v>
      </c>
      <c r="L55" s="107">
        <f t="shared" si="22"/>
        <v>0</v>
      </c>
      <c r="M55" s="2">
        <v>0</v>
      </c>
      <c r="N55" s="28">
        <f t="shared" si="23"/>
        <v>0</v>
      </c>
      <c r="O55" s="84">
        <f t="shared" si="24"/>
        <v>0</v>
      </c>
      <c r="P55" s="79">
        <f t="shared" si="25"/>
        <v>0</v>
      </c>
      <c r="Q55" s="34">
        <f t="shared" si="26"/>
        <v>0</v>
      </c>
      <c r="R55" s="108">
        <v>0</v>
      </c>
    </row>
    <row r="56" spans="1:27" ht="21" customHeight="1">
      <c r="A56" s="81">
        <v>7</v>
      </c>
      <c r="B56" s="103" t="s">
        <v>173</v>
      </c>
      <c r="C56" s="2">
        <v>295692</v>
      </c>
      <c r="D56" s="2">
        <v>295692</v>
      </c>
      <c r="E56" s="104">
        <f t="shared" si="19"/>
        <v>0</v>
      </c>
      <c r="F56" s="105">
        <v>28768</v>
      </c>
      <c r="G56" s="49">
        <v>0</v>
      </c>
      <c r="H56" s="10">
        <f t="shared" si="20"/>
        <v>0</v>
      </c>
      <c r="I56" s="2">
        <v>295692</v>
      </c>
      <c r="J56" s="106">
        <f t="shared" si="21"/>
        <v>0</v>
      </c>
      <c r="K56" s="105">
        <v>28768</v>
      </c>
      <c r="L56" s="107">
        <f t="shared" si="22"/>
        <v>0</v>
      </c>
      <c r="M56" s="2">
        <v>0</v>
      </c>
      <c r="N56" s="28">
        <f t="shared" si="23"/>
        <v>0</v>
      </c>
      <c r="O56" s="84">
        <f t="shared" si="24"/>
        <v>0</v>
      </c>
      <c r="P56" s="79">
        <f t="shared" si="25"/>
        <v>0</v>
      </c>
      <c r="Q56" s="34">
        <f t="shared" si="26"/>
        <v>0</v>
      </c>
      <c r="R56" s="108">
        <v>0</v>
      </c>
    </row>
    <row r="57" spans="1:27" ht="24" customHeight="1">
      <c r="A57" s="81">
        <v>8</v>
      </c>
      <c r="B57" s="31" t="s">
        <v>53</v>
      </c>
      <c r="C57" s="35">
        <v>334306.5</v>
      </c>
      <c r="D57" s="35">
        <v>334306.5</v>
      </c>
      <c r="E57" s="104">
        <f t="shared" si="19"/>
        <v>0</v>
      </c>
      <c r="F57" s="110">
        <v>29835</v>
      </c>
      <c r="G57" s="111">
        <v>0</v>
      </c>
      <c r="H57" s="10">
        <f t="shared" si="20"/>
        <v>0</v>
      </c>
      <c r="I57" s="35">
        <v>334372.90000000002</v>
      </c>
      <c r="J57" s="106">
        <f t="shared" si="21"/>
        <v>66.400000000023283</v>
      </c>
      <c r="K57" s="110">
        <v>29851.09</v>
      </c>
      <c r="L57" s="107">
        <f t="shared" si="22"/>
        <v>16.090000000000146</v>
      </c>
      <c r="M57" s="112">
        <v>122</v>
      </c>
      <c r="N57" s="28">
        <f t="shared" si="23"/>
        <v>0.54426229508215807</v>
      </c>
      <c r="O57" s="84">
        <f t="shared" si="24"/>
        <v>66.400000000023283</v>
      </c>
      <c r="P57" s="79">
        <f t="shared" si="25"/>
        <v>122</v>
      </c>
      <c r="Q57" s="34">
        <f t="shared" si="26"/>
        <v>0.54426229508215807</v>
      </c>
      <c r="R57" s="1">
        <v>0</v>
      </c>
    </row>
    <row r="58" spans="1:27" ht="24" customHeight="1">
      <c r="A58" s="81">
        <v>9</v>
      </c>
      <c r="B58" s="31" t="s">
        <v>54</v>
      </c>
      <c r="C58" s="104">
        <v>292736.7</v>
      </c>
      <c r="D58" s="104">
        <v>292894.8</v>
      </c>
      <c r="E58" s="104">
        <f t="shared" si="19"/>
        <v>158.09999999997672</v>
      </c>
      <c r="F58" s="110">
        <v>28042.21</v>
      </c>
      <c r="G58" s="111">
        <v>240.49</v>
      </c>
      <c r="H58" s="10">
        <f t="shared" si="20"/>
        <v>0.65740779242370462</v>
      </c>
      <c r="I58" s="104">
        <v>292894.8</v>
      </c>
      <c r="J58" s="106">
        <f>I58-D58</f>
        <v>0</v>
      </c>
      <c r="K58" s="110">
        <v>28054</v>
      </c>
      <c r="L58" s="107">
        <f t="shared" si="22"/>
        <v>11.790000000000873</v>
      </c>
      <c r="M58" s="111">
        <v>0</v>
      </c>
      <c r="N58" s="28">
        <f t="shared" si="23"/>
        <v>0</v>
      </c>
      <c r="O58" s="84">
        <f t="shared" si="24"/>
        <v>158.09999999997672</v>
      </c>
      <c r="P58" s="79">
        <f t="shared" si="25"/>
        <v>240.49</v>
      </c>
      <c r="Q58" s="34">
        <f t="shared" si="26"/>
        <v>0.65740779242370462</v>
      </c>
      <c r="R58" s="1">
        <v>23</v>
      </c>
      <c r="AA58" s="101"/>
    </row>
    <row r="59" spans="1:27" ht="24" customHeight="1">
      <c r="A59" s="81">
        <v>10</v>
      </c>
      <c r="B59" s="31" t="s">
        <v>55</v>
      </c>
      <c r="C59" s="104">
        <v>298907.40000000002</v>
      </c>
      <c r="D59" s="104">
        <v>298907.40000000002</v>
      </c>
      <c r="E59" s="104">
        <f t="shared" si="19"/>
        <v>0</v>
      </c>
      <c r="F59" s="110">
        <v>27086</v>
      </c>
      <c r="G59" s="111">
        <v>0</v>
      </c>
      <c r="H59" s="10">
        <f t="shared" si="20"/>
        <v>0</v>
      </c>
      <c r="I59" s="104">
        <v>298907.40000000002</v>
      </c>
      <c r="J59" s="106">
        <f>I59-D59</f>
        <v>0</v>
      </c>
      <c r="K59" s="110">
        <v>27086</v>
      </c>
      <c r="L59" s="107">
        <f t="shared" si="22"/>
        <v>0</v>
      </c>
      <c r="M59" s="111">
        <v>0</v>
      </c>
      <c r="N59" s="28">
        <f t="shared" si="23"/>
        <v>0</v>
      </c>
      <c r="O59" s="84">
        <f t="shared" si="24"/>
        <v>0</v>
      </c>
      <c r="P59" s="79">
        <f t="shared" si="25"/>
        <v>0</v>
      </c>
      <c r="Q59" s="34">
        <f t="shared" si="26"/>
        <v>0</v>
      </c>
      <c r="R59" s="1">
        <v>0</v>
      </c>
      <c r="AA59" s="101"/>
    </row>
    <row r="60" spans="1:27" ht="24" customHeight="1">
      <c r="A60" s="81">
        <v>11</v>
      </c>
      <c r="B60" s="31" t="s">
        <v>56</v>
      </c>
      <c r="C60" s="104">
        <v>340835.5</v>
      </c>
      <c r="D60" s="104">
        <v>340895.9</v>
      </c>
      <c r="E60" s="104">
        <f t="shared" si="19"/>
        <v>60.400000000023283</v>
      </c>
      <c r="F60" s="110">
        <v>26920.51</v>
      </c>
      <c r="G60" s="111">
        <v>85</v>
      </c>
      <c r="H60" s="10">
        <f t="shared" si="20"/>
        <v>0.71058823529439152</v>
      </c>
      <c r="I60" s="104">
        <v>340936</v>
      </c>
      <c r="J60" s="106">
        <f>I60-D60</f>
        <v>40.099999999976717</v>
      </c>
      <c r="K60" s="110">
        <v>26932.080000000002</v>
      </c>
      <c r="L60" s="107">
        <f t="shared" si="22"/>
        <v>11.570000000003347</v>
      </c>
      <c r="M60" s="111">
        <v>64</v>
      </c>
      <c r="N60" s="28">
        <f t="shared" si="23"/>
        <v>0.6265624999996362</v>
      </c>
      <c r="O60" s="84">
        <f t="shared" si="24"/>
        <v>100.5</v>
      </c>
      <c r="P60" s="79">
        <f t="shared" si="25"/>
        <v>149</v>
      </c>
      <c r="Q60" s="34">
        <f t="shared" si="26"/>
        <v>0.67449664429530198</v>
      </c>
      <c r="R60" s="1">
        <v>39</v>
      </c>
      <c r="AA60" s="101"/>
    </row>
    <row r="61" spans="1:27" ht="24" customHeight="1">
      <c r="A61" s="81">
        <v>12</v>
      </c>
      <c r="B61" s="31" t="s">
        <v>57</v>
      </c>
      <c r="C61" s="104">
        <v>343683.5</v>
      </c>
      <c r="D61" s="104">
        <v>343824.7</v>
      </c>
      <c r="E61" s="104">
        <f t="shared" si="19"/>
        <v>141.20000000001164</v>
      </c>
      <c r="F61" s="110">
        <v>26729.39</v>
      </c>
      <c r="G61" s="111">
        <v>160</v>
      </c>
      <c r="H61" s="10">
        <f t="shared" si="20"/>
        <v>0.88250000000007278</v>
      </c>
      <c r="I61" s="104">
        <v>343851.1</v>
      </c>
      <c r="J61" s="106">
        <f>I61-D61</f>
        <v>26.399999999965075</v>
      </c>
      <c r="K61" s="110">
        <v>26741</v>
      </c>
      <c r="L61" s="107">
        <f t="shared" si="22"/>
        <v>11.610000000000582</v>
      </c>
      <c r="M61" s="111">
        <v>46.56</v>
      </c>
      <c r="N61" s="28">
        <f t="shared" si="23"/>
        <v>0.56701030927760043</v>
      </c>
      <c r="O61" s="84">
        <f t="shared" si="24"/>
        <v>167.59999999997672</v>
      </c>
      <c r="P61" s="79">
        <f t="shared" si="25"/>
        <v>206.56</v>
      </c>
      <c r="Q61" s="34">
        <f t="shared" si="26"/>
        <v>0.81138652207579742</v>
      </c>
      <c r="R61" s="1">
        <v>39</v>
      </c>
      <c r="AA61" s="101"/>
    </row>
    <row r="62" spans="1:27" ht="24" customHeight="1">
      <c r="A62" s="81">
        <v>13</v>
      </c>
      <c r="B62" s="31" t="s">
        <v>58</v>
      </c>
      <c r="C62" s="35">
        <v>300428.2</v>
      </c>
      <c r="D62" s="35">
        <v>300540.5</v>
      </c>
      <c r="E62" s="104">
        <f t="shared" si="19"/>
        <v>112.29999999998836</v>
      </c>
      <c r="F62" s="110">
        <v>26696.35</v>
      </c>
      <c r="G62" s="111">
        <v>180</v>
      </c>
      <c r="H62" s="10">
        <f t="shared" si="20"/>
        <v>0.62388888888882421</v>
      </c>
      <c r="I62" s="35">
        <v>300596.8</v>
      </c>
      <c r="J62" s="106">
        <f t="shared" si="21"/>
        <v>56.299999999988358</v>
      </c>
      <c r="K62" s="110">
        <v>26713</v>
      </c>
      <c r="L62" s="107">
        <f t="shared" si="22"/>
        <v>16.650000000001455</v>
      </c>
      <c r="M62" s="112">
        <v>111.35</v>
      </c>
      <c r="N62" s="28">
        <f>IFERROR(J62/M62,0)</f>
        <v>0.5056129321956746</v>
      </c>
      <c r="O62" s="84">
        <f t="shared" si="24"/>
        <v>168.59999999997672</v>
      </c>
      <c r="P62" s="79">
        <f t="shared" si="25"/>
        <v>291.35000000000002</v>
      </c>
      <c r="Q62" s="34">
        <f t="shared" si="26"/>
        <v>0.57868542989523497</v>
      </c>
      <c r="R62" s="1">
        <v>42</v>
      </c>
      <c r="U62" s="113"/>
    </row>
    <row r="63" spans="1:27" ht="24" customHeight="1">
      <c r="A63" s="81">
        <v>14</v>
      </c>
      <c r="B63" s="31" t="s">
        <v>59</v>
      </c>
      <c r="C63" s="35">
        <v>272621.2</v>
      </c>
      <c r="D63" s="35">
        <v>272779.09999999998</v>
      </c>
      <c r="E63" s="104">
        <f t="shared" si="19"/>
        <v>157.89999999996508</v>
      </c>
      <c r="F63" s="110">
        <v>25476.49</v>
      </c>
      <c r="G63" s="111">
        <v>243</v>
      </c>
      <c r="H63" s="10">
        <f t="shared" si="20"/>
        <v>0.6497942386829838</v>
      </c>
      <c r="I63" s="35">
        <v>272816.2</v>
      </c>
      <c r="J63" s="106">
        <f>I63-D63</f>
        <v>37.100000000034925</v>
      </c>
      <c r="K63" s="110">
        <v>25496</v>
      </c>
      <c r="L63" s="107">
        <f t="shared" si="22"/>
        <v>19.509999999998399</v>
      </c>
      <c r="M63" s="111">
        <v>63.32</v>
      </c>
      <c r="N63" s="28">
        <f>IFERROR(J63/M63,0)</f>
        <v>0.58591282375292042</v>
      </c>
      <c r="O63" s="84">
        <f t="shared" si="24"/>
        <v>195</v>
      </c>
      <c r="P63" s="79">
        <f t="shared" si="25"/>
        <v>306.32</v>
      </c>
      <c r="Q63" s="34">
        <f t="shared" si="26"/>
        <v>0.63658918777748763</v>
      </c>
      <c r="R63" s="1">
        <v>52</v>
      </c>
      <c r="X63" t="s">
        <v>60</v>
      </c>
    </row>
    <row r="64" spans="1:27" ht="24" customHeight="1">
      <c r="A64" s="81">
        <v>15</v>
      </c>
      <c r="B64" s="31" t="s">
        <v>61</v>
      </c>
      <c r="C64" s="104">
        <v>285887.7</v>
      </c>
      <c r="D64" s="104">
        <v>286022.3</v>
      </c>
      <c r="E64" s="104">
        <f t="shared" si="19"/>
        <v>134.59999999997672</v>
      </c>
      <c r="F64" s="110">
        <v>26673.11</v>
      </c>
      <c r="G64" s="111">
        <v>173</v>
      </c>
      <c r="H64" s="10">
        <f t="shared" si="20"/>
        <v>0.7780346820807903</v>
      </c>
      <c r="I64" s="104">
        <v>286037.40000000002</v>
      </c>
      <c r="J64" s="106">
        <f>I64-D64</f>
        <v>15.100000000034925</v>
      </c>
      <c r="K64" s="110">
        <v>26686</v>
      </c>
      <c r="L64" s="107">
        <f t="shared" si="22"/>
        <v>12.889999999999418</v>
      </c>
      <c r="M64" s="112">
        <v>36.520000000000003</v>
      </c>
      <c r="N64" s="28">
        <f t="shared" si="23"/>
        <v>0.41347207009953241</v>
      </c>
      <c r="O64" s="84">
        <f t="shared" si="24"/>
        <v>149.70000000001164</v>
      </c>
      <c r="P64" s="79">
        <f t="shared" si="25"/>
        <v>209.52</v>
      </c>
      <c r="Q64" s="34">
        <f t="shared" si="26"/>
        <v>0.71449026345939115</v>
      </c>
      <c r="R64" s="1">
        <v>26</v>
      </c>
    </row>
    <row r="65" spans="1:18" ht="24" customHeight="1">
      <c r="A65" s="81">
        <v>16</v>
      </c>
      <c r="B65" s="31" t="s">
        <v>62</v>
      </c>
      <c r="C65" s="35">
        <v>303927.5</v>
      </c>
      <c r="D65" s="35">
        <v>304062.5</v>
      </c>
      <c r="E65" s="104">
        <f t="shared" si="19"/>
        <v>135</v>
      </c>
      <c r="F65" s="110">
        <v>27342.44</v>
      </c>
      <c r="G65" s="111">
        <v>208</v>
      </c>
      <c r="H65" s="10">
        <f t="shared" si="20"/>
        <v>0.64903846153846156</v>
      </c>
      <c r="I65" s="35">
        <v>304082.8</v>
      </c>
      <c r="J65" s="106">
        <f t="shared" si="21"/>
        <v>20.299999999988358</v>
      </c>
      <c r="K65" s="110">
        <v>27356</v>
      </c>
      <c r="L65" s="107">
        <f t="shared" si="22"/>
        <v>13.56000000000131</v>
      </c>
      <c r="M65" s="112">
        <v>44.49</v>
      </c>
      <c r="N65" s="28">
        <f t="shared" si="23"/>
        <v>0.45628231063134095</v>
      </c>
      <c r="O65" s="84">
        <f t="shared" si="24"/>
        <v>155.29999999998836</v>
      </c>
      <c r="P65" s="79">
        <f t="shared" si="25"/>
        <v>252.49</v>
      </c>
      <c r="Q65" s="34">
        <f t="shared" si="26"/>
        <v>0.61507386431141176</v>
      </c>
      <c r="R65" s="1">
        <v>40</v>
      </c>
    </row>
    <row r="66" spans="1:18" ht="24" customHeight="1">
      <c r="A66" s="81">
        <v>17</v>
      </c>
      <c r="B66" s="31" t="s">
        <v>158</v>
      </c>
      <c r="C66" s="17">
        <v>275218</v>
      </c>
      <c r="D66" s="17">
        <v>275218</v>
      </c>
      <c r="E66" s="104">
        <f t="shared" si="19"/>
        <v>0</v>
      </c>
      <c r="F66" s="110">
        <v>25096</v>
      </c>
      <c r="G66" s="111">
        <v>0</v>
      </c>
      <c r="H66" s="10">
        <f t="shared" si="20"/>
        <v>0</v>
      </c>
      <c r="I66" s="17">
        <v>275316</v>
      </c>
      <c r="J66" s="106">
        <f t="shared" si="21"/>
        <v>98</v>
      </c>
      <c r="K66" s="110">
        <v>25106</v>
      </c>
      <c r="L66" s="107">
        <f t="shared" si="22"/>
        <v>10</v>
      </c>
      <c r="M66" s="111">
        <v>148.07</v>
      </c>
      <c r="N66" s="28">
        <f t="shared" si="23"/>
        <v>0.6618491254136557</v>
      </c>
      <c r="O66" s="84">
        <f t="shared" si="24"/>
        <v>98</v>
      </c>
      <c r="P66" s="79">
        <f t="shared" si="25"/>
        <v>148.07</v>
      </c>
      <c r="Q66" s="34">
        <f t="shared" si="26"/>
        <v>0.6618491254136557</v>
      </c>
      <c r="R66" s="1">
        <v>20</v>
      </c>
    </row>
    <row r="67" spans="1:18" ht="24" customHeight="1">
      <c r="A67" s="81">
        <v>18</v>
      </c>
      <c r="B67" s="31" t="s">
        <v>159</v>
      </c>
      <c r="C67" s="17">
        <v>278626</v>
      </c>
      <c r="D67" s="17">
        <v>278626</v>
      </c>
      <c r="E67" s="104">
        <f t="shared" si="19"/>
        <v>0</v>
      </c>
      <c r="F67" s="110">
        <v>25963</v>
      </c>
      <c r="G67" s="111">
        <v>0</v>
      </c>
      <c r="H67" s="10">
        <f t="shared" si="20"/>
        <v>0</v>
      </c>
      <c r="I67" s="17">
        <v>278626</v>
      </c>
      <c r="J67" s="106">
        <f t="shared" si="21"/>
        <v>0</v>
      </c>
      <c r="K67" s="110">
        <v>25963</v>
      </c>
      <c r="L67" s="107">
        <f t="shared" si="22"/>
        <v>0</v>
      </c>
      <c r="M67" s="111">
        <v>0</v>
      </c>
      <c r="N67" s="28">
        <f t="shared" si="23"/>
        <v>0</v>
      </c>
      <c r="O67" s="84">
        <f t="shared" si="24"/>
        <v>0</v>
      </c>
      <c r="P67" s="79">
        <f t="shared" si="25"/>
        <v>0</v>
      </c>
      <c r="Q67" s="34">
        <f t="shared" si="26"/>
        <v>0</v>
      </c>
      <c r="R67" s="1">
        <v>23</v>
      </c>
    </row>
    <row r="68" spans="1:18" ht="24" customHeight="1">
      <c r="A68" s="81">
        <v>19</v>
      </c>
      <c r="B68" s="31" t="s">
        <v>160</v>
      </c>
      <c r="C68" s="17">
        <v>305401</v>
      </c>
      <c r="D68" s="17">
        <v>305510</v>
      </c>
      <c r="E68" s="104">
        <f t="shared" si="19"/>
        <v>109</v>
      </c>
      <c r="F68" s="110">
        <v>25127</v>
      </c>
      <c r="G68" s="111">
        <v>184</v>
      </c>
      <c r="H68" s="10">
        <f t="shared" si="20"/>
        <v>0.59239130434782605</v>
      </c>
      <c r="I68" s="17">
        <v>305594</v>
      </c>
      <c r="J68" s="106">
        <f t="shared" si="21"/>
        <v>84</v>
      </c>
      <c r="K68" s="110">
        <v>25142</v>
      </c>
      <c r="L68" s="107">
        <f t="shared" si="22"/>
        <v>15</v>
      </c>
      <c r="M68" s="111">
        <v>134.63999999999999</v>
      </c>
      <c r="N68" s="28">
        <f t="shared" si="23"/>
        <v>0.62388591800356508</v>
      </c>
      <c r="O68" s="84">
        <f t="shared" si="24"/>
        <v>193</v>
      </c>
      <c r="P68" s="79">
        <f t="shared" si="25"/>
        <v>318.64</v>
      </c>
      <c r="Q68" s="34">
        <f t="shared" si="26"/>
        <v>0.60569922169219181</v>
      </c>
      <c r="R68" s="1">
        <v>38</v>
      </c>
    </row>
    <row r="69" spans="1:18" ht="24" customHeight="1">
      <c r="A69" s="81">
        <v>20</v>
      </c>
      <c r="B69" s="31" t="s">
        <v>161</v>
      </c>
      <c r="C69" s="17">
        <v>304620</v>
      </c>
      <c r="D69" s="17">
        <v>304767</v>
      </c>
      <c r="E69" s="104">
        <f t="shared" si="19"/>
        <v>147</v>
      </c>
      <c r="F69" s="110">
        <v>25444</v>
      </c>
      <c r="G69" s="116">
        <v>252.95</v>
      </c>
      <c r="H69" s="10">
        <f t="shared" si="20"/>
        <v>0.5811425182842459</v>
      </c>
      <c r="I69" s="17">
        <v>304904</v>
      </c>
      <c r="J69" s="106">
        <f t="shared" si="21"/>
        <v>137</v>
      </c>
      <c r="K69" s="110">
        <v>25466</v>
      </c>
      <c r="L69" s="107">
        <f t="shared" si="22"/>
        <v>22</v>
      </c>
      <c r="M69" s="111">
        <v>219</v>
      </c>
      <c r="N69" s="28">
        <f t="shared" si="23"/>
        <v>0.62557077625570778</v>
      </c>
      <c r="O69" s="84">
        <f t="shared" si="24"/>
        <v>284</v>
      </c>
      <c r="P69" s="79">
        <f t="shared" si="25"/>
        <v>471.95</v>
      </c>
      <c r="Q69" s="34">
        <f t="shared" si="26"/>
        <v>0.60175866087509267</v>
      </c>
      <c r="R69" s="1">
        <v>52</v>
      </c>
    </row>
    <row r="70" spans="1:18" ht="24" customHeight="1">
      <c r="A70" s="81">
        <v>21</v>
      </c>
      <c r="B70" s="31" t="s">
        <v>162</v>
      </c>
      <c r="C70" s="17">
        <v>321366</v>
      </c>
      <c r="D70" s="17">
        <v>321528</v>
      </c>
      <c r="E70" s="104">
        <f t="shared" si="19"/>
        <v>162</v>
      </c>
      <c r="F70" s="110">
        <v>26642</v>
      </c>
      <c r="G70" s="111">
        <v>235</v>
      </c>
      <c r="H70" s="10">
        <f t="shared" si="20"/>
        <v>0.68936170212765957</v>
      </c>
      <c r="I70" s="17">
        <v>321635</v>
      </c>
      <c r="J70" s="106">
        <f t="shared" si="21"/>
        <v>107</v>
      </c>
      <c r="K70" s="110">
        <v>26664</v>
      </c>
      <c r="L70" s="107">
        <f t="shared" si="22"/>
        <v>22</v>
      </c>
      <c r="M70" s="111">
        <v>164</v>
      </c>
      <c r="N70" s="28">
        <f t="shared" si="23"/>
        <v>0.65243902439024393</v>
      </c>
      <c r="O70" s="84">
        <f t="shared" si="24"/>
        <v>269</v>
      </c>
      <c r="P70" s="79">
        <f t="shared" si="25"/>
        <v>399</v>
      </c>
      <c r="Q70" s="34">
        <f t="shared" si="26"/>
        <v>0.67418546365914789</v>
      </c>
      <c r="R70" s="1">
        <v>58</v>
      </c>
    </row>
    <row r="71" spans="1:18" ht="24" customHeight="1">
      <c r="A71" s="81">
        <v>22</v>
      </c>
      <c r="B71" s="31" t="s">
        <v>68</v>
      </c>
      <c r="C71" s="17">
        <v>276811.09999999998</v>
      </c>
      <c r="D71" s="17">
        <v>276811.09999999998</v>
      </c>
      <c r="E71" s="104">
        <f t="shared" si="19"/>
        <v>0</v>
      </c>
      <c r="F71" s="110">
        <v>22471</v>
      </c>
      <c r="G71" s="111">
        <v>0</v>
      </c>
      <c r="H71" s="10">
        <f t="shared" si="20"/>
        <v>0</v>
      </c>
      <c r="I71" s="17">
        <v>276930.90000000002</v>
      </c>
      <c r="J71" s="106">
        <f t="shared" si="21"/>
        <v>119.80000000004657</v>
      </c>
      <c r="K71" s="110">
        <v>22485</v>
      </c>
      <c r="L71" s="107">
        <f t="shared" si="22"/>
        <v>14</v>
      </c>
      <c r="M71" s="112">
        <v>252</v>
      </c>
      <c r="N71" s="28">
        <f t="shared" si="23"/>
        <v>0.47539682539701017</v>
      </c>
      <c r="O71" s="84">
        <f t="shared" si="24"/>
        <v>119.80000000004657</v>
      </c>
      <c r="P71" s="79">
        <f t="shared" si="25"/>
        <v>252</v>
      </c>
      <c r="Q71" s="34">
        <f t="shared" si="26"/>
        <v>0.47539682539701017</v>
      </c>
      <c r="R71" s="1">
        <v>43</v>
      </c>
    </row>
    <row r="72" spans="1:18" ht="24" customHeight="1">
      <c r="A72" s="81">
        <v>23</v>
      </c>
      <c r="B72" s="31" t="s">
        <v>69</v>
      </c>
      <c r="C72" s="17">
        <v>258775.6</v>
      </c>
      <c r="D72" s="17">
        <v>258901.3</v>
      </c>
      <c r="E72" s="104">
        <f t="shared" si="19"/>
        <v>125.69999999998254</v>
      </c>
      <c r="F72" s="110">
        <v>19833</v>
      </c>
      <c r="G72" s="111">
        <v>205</v>
      </c>
      <c r="H72" s="10">
        <f t="shared" si="20"/>
        <v>0.61317073170723191</v>
      </c>
      <c r="I72" s="17">
        <v>258996.2</v>
      </c>
      <c r="J72" s="106">
        <f t="shared" si="21"/>
        <v>94.900000000023283</v>
      </c>
      <c r="K72" s="110">
        <v>19850</v>
      </c>
      <c r="L72" s="107">
        <f t="shared" si="22"/>
        <v>17</v>
      </c>
      <c r="M72" s="112">
        <v>180</v>
      </c>
      <c r="N72" s="28">
        <f t="shared" si="23"/>
        <v>0.5272222222223516</v>
      </c>
      <c r="O72" s="84">
        <f t="shared" si="24"/>
        <v>220.60000000000582</v>
      </c>
      <c r="P72" s="79">
        <f t="shared" si="25"/>
        <v>385</v>
      </c>
      <c r="Q72" s="34">
        <f t="shared" si="26"/>
        <v>0.57298701298702814</v>
      </c>
      <c r="R72" s="1">
        <v>32</v>
      </c>
    </row>
    <row r="73" spans="1:18" ht="24" customHeight="1">
      <c r="A73" s="81">
        <v>24</v>
      </c>
      <c r="B73" s="31" t="s">
        <v>70</v>
      </c>
      <c r="C73" s="104">
        <v>303145.2</v>
      </c>
      <c r="D73" s="104">
        <v>303312.09999999998</v>
      </c>
      <c r="E73" s="104">
        <f t="shared" si="19"/>
        <v>166.89999999996508</v>
      </c>
      <c r="F73" s="110">
        <v>5008</v>
      </c>
      <c r="G73" s="111">
        <v>259</v>
      </c>
      <c r="H73" s="10">
        <f t="shared" si="20"/>
        <v>0.64440154440140951</v>
      </c>
      <c r="I73" s="104">
        <v>303411.40000000002</v>
      </c>
      <c r="J73" s="106">
        <f t="shared" si="21"/>
        <v>99.300000000046566</v>
      </c>
      <c r="K73" s="110">
        <v>5029</v>
      </c>
      <c r="L73" s="107">
        <f t="shared" si="22"/>
        <v>21</v>
      </c>
      <c r="M73" s="111">
        <v>162</v>
      </c>
      <c r="N73" s="28">
        <f t="shared" si="23"/>
        <v>0.61296296296325037</v>
      </c>
      <c r="O73" s="84">
        <f t="shared" si="24"/>
        <v>266.20000000001164</v>
      </c>
      <c r="P73" s="79">
        <f t="shared" si="25"/>
        <v>421</v>
      </c>
      <c r="Q73" s="34">
        <f t="shared" si="26"/>
        <v>0.63230403800477819</v>
      </c>
      <c r="R73" s="1">
        <v>39</v>
      </c>
    </row>
    <row r="74" spans="1:18" ht="24" customHeight="1">
      <c r="A74" s="81">
        <v>25</v>
      </c>
      <c r="B74" s="31" t="s">
        <v>71</v>
      </c>
      <c r="C74" s="35">
        <v>313562.8</v>
      </c>
      <c r="D74" s="35">
        <v>313672.2</v>
      </c>
      <c r="E74" s="104">
        <f t="shared" si="19"/>
        <v>109.40000000002328</v>
      </c>
      <c r="F74" s="110">
        <v>22934</v>
      </c>
      <c r="G74" s="111">
        <v>181</v>
      </c>
      <c r="H74" s="10">
        <f t="shared" si="20"/>
        <v>0.60441988950289105</v>
      </c>
      <c r="I74" s="35">
        <v>313672.2</v>
      </c>
      <c r="J74" s="106">
        <f t="shared" si="21"/>
        <v>0</v>
      </c>
      <c r="K74" s="110">
        <v>22946</v>
      </c>
      <c r="L74" s="107">
        <f t="shared" si="22"/>
        <v>12</v>
      </c>
      <c r="M74" s="111">
        <v>0</v>
      </c>
      <c r="N74" s="28">
        <f>IFERROR(J74/M74,0)</f>
        <v>0</v>
      </c>
      <c r="O74" s="84">
        <f t="shared" si="24"/>
        <v>109.40000000002328</v>
      </c>
      <c r="P74" s="79">
        <f>G74+M74</f>
        <v>181</v>
      </c>
      <c r="Q74" s="34">
        <f t="shared" si="26"/>
        <v>0.60441988950289105</v>
      </c>
      <c r="R74" s="1">
        <v>11</v>
      </c>
    </row>
    <row r="75" spans="1:18" ht="24" customHeight="1">
      <c r="A75" s="81">
        <v>26</v>
      </c>
      <c r="B75" s="31" t="s">
        <v>72</v>
      </c>
      <c r="C75" s="35">
        <v>283836.59999999998</v>
      </c>
      <c r="D75" s="35">
        <v>283995.59999999998</v>
      </c>
      <c r="E75" s="104">
        <f t="shared" si="19"/>
        <v>159</v>
      </c>
      <c r="F75" s="110">
        <v>20530</v>
      </c>
      <c r="G75" s="111">
        <v>257</v>
      </c>
      <c r="H75" s="10">
        <f t="shared" si="20"/>
        <v>0.61867704280155644</v>
      </c>
      <c r="I75" s="35">
        <v>284122</v>
      </c>
      <c r="J75" s="106">
        <f t="shared" si="21"/>
        <v>126.40000000002328</v>
      </c>
      <c r="K75" s="110">
        <v>20550</v>
      </c>
      <c r="L75" s="107">
        <f t="shared" si="22"/>
        <v>20</v>
      </c>
      <c r="M75" s="112">
        <v>215</v>
      </c>
      <c r="N75" s="28">
        <f t="shared" si="23"/>
        <v>0.58790697674429437</v>
      </c>
      <c r="O75" s="84">
        <f t="shared" si="24"/>
        <v>285.40000000002328</v>
      </c>
      <c r="P75" s="79">
        <f t="shared" si="25"/>
        <v>472</v>
      </c>
      <c r="Q75" s="34">
        <f t="shared" si="26"/>
        <v>0.60466101694920182</v>
      </c>
      <c r="R75" s="1">
        <v>31</v>
      </c>
    </row>
    <row r="76" spans="1:18" ht="24" customHeight="1">
      <c r="A76" s="81">
        <v>27</v>
      </c>
      <c r="B76" s="31" t="s">
        <v>73</v>
      </c>
      <c r="C76" s="104">
        <v>312110.5</v>
      </c>
      <c r="D76" s="104">
        <v>312219.90000000002</v>
      </c>
      <c r="E76" s="104">
        <f t="shared" si="19"/>
        <v>109.40000000002328</v>
      </c>
      <c r="F76" s="110">
        <v>22659</v>
      </c>
      <c r="G76" s="111">
        <v>187</v>
      </c>
      <c r="H76" s="10">
        <f t="shared" si="20"/>
        <v>0.58502673796803895</v>
      </c>
      <c r="I76" s="104">
        <v>312323.5</v>
      </c>
      <c r="J76" s="106">
        <f t="shared" si="21"/>
        <v>103.59999999997672</v>
      </c>
      <c r="K76" s="110">
        <v>22679</v>
      </c>
      <c r="L76" s="107">
        <f t="shared" si="22"/>
        <v>20</v>
      </c>
      <c r="M76" s="112">
        <v>186</v>
      </c>
      <c r="N76" s="28">
        <f t="shared" si="23"/>
        <v>0.55698924731170274</v>
      </c>
      <c r="O76" s="84">
        <f t="shared" si="24"/>
        <v>213</v>
      </c>
      <c r="P76" s="79">
        <f t="shared" si="25"/>
        <v>373</v>
      </c>
      <c r="Q76" s="34">
        <f t="shared" si="26"/>
        <v>0.57104557640750675</v>
      </c>
      <c r="R76" s="1">
        <v>41</v>
      </c>
    </row>
    <row r="77" spans="1:18" ht="24" customHeight="1">
      <c r="A77" s="81">
        <v>28</v>
      </c>
      <c r="B77" s="31" t="s">
        <v>74</v>
      </c>
      <c r="C77" s="35">
        <v>282243.8</v>
      </c>
      <c r="D77" s="35">
        <v>282385</v>
      </c>
      <c r="E77" s="104">
        <f t="shared" si="19"/>
        <v>141.20000000001164</v>
      </c>
      <c r="F77" s="110">
        <v>4176</v>
      </c>
      <c r="G77" s="111">
        <v>234.95</v>
      </c>
      <c r="H77" s="10">
        <f t="shared" si="20"/>
        <v>0.60097893168764271</v>
      </c>
      <c r="I77" s="35">
        <v>282499.90000000002</v>
      </c>
      <c r="J77" s="106">
        <f t="shared" si="21"/>
        <v>114.90000000002328</v>
      </c>
      <c r="K77" s="110">
        <v>4196</v>
      </c>
      <c r="L77" s="107">
        <f>K77-F77</f>
        <v>20</v>
      </c>
      <c r="M77" s="111">
        <v>211</v>
      </c>
      <c r="N77" s="28">
        <f t="shared" si="23"/>
        <v>0.54454976303328573</v>
      </c>
      <c r="O77" s="84">
        <f t="shared" si="24"/>
        <v>256.10000000003492</v>
      </c>
      <c r="P77" s="79">
        <f t="shared" si="25"/>
        <v>445.95</v>
      </c>
      <c r="Q77" s="34">
        <f t="shared" si="26"/>
        <v>0.57427962776103803</v>
      </c>
      <c r="R77" s="1">
        <v>36</v>
      </c>
    </row>
    <row r="78" spans="1:18" ht="24" customHeight="1">
      <c r="A78" s="81">
        <v>29</v>
      </c>
      <c r="B78" s="31" t="s">
        <v>75</v>
      </c>
      <c r="C78" s="104">
        <v>300106.2</v>
      </c>
      <c r="D78" s="104">
        <v>300275.59999999998</v>
      </c>
      <c r="E78" s="104">
        <f t="shared" si="19"/>
        <v>169.39999999996508</v>
      </c>
      <c r="F78" s="110">
        <v>21600</v>
      </c>
      <c r="G78" s="111">
        <v>253</v>
      </c>
      <c r="H78" s="10">
        <f t="shared" si="20"/>
        <v>0.66956521739116626</v>
      </c>
      <c r="I78" s="104">
        <v>300369.09999999998</v>
      </c>
      <c r="J78" s="106">
        <f t="shared" si="21"/>
        <v>93.5</v>
      </c>
      <c r="K78" s="110">
        <v>21622</v>
      </c>
      <c r="L78" s="107">
        <f t="shared" si="22"/>
        <v>22</v>
      </c>
      <c r="M78" s="112">
        <v>145</v>
      </c>
      <c r="N78" s="28">
        <f t="shared" si="23"/>
        <v>0.64482758620689651</v>
      </c>
      <c r="O78" s="84">
        <f t="shared" si="24"/>
        <v>262.89999999996508</v>
      </c>
      <c r="P78" s="79">
        <f t="shared" si="25"/>
        <v>398</v>
      </c>
      <c r="Q78" s="34">
        <f t="shared" si="26"/>
        <v>0.66055276381900774</v>
      </c>
      <c r="R78" s="1">
        <v>45</v>
      </c>
    </row>
    <row r="79" spans="1:18" ht="24" customHeight="1">
      <c r="A79" s="81">
        <v>30</v>
      </c>
      <c r="B79" s="31" t="s">
        <v>76</v>
      </c>
      <c r="C79" s="104">
        <v>264805.90000000002</v>
      </c>
      <c r="D79" s="104">
        <v>264974.40000000002</v>
      </c>
      <c r="E79" s="104">
        <f t="shared" si="19"/>
        <v>168.5</v>
      </c>
      <c r="F79" s="110">
        <v>19548</v>
      </c>
      <c r="G79" s="111">
        <v>252</v>
      </c>
      <c r="H79" s="10">
        <f t="shared" si="20"/>
        <v>0.66865079365079361</v>
      </c>
      <c r="I79" s="104">
        <v>265034.40000000002</v>
      </c>
      <c r="J79" s="106">
        <f t="shared" si="21"/>
        <v>60</v>
      </c>
      <c r="K79" s="110">
        <v>19569</v>
      </c>
      <c r="L79" s="107">
        <f t="shared" si="22"/>
        <v>21</v>
      </c>
      <c r="M79" s="111">
        <v>97</v>
      </c>
      <c r="N79" s="28">
        <f t="shared" si="23"/>
        <v>0.61855670103092786</v>
      </c>
      <c r="O79" s="84">
        <f t="shared" si="24"/>
        <v>228.5</v>
      </c>
      <c r="P79" s="79">
        <f t="shared" si="25"/>
        <v>349</v>
      </c>
      <c r="Q79" s="34">
        <f t="shared" si="26"/>
        <v>0.6547277936962751</v>
      </c>
      <c r="R79" s="1">
        <v>49</v>
      </c>
    </row>
    <row r="80" spans="1:18" ht="24" customHeight="1">
      <c r="A80" s="81">
        <v>31</v>
      </c>
      <c r="B80" s="31" t="s">
        <v>77</v>
      </c>
      <c r="C80" s="83">
        <v>262887.40000000002</v>
      </c>
      <c r="D80" s="83">
        <v>262974</v>
      </c>
      <c r="E80" s="104">
        <f t="shared" si="19"/>
        <v>86.599999999976717</v>
      </c>
      <c r="F80" s="110">
        <v>19245</v>
      </c>
      <c r="G80" s="111">
        <v>226.42</v>
      </c>
      <c r="H80" s="10">
        <f t="shared" si="20"/>
        <v>0.3824750463738924</v>
      </c>
      <c r="I80" s="83">
        <v>263055.3</v>
      </c>
      <c r="J80" s="106">
        <f t="shared" si="21"/>
        <v>81.299999999988358</v>
      </c>
      <c r="K80" s="110">
        <v>19265</v>
      </c>
      <c r="L80" s="107">
        <f>K80-F80</f>
        <v>20</v>
      </c>
      <c r="M80" s="111">
        <v>168</v>
      </c>
      <c r="N80" s="28">
        <f t="shared" si="23"/>
        <v>0.48392857142850215</v>
      </c>
      <c r="O80" s="84">
        <f t="shared" si="24"/>
        <v>167.89999999996508</v>
      </c>
      <c r="P80" s="79">
        <f t="shared" si="25"/>
        <v>394.41999999999996</v>
      </c>
      <c r="Q80" s="34">
        <f t="shared" si="26"/>
        <v>0.42568835251753229</v>
      </c>
      <c r="R80" s="1">
        <v>29</v>
      </c>
    </row>
    <row r="81" spans="1:19" ht="24" customHeight="1">
      <c r="A81" s="81">
        <v>32</v>
      </c>
      <c r="B81" s="31" t="s">
        <v>78</v>
      </c>
      <c r="C81" s="104">
        <v>288805.8</v>
      </c>
      <c r="D81" s="104">
        <v>288805.8</v>
      </c>
      <c r="E81" s="104">
        <f t="shared" si="19"/>
        <v>0</v>
      </c>
      <c r="F81" s="110">
        <v>20842</v>
      </c>
      <c r="G81" s="111">
        <v>0</v>
      </c>
      <c r="H81" s="10">
        <f t="shared" si="20"/>
        <v>0</v>
      </c>
      <c r="I81" s="104">
        <v>289094.3</v>
      </c>
      <c r="J81" s="106">
        <f t="shared" si="21"/>
        <v>288.5</v>
      </c>
      <c r="K81" s="110">
        <v>20856</v>
      </c>
      <c r="L81" s="107">
        <f t="shared" si="22"/>
        <v>14</v>
      </c>
      <c r="M81" s="111">
        <v>440.77</v>
      </c>
      <c r="N81" s="28">
        <f t="shared" si="23"/>
        <v>0.6545363795176623</v>
      </c>
      <c r="O81" s="84">
        <f t="shared" si="24"/>
        <v>288.5</v>
      </c>
      <c r="P81" s="79">
        <f t="shared" si="25"/>
        <v>440.77</v>
      </c>
      <c r="Q81" s="34">
        <f t="shared" si="26"/>
        <v>0.6545363795176623</v>
      </c>
      <c r="R81" s="1">
        <v>45</v>
      </c>
    </row>
    <row r="82" spans="1:19" ht="24" customHeight="1">
      <c r="A82" s="81">
        <v>33</v>
      </c>
      <c r="B82" s="31" t="s">
        <v>79</v>
      </c>
      <c r="C82" s="104">
        <v>303459.20000000001</v>
      </c>
      <c r="D82" s="104">
        <v>303525.90000000002</v>
      </c>
      <c r="E82" s="104">
        <f t="shared" si="19"/>
        <v>66.700000000011642</v>
      </c>
      <c r="F82" s="110">
        <v>21576</v>
      </c>
      <c r="G82" s="111">
        <v>128</v>
      </c>
      <c r="H82" s="10">
        <f t="shared" si="20"/>
        <v>0.52109375000009095</v>
      </c>
      <c r="I82" s="104">
        <v>303623.90000000002</v>
      </c>
      <c r="J82" s="106">
        <f t="shared" si="21"/>
        <v>98</v>
      </c>
      <c r="K82" s="110">
        <v>21597</v>
      </c>
      <c r="L82" s="107">
        <f t="shared" si="22"/>
        <v>21</v>
      </c>
      <c r="M82" s="111">
        <v>149</v>
      </c>
      <c r="N82" s="28">
        <f t="shared" si="23"/>
        <v>0.65771812080536918</v>
      </c>
      <c r="O82" s="84">
        <f t="shared" si="24"/>
        <v>164.70000000001164</v>
      </c>
      <c r="P82" s="79">
        <f t="shared" si="25"/>
        <v>277</v>
      </c>
      <c r="Q82" s="34">
        <f t="shared" si="26"/>
        <v>0.59458483754516833</v>
      </c>
      <c r="R82" s="1">
        <v>42</v>
      </c>
    </row>
    <row r="83" spans="1:19" ht="24" customHeight="1">
      <c r="A83" s="81">
        <v>34</v>
      </c>
      <c r="B83" s="31" t="s">
        <v>163</v>
      </c>
      <c r="C83" s="104">
        <v>244398.9</v>
      </c>
      <c r="D83" s="104">
        <v>244553.1</v>
      </c>
      <c r="E83" s="104">
        <f t="shared" si="19"/>
        <v>154.20000000001164</v>
      </c>
      <c r="F83" s="110">
        <v>18248</v>
      </c>
      <c r="G83" s="111">
        <v>189</v>
      </c>
      <c r="H83" s="10">
        <f t="shared" si="20"/>
        <v>0.81587301587307748</v>
      </c>
      <c r="I83" s="104">
        <v>244607.5</v>
      </c>
      <c r="J83" s="106">
        <f t="shared" si="21"/>
        <v>54.399999999994179</v>
      </c>
      <c r="K83" s="110">
        <v>18267</v>
      </c>
      <c r="L83" s="107">
        <f t="shared" si="22"/>
        <v>19</v>
      </c>
      <c r="M83" s="111">
        <v>82.73</v>
      </c>
      <c r="N83" s="28">
        <f t="shared" si="23"/>
        <v>0.65756073975576179</v>
      </c>
      <c r="O83" s="84">
        <f t="shared" si="24"/>
        <v>208.60000000000582</v>
      </c>
      <c r="P83" s="79">
        <f t="shared" si="25"/>
        <v>271.73</v>
      </c>
      <c r="Q83" s="34">
        <f t="shared" si="26"/>
        <v>0.76767379383949441</v>
      </c>
      <c r="R83" s="1">
        <v>52</v>
      </c>
    </row>
    <row r="84" spans="1:19" ht="24" customHeight="1">
      <c r="A84" s="81">
        <v>35</v>
      </c>
      <c r="B84" s="31" t="s">
        <v>164</v>
      </c>
      <c r="C84" s="104">
        <v>243907.5</v>
      </c>
      <c r="D84" s="104">
        <v>244063.9</v>
      </c>
      <c r="E84" s="104">
        <f t="shared" si="19"/>
        <v>156.39999999999418</v>
      </c>
      <c r="F84" s="110">
        <v>18224</v>
      </c>
      <c r="G84" s="111">
        <v>244</v>
      </c>
      <c r="H84" s="10">
        <f t="shared" si="20"/>
        <v>0.6409836065573532</v>
      </c>
      <c r="I84" s="104">
        <v>244201.1</v>
      </c>
      <c r="J84" s="106">
        <f t="shared" si="21"/>
        <v>137.20000000001164</v>
      </c>
      <c r="K84" s="110">
        <v>18245</v>
      </c>
      <c r="L84" s="107">
        <f t="shared" si="22"/>
        <v>21</v>
      </c>
      <c r="M84" s="111">
        <v>187</v>
      </c>
      <c r="N84" s="28">
        <f t="shared" si="23"/>
        <v>0.73368983957225475</v>
      </c>
      <c r="O84" s="84">
        <f t="shared" si="24"/>
        <v>293.60000000000582</v>
      </c>
      <c r="P84" s="79">
        <f t="shared" si="25"/>
        <v>431</v>
      </c>
      <c r="Q84" s="34">
        <f t="shared" si="26"/>
        <v>0.68120649651973508</v>
      </c>
      <c r="R84" s="1">
        <v>36</v>
      </c>
    </row>
    <row r="85" spans="1:19" ht="24" customHeight="1">
      <c r="A85" s="81">
        <v>36</v>
      </c>
      <c r="B85" s="31" t="s">
        <v>165</v>
      </c>
      <c r="C85" s="104">
        <v>250815.6</v>
      </c>
      <c r="D85" s="104">
        <v>250962.2</v>
      </c>
      <c r="E85" s="104">
        <f t="shared" si="19"/>
        <v>146.60000000000582</v>
      </c>
      <c r="F85" s="110">
        <v>17865</v>
      </c>
      <c r="G85" s="111">
        <v>206</v>
      </c>
      <c r="H85" s="10">
        <f t="shared" si="20"/>
        <v>0.71165048543692144</v>
      </c>
      <c r="I85" s="104">
        <v>251058</v>
      </c>
      <c r="J85" s="106">
        <f t="shared" si="21"/>
        <v>95.799999999988358</v>
      </c>
      <c r="K85" s="110">
        <v>17883</v>
      </c>
      <c r="L85" s="107">
        <f t="shared" si="22"/>
        <v>18</v>
      </c>
      <c r="M85" s="112">
        <v>148</v>
      </c>
      <c r="N85" s="28">
        <f t="shared" si="23"/>
        <v>0.64729729729721863</v>
      </c>
      <c r="O85" s="84">
        <f t="shared" si="24"/>
        <v>242.39999999999418</v>
      </c>
      <c r="P85" s="79">
        <f t="shared" si="25"/>
        <v>354</v>
      </c>
      <c r="Q85" s="34">
        <f t="shared" si="26"/>
        <v>0.68474576271184795</v>
      </c>
      <c r="R85" s="1">
        <v>27</v>
      </c>
    </row>
    <row r="86" spans="1:19" ht="24" customHeight="1">
      <c r="A86" s="81">
        <v>37</v>
      </c>
      <c r="B86" s="31" t="s">
        <v>83</v>
      </c>
      <c r="C86" s="104">
        <v>259324.1</v>
      </c>
      <c r="D86" s="104">
        <v>259466.6</v>
      </c>
      <c r="E86" s="104">
        <f t="shared" si="19"/>
        <v>142.5</v>
      </c>
      <c r="F86" s="110">
        <v>18395</v>
      </c>
      <c r="G86" s="111">
        <v>184</v>
      </c>
      <c r="H86" s="10">
        <f t="shared" si="20"/>
        <v>0.77445652173913049</v>
      </c>
      <c r="I86" s="104">
        <v>259556.7</v>
      </c>
      <c r="J86" s="106">
        <f t="shared" si="21"/>
        <v>90.100000000005821</v>
      </c>
      <c r="K86" s="110">
        <v>18413</v>
      </c>
      <c r="L86" s="107">
        <f t="shared" si="22"/>
        <v>18</v>
      </c>
      <c r="M86" s="112">
        <v>149</v>
      </c>
      <c r="N86" s="28">
        <f t="shared" si="23"/>
        <v>0.60469798657722029</v>
      </c>
      <c r="O86" s="84">
        <f t="shared" si="24"/>
        <v>232.60000000000582</v>
      </c>
      <c r="P86" s="79">
        <f t="shared" si="25"/>
        <v>333</v>
      </c>
      <c r="Q86" s="34">
        <f t="shared" si="26"/>
        <v>0.69849849849851597</v>
      </c>
      <c r="R86" s="1">
        <v>46</v>
      </c>
    </row>
    <row r="87" spans="1:19" ht="24" customHeight="1">
      <c r="A87" s="81">
        <v>38</v>
      </c>
      <c r="B87" s="31" t="s">
        <v>84</v>
      </c>
      <c r="C87" s="104">
        <v>270754.59999999998</v>
      </c>
      <c r="D87" s="104">
        <v>270857.8</v>
      </c>
      <c r="E87" s="104">
        <f t="shared" si="19"/>
        <v>103.20000000001164</v>
      </c>
      <c r="F87" s="110">
        <v>17755</v>
      </c>
      <c r="G87" s="111">
        <v>158</v>
      </c>
      <c r="H87" s="10">
        <f t="shared" si="20"/>
        <v>0.65316455696209896</v>
      </c>
      <c r="I87" s="104">
        <v>270981.2</v>
      </c>
      <c r="J87" s="106">
        <f t="shared" si="21"/>
        <v>123.40000000002328</v>
      </c>
      <c r="K87" s="110">
        <v>17775</v>
      </c>
      <c r="L87" s="107">
        <f t="shared" si="22"/>
        <v>20</v>
      </c>
      <c r="M87" s="112">
        <v>182</v>
      </c>
      <c r="N87" s="28">
        <f t="shared" si="23"/>
        <v>0.67802197802210595</v>
      </c>
      <c r="O87" s="84">
        <f t="shared" si="24"/>
        <v>226.60000000003492</v>
      </c>
      <c r="P87" s="79">
        <f t="shared" si="25"/>
        <v>340</v>
      </c>
      <c r="Q87" s="34">
        <f t="shared" si="26"/>
        <v>0.66647058823539684</v>
      </c>
      <c r="R87" s="1">
        <v>32</v>
      </c>
    </row>
    <row r="88" spans="1:19" ht="24" customHeight="1">
      <c r="A88" s="81">
        <v>39</v>
      </c>
      <c r="B88" s="31" t="s">
        <v>85</v>
      </c>
      <c r="C88" s="35">
        <v>278849.5</v>
      </c>
      <c r="D88" s="35">
        <v>278996.8</v>
      </c>
      <c r="E88" s="104">
        <f t="shared" si="19"/>
        <v>147.29999999998836</v>
      </c>
      <c r="F88" s="110">
        <v>19676</v>
      </c>
      <c r="G88" s="111">
        <v>221.79</v>
      </c>
      <c r="H88" s="10">
        <f t="shared" si="20"/>
        <v>0.66414175571481293</v>
      </c>
      <c r="I88" s="35">
        <v>279094.5</v>
      </c>
      <c r="J88" s="106">
        <f t="shared" si="21"/>
        <v>97.700000000011642</v>
      </c>
      <c r="K88" s="110">
        <v>19700</v>
      </c>
      <c r="L88" s="107">
        <f t="shared" si="22"/>
        <v>24</v>
      </c>
      <c r="M88" s="112">
        <v>140</v>
      </c>
      <c r="N88" s="28">
        <f t="shared" si="23"/>
        <v>0.697857142857226</v>
      </c>
      <c r="O88" s="84">
        <f t="shared" si="24"/>
        <v>245</v>
      </c>
      <c r="P88" s="79">
        <f t="shared" si="25"/>
        <v>361.78999999999996</v>
      </c>
      <c r="Q88" s="34">
        <f t="shared" si="26"/>
        <v>0.67718842422399739</v>
      </c>
      <c r="R88" s="1">
        <v>45</v>
      </c>
    </row>
    <row r="89" spans="1:19" ht="24" customHeight="1">
      <c r="A89" s="81">
        <v>40</v>
      </c>
      <c r="B89" s="31" t="s">
        <v>86</v>
      </c>
      <c r="C89" s="104">
        <v>249674.6</v>
      </c>
      <c r="D89" s="104">
        <v>249674.6</v>
      </c>
      <c r="E89" s="104">
        <f t="shared" si="19"/>
        <v>0</v>
      </c>
      <c r="F89" s="110">
        <v>17737</v>
      </c>
      <c r="G89" s="111">
        <v>0</v>
      </c>
      <c r="H89" s="10">
        <f t="shared" si="20"/>
        <v>0</v>
      </c>
      <c r="I89" s="104">
        <v>249760.7</v>
      </c>
      <c r="J89" s="106">
        <f t="shared" si="21"/>
        <v>86.100000000005821</v>
      </c>
      <c r="K89" s="110">
        <v>17748</v>
      </c>
      <c r="L89" s="107">
        <f t="shared" si="22"/>
        <v>11</v>
      </c>
      <c r="M89" s="112">
        <v>135</v>
      </c>
      <c r="N89" s="28">
        <f t="shared" si="23"/>
        <v>0.63777777777782085</v>
      </c>
      <c r="O89" s="84">
        <f t="shared" si="24"/>
        <v>86.100000000005821</v>
      </c>
      <c r="P89" s="79">
        <f t="shared" si="25"/>
        <v>135</v>
      </c>
      <c r="Q89" s="34">
        <f t="shared" si="26"/>
        <v>0.63777777777782085</v>
      </c>
      <c r="R89" s="1">
        <v>21</v>
      </c>
    </row>
    <row r="90" spans="1:19" ht="24" customHeight="1">
      <c r="A90" s="81">
        <v>41</v>
      </c>
      <c r="B90" s="31" t="s">
        <v>87</v>
      </c>
      <c r="C90" s="104">
        <v>278418.40000000002</v>
      </c>
      <c r="D90" s="104">
        <v>278578.2</v>
      </c>
      <c r="E90" s="104">
        <f t="shared" si="19"/>
        <v>159.79999999998836</v>
      </c>
      <c r="F90" s="110">
        <v>19228</v>
      </c>
      <c r="G90" s="111">
        <v>218</v>
      </c>
      <c r="H90" s="10">
        <f t="shared" si="20"/>
        <v>0.73302752293572637</v>
      </c>
      <c r="I90" s="104">
        <v>278645.59999999998</v>
      </c>
      <c r="J90" s="106">
        <f t="shared" si="21"/>
        <v>67.399999999965075</v>
      </c>
      <c r="K90" s="110">
        <v>19246</v>
      </c>
      <c r="L90" s="107">
        <f t="shared" si="22"/>
        <v>18</v>
      </c>
      <c r="M90" s="111">
        <v>89</v>
      </c>
      <c r="N90" s="28">
        <f t="shared" si="23"/>
        <v>0.75730337078612442</v>
      </c>
      <c r="O90" s="84">
        <f t="shared" si="24"/>
        <v>227.19999999995343</v>
      </c>
      <c r="P90" s="79">
        <f t="shared" si="25"/>
        <v>307</v>
      </c>
      <c r="Q90" s="34">
        <f t="shared" si="26"/>
        <v>0.74006514657965283</v>
      </c>
      <c r="R90" s="1">
        <v>21</v>
      </c>
    </row>
    <row r="91" spans="1:19" ht="24" customHeight="1">
      <c r="A91" s="81">
        <v>42</v>
      </c>
      <c r="B91" s="31" t="s">
        <v>88</v>
      </c>
      <c r="C91" s="104">
        <v>274431.40000000002</v>
      </c>
      <c r="D91" s="104">
        <v>274559.09999999998</v>
      </c>
      <c r="E91" s="104">
        <f t="shared" si="19"/>
        <v>127.69999999995343</v>
      </c>
      <c r="F91" s="110">
        <v>18622</v>
      </c>
      <c r="G91" s="111">
        <v>183</v>
      </c>
      <c r="H91" s="10">
        <f t="shared" si="20"/>
        <v>0.69781420765001878</v>
      </c>
      <c r="I91" s="104">
        <v>274659.09999999998</v>
      </c>
      <c r="J91" s="106">
        <f t="shared" si="21"/>
        <v>100</v>
      </c>
      <c r="K91" s="110">
        <v>18640</v>
      </c>
      <c r="L91" s="107">
        <f t="shared" si="22"/>
        <v>18</v>
      </c>
      <c r="M91" s="111">
        <v>136</v>
      </c>
      <c r="N91" s="28">
        <f t="shared" si="23"/>
        <v>0.73529411764705888</v>
      </c>
      <c r="O91" s="84">
        <f t="shared" si="24"/>
        <v>227.69999999995343</v>
      </c>
      <c r="P91" s="79">
        <f t="shared" si="25"/>
        <v>319</v>
      </c>
      <c r="Q91" s="34">
        <f t="shared" si="26"/>
        <v>0.71379310344812985</v>
      </c>
      <c r="R91" s="1">
        <v>41</v>
      </c>
    </row>
    <row r="92" spans="1:19" ht="24" customHeight="1">
      <c r="A92" s="81">
        <v>43</v>
      </c>
      <c r="B92" s="31" t="s">
        <v>89</v>
      </c>
      <c r="C92" s="35">
        <v>266830.90000000002</v>
      </c>
      <c r="D92" s="35">
        <v>266973.8</v>
      </c>
      <c r="E92" s="104">
        <f t="shared" si="19"/>
        <v>142.89999999996508</v>
      </c>
      <c r="F92" s="110">
        <v>18282</v>
      </c>
      <c r="G92" s="111">
        <v>201.64</v>
      </c>
      <c r="H92" s="10">
        <f t="shared" si="20"/>
        <v>0.70868875223152694</v>
      </c>
      <c r="I92" s="35">
        <v>267008.5</v>
      </c>
      <c r="J92" s="106">
        <f t="shared" si="21"/>
        <v>34.700000000011642</v>
      </c>
      <c r="K92" s="110">
        <v>18296</v>
      </c>
      <c r="L92" s="107">
        <f t="shared" si="22"/>
        <v>14</v>
      </c>
      <c r="M92" s="111">
        <v>54.66</v>
      </c>
      <c r="N92" s="28">
        <f t="shared" si="23"/>
        <v>0.63483351628268647</v>
      </c>
      <c r="O92" s="84">
        <f t="shared" si="24"/>
        <v>177.59999999997672</v>
      </c>
      <c r="P92" s="79">
        <f t="shared" si="25"/>
        <v>256.29999999999995</v>
      </c>
      <c r="Q92" s="34">
        <f t="shared" si="26"/>
        <v>0.69293796332413871</v>
      </c>
      <c r="R92" s="1">
        <v>29</v>
      </c>
    </row>
    <row r="93" spans="1:19" ht="24" customHeight="1">
      <c r="A93" s="81">
        <v>44</v>
      </c>
      <c r="B93" s="31" t="s">
        <v>90</v>
      </c>
      <c r="C93" s="104">
        <v>244221.5</v>
      </c>
      <c r="D93" s="104">
        <v>244367.4</v>
      </c>
      <c r="E93" s="104">
        <f t="shared" si="19"/>
        <v>145.89999999999418</v>
      </c>
      <c r="F93" s="110">
        <v>17603</v>
      </c>
      <c r="G93" s="111">
        <v>210</v>
      </c>
      <c r="H93" s="10">
        <f>IFERROR(E93/G93,0)</f>
        <v>0.69476190476187705</v>
      </c>
      <c r="I93" s="104">
        <v>244415.1</v>
      </c>
      <c r="J93" s="106">
        <f t="shared" si="21"/>
        <v>47.700000000011642</v>
      </c>
      <c r="K93" s="110">
        <v>17618</v>
      </c>
      <c r="L93" s="107">
        <f t="shared" si="22"/>
        <v>15</v>
      </c>
      <c r="M93" s="111">
        <v>84</v>
      </c>
      <c r="N93" s="28">
        <f t="shared" si="23"/>
        <v>0.56785714285728139</v>
      </c>
      <c r="O93" s="84">
        <f t="shared" si="24"/>
        <v>193.60000000000582</v>
      </c>
      <c r="P93" s="79">
        <f t="shared" si="25"/>
        <v>294</v>
      </c>
      <c r="Q93" s="34">
        <f t="shared" si="26"/>
        <v>0.65850340136056407</v>
      </c>
      <c r="R93" s="1">
        <v>27</v>
      </c>
    </row>
    <row r="94" spans="1:19" ht="24" customHeight="1">
      <c r="A94" s="81">
        <v>45</v>
      </c>
      <c r="B94" s="31" t="s">
        <v>91</v>
      </c>
      <c r="C94" s="104">
        <v>254153.9</v>
      </c>
      <c r="D94" s="104">
        <v>254153.9</v>
      </c>
      <c r="E94" s="104">
        <f t="shared" si="19"/>
        <v>0</v>
      </c>
      <c r="F94" s="110">
        <v>17731</v>
      </c>
      <c r="G94" s="111">
        <v>0</v>
      </c>
      <c r="H94" s="10">
        <f t="shared" si="20"/>
        <v>0</v>
      </c>
      <c r="I94" s="104">
        <v>254153.9</v>
      </c>
      <c r="J94" s="106">
        <f t="shared" si="21"/>
        <v>0</v>
      </c>
      <c r="K94" s="110">
        <v>17731</v>
      </c>
      <c r="L94" s="107">
        <f t="shared" si="22"/>
        <v>0</v>
      </c>
      <c r="M94" s="111">
        <v>0</v>
      </c>
      <c r="N94" s="28">
        <f t="shared" si="23"/>
        <v>0</v>
      </c>
      <c r="O94" s="84">
        <f t="shared" si="24"/>
        <v>0</v>
      </c>
      <c r="P94" s="79">
        <f t="shared" si="25"/>
        <v>0</v>
      </c>
      <c r="Q94" s="34">
        <f t="shared" si="26"/>
        <v>0</v>
      </c>
      <c r="R94" s="1">
        <v>0</v>
      </c>
    </row>
    <row r="95" spans="1:19" ht="24" customHeight="1">
      <c r="A95" s="81">
        <v>46</v>
      </c>
      <c r="B95" s="31" t="s">
        <v>92</v>
      </c>
      <c r="C95" s="35">
        <v>238251.9</v>
      </c>
      <c r="D95" s="35">
        <v>238394.8</v>
      </c>
      <c r="E95" s="104">
        <f>D95-C95</f>
        <v>142.89999999999418</v>
      </c>
      <c r="F95" s="110">
        <v>17248</v>
      </c>
      <c r="G95" s="111">
        <v>203.03</v>
      </c>
      <c r="H95" s="10">
        <f t="shared" si="20"/>
        <v>0.70383687139828688</v>
      </c>
      <c r="I95" s="35">
        <v>238437.4</v>
      </c>
      <c r="J95" s="106">
        <f>I95-D95</f>
        <v>42.600000000005821</v>
      </c>
      <c r="K95" s="110">
        <v>17268</v>
      </c>
      <c r="L95" s="107">
        <f t="shared" si="22"/>
        <v>20</v>
      </c>
      <c r="M95" s="111">
        <v>67</v>
      </c>
      <c r="N95" s="28">
        <f t="shared" si="23"/>
        <v>0.63582089552247489</v>
      </c>
      <c r="O95" s="84">
        <f t="shared" si="24"/>
        <v>185.5</v>
      </c>
      <c r="P95" s="79">
        <f>G95+M95</f>
        <v>270.02999999999997</v>
      </c>
      <c r="Q95" s="34">
        <f t="shared" si="26"/>
        <v>0.68696070806947385</v>
      </c>
      <c r="R95" s="1">
        <v>50</v>
      </c>
    </row>
    <row r="96" spans="1:19" ht="24" customHeight="1">
      <c r="A96" s="81">
        <v>47</v>
      </c>
      <c r="B96" s="31" t="s">
        <v>93</v>
      </c>
      <c r="C96" s="104">
        <v>246596.3</v>
      </c>
      <c r="D96" s="104">
        <v>246737.2</v>
      </c>
      <c r="E96" s="104">
        <f>D96-C96</f>
        <v>140.90000000002328</v>
      </c>
      <c r="F96" s="110">
        <v>16727</v>
      </c>
      <c r="G96" s="111">
        <v>202</v>
      </c>
      <c r="H96" s="10">
        <f t="shared" si="20"/>
        <v>0.69752475247536283</v>
      </c>
      <c r="I96" s="104">
        <v>246802</v>
      </c>
      <c r="J96" s="106">
        <f>I96-D96</f>
        <v>64.799999999988358</v>
      </c>
      <c r="K96" s="110">
        <v>16742</v>
      </c>
      <c r="L96" s="107">
        <f t="shared" si="22"/>
        <v>15</v>
      </c>
      <c r="M96" s="111">
        <v>102</v>
      </c>
      <c r="N96" s="28">
        <f t="shared" si="23"/>
        <v>0.63529411764694466</v>
      </c>
      <c r="O96" s="84">
        <f t="shared" si="24"/>
        <v>205.70000000001164</v>
      </c>
      <c r="P96" s="79">
        <f t="shared" si="25"/>
        <v>304</v>
      </c>
      <c r="Q96" s="34">
        <f t="shared" si="26"/>
        <v>0.67664473684214355</v>
      </c>
      <c r="R96" s="1">
        <v>28</v>
      </c>
      <c r="S96" t="s">
        <v>94</v>
      </c>
    </row>
    <row r="97" spans="1:18" ht="24" customHeight="1">
      <c r="A97" s="81">
        <v>48</v>
      </c>
      <c r="B97" s="31" t="s">
        <v>95</v>
      </c>
      <c r="C97" s="104">
        <v>243773</v>
      </c>
      <c r="D97" s="104">
        <v>243937.6</v>
      </c>
      <c r="E97" s="104">
        <f t="shared" si="19"/>
        <v>164.60000000000582</v>
      </c>
      <c r="F97" s="110">
        <v>18168</v>
      </c>
      <c r="G97" s="111">
        <v>231</v>
      </c>
      <c r="H97" s="10">
        <f t="shared" si="20"/>
        <v>0.7125541125541377</v>
      </c>
      <c r="I97" s="104">
        <v>244071.3</v>
      </c>
      <c r="J97" s="106">
        <f t="shared" si="21"/>
        <v>133.69999999998254</v>
      </c>
      <c r="K97" s="110">
        <v>18189</v>
      </c>
      <c r="L97" s="107">
        <f t="shared" si="22"/>
        <v>21</v>
      </c>
      <c r="M97" s="111">
        <v>188</v>
      </c>
      <c r="N97" s="28">
        <f t="shared" si="23"/>
        <v>0.71117021276586456</v>
      </c>
      <c r="O97" s="84">
        <f t="shared" si="24"/>
        <v>298.29999999998836</v>
      </c>
      <c r="P97" s="79">
        <f t="shared" si="25"/>
        <v>419</v>
      </c>
      <c r="Q97" s="34">
        <f t="shared" si="26"/>
        <v>0.7119331742243159</v>
      </c>
      <c r="R97" s="1">
        <v>46</v>
      </c>
    </row>
    <row r="98" spans="1:18" ht="24" customHeight="1">
      <c r="A98" s="81">
        <v>49</v>
      </c>
      <c r="B98" s="31" t="s">
        <v>96</v>
      </c>
      <c r="C98" s="35">
        <v>248338</v>
      </c>
      <c r="D98" s="35">
        <v>248473.7</v>
      </c>
      <c r="E98" s="104">
        <f t="shared" si="19"/>
        <v>135.70000000001164</v>
      </c>
      <c r="F98" s="110">
        <v>17849</v>
      </c>
      <c r="G98" s="111">
        <v>174.08</v>
      </c>
      <c r="H98" s="10">
        <f>IFERROR(E98/G98,0)</f>
        <v>0.77952665441183155</v>
      </c>
      <c r="I98" s="35">
        <v>248527.9</v>
      </c>
      <c r="J98" s="106">
        <f t="shared" si="21"/>
        <v>54.199999999982538</v>
      </c>
      <c r="K98" s="110">
        <v>17867</v>
      </c>
      <c r="L98" s="107">
        <f t="shared" si="22"/>
        <v>18</v>
      </c>
      <c r="M98" s="111">
        <v>91</v>
      </c>
      <c r="N98" s="28">
        <f t="shared" si="23"/>
        <v>0.59560439560420375</v>
      </c>
      <c r="O98" s="84">
        <f t="shared" si="24"/>
        <v>189.89999999999418</v>
      </c>
      <c r="P98" s="79">
        <f t="shared" si="25"/>
        <v>265.08000000000004</v>
      </c>
      <c r="Q98" s="34">
        <f t="shared" si="26"/>
        <v>0.71638750565864706</v>
      </c>
      <c r="R98" s="1">
        <v>26</v>
      </c>
    </row>
    <row r="99" spans="1:18" ht="24" customHeight="1">
      <c r="A99" s="81">
        <v>50</v>
      </c>
      <c r="B99" s="31" t="s">
        <v>97</v>
      </c>
      <c r="C99" s="104">
        <v>236913.7</v>
      </c>
      <c r="D99" s="104">
        <v>237077.1</v>
      </c>
      <c r="E99" s="104">
        <f t="shared" si="19"/>
        <v>163.39999999999418</v>
      </c>
      <c r="F99" s="110">
        <v>16365</v>
      </c>
      <c r="G99" s="111">
        <v>252</v>
      </c>
      <c r="H99" s="10">
        <f t="shared" si="20"/>
        <v>0.64841269841267535</v>
      </c>
      <c r="I99" s="104">
        <v>237252.3</v>
      </c>
      <c r="J99" s="106">
        <f t="shared" si="21"/>
        <v>175.19999999998254</v>
      </c>
      <c r="K99" s="110">
        <v>16386</v>
      </c>
      <c r="L99" s="107">
        <f t="shared" si="22"/>
        <v>21</v>
      </c>
      <c r="M99" s="111">
        <v>249</v>
      </c>
      <c r="N99" s="28">
        <f t="shared" si="23"/>
        <v>0.7036144578312552</v>
      </c>
      <c r="O99" s="84">
        <f t="shared" si="24"/>
        <v>338.59999999997672</v>
      </c>
      <c r="P99" s="79">
        <f t="shared" si="25"/>
        <v>501</v>
      </c>
      <c r="Q99" s="34">
        <f t="shared" si="26"/>
        <v>0.67584830339316715</v>
      </c>
      <c r="R99" s="1">
        <v>34</v>
      </c>
    </row>
    <row r="100" spans="1:18" ht="24" customHeight="1">
      <c r="A100" s="81">
        <v>51</v>
      </c>
      <c r="B100" s="121" t="s">
        <v>166</v>
      </c>
      <c r="C100" s="104">
        <v>204924</v>
      </c>
      <c r="D100" s="104">
        <v>205128</v>
      </c>
      <c r="E100" s="118">
        <f t="shared" si="19"/>
        <v>204</v>
      </c>
      <c r="F100" s="110">
        <v>17452</v>
      </c>
      <c r="G100" s="111">
        <v>284</v>
      </c>
      <c r="H100" s="55">
        <f t="shared" si="20"/>
        <v>0.71830985915492962</v>
      </c>
      <c r="I100" s="104">
        <v>205258</v>
      </c>
      <c r="J100" s="119">
        <f t="shared" si="21"/>
        <v>130</v>
      </c>
      <c r="K100" s="110">
        <v>17473</v>
      </c>
      <c r="L100" s="120">
        <f t="shared" si="22"/>
        <v>21</v>
      </c>
      <c r="M100" s="111">
        <v>175</v>
      </c>
      <c r="N100" s="28">
        <f t="shared" si="23"/>
        <v>0.74285714285714288</v>
      </c>
      <c r="O100" s="58">
        <f t="shared" si="24"/>
        <v>334</v>
      </c>
      <c r="P100" s="79">
        <f t="shared" si="25"/>
        <v>459</v>
      </c>
      <c r="Q100" s="34">
        <f t="shared" si="26"/>
        <v>0.72766884531590414</v>
      </c>
      <c r="R100" s="1">
        <v>34</v>
      </c>
    </row>
    <row r="101" spans="1:18" ht="24" customHeight="1">
      <c r="A101" s="81">
        <v>52</v>
      </c>
      <c r="B101" s="121" t="s">
        <v>167</v>
      </c>
      <c r="C101" s="104">
        <v>186406</v>
      </c>
      <c r="D101" s="104">
        <v>186406</v>
      </c>
      <c r="E101" s="118">
        <f t="shared" si="19"/>
        <v>0</v>
      </c>
      <c r="F101" s="110">
        <v>16317</v>
      </c>
      <c r="G101" s="111">
        <v>0</v>
      </c>
      <c r="H101" s="55">
        <f t="shared" si="20"/>
        <v>0</v>
      </c>
      <c r="I101" s="104">
        <v>186406</v>
      </c>
      <c r="J101" s="119">
        <f t="shared" si="21"/>
        <v>0</v>
      </c>
      <c r="K101" s="110">
        <v>16317</v>
      </c>
      <c r="L101" s="120">
        <f t="shared" si="22"/>
        <v>0</v>
      </c>
      <c r="M101" s="111">
        <v>0</v>
      </c>
      <c r="N101" s="28">
        <f t="shared" si="23"/>
        <v>0</v>
      </c>
      <c r="O101" s="58">
        <f t="shared" si="24"/>
        <v>0</v>
      </c>
      <c r="P101" s="79">
        <f t="shared" si="25"/>
        <v>0</v>
      </c>
      <c r="Q101" s="34">
        <f t="shared" si="26"/>
        <v>0</v>
      </c>
      <c r="R101" s="1">
        <v>0</v>
      </c>
    </row>
    <row r="102" spans="1:18" ht="24" customHeight="1">
      <c r="A102" s="81">
        <v>53</v>
      </c>
      <c r="B102" s="121" t="s">
        <v>168</v>
      </c>
      <c r="C102" s="104">
        <v>191843</v>
      </c>
      <c r="D102" s="104">
        <v>191996</v>
      </c>
      <c r="E102" s="118">
        <f t="shared" si="19"/>
        <v>153</v>
      </c>
      <c r="F102" s="110">
        <v>17119</v>
      </c>
      <c r="G102" s="111">
        <v>257</v>
      </c>
      <c r="H102" s="55">
        <f t="shared" si="20"/>
        <v>0.59533073929961089</v>
      </c>
      <c r="I102" s="104">
        <v>192135</v>
      </c>
      <c r="J102" s="119">
        <f t="shared" si="21"/>
        <v>139</v>
      </c>
      <c r="K102" s="110">
        <v>17140</v>
      </c>
      <c r="L102" s="120">
        <f t="shared" si="22"/>
        <v>21</v>
      </c>
      <c r="M102" s="111">
        <v>212</v>
      </c>
      <c r="N102" s="28">
        <f t="shared" si="23"/>
        <v>0.65566037735849059</v>
      </c>
      <c r="O102" s="58">
        <f t="shared" si="24"/>
        <v>292</v>
      </c>
      <c r="P102" s="79">
        <f t="shared" si="25"/>
        <v>469</v>
      </c>
      <c r="Q102" s="34">
        <f t="shared" si="26"/>
        <v>0.62260127931769726</v>
      </c>
      <c r="R102" s="1">
        <v>46</v>
      </c>
    </row>
    <row r="103" spans="1:18" ht="24" customHeight="1">
      <c r="A103" s="81">
        <v>54</v>
      </c>
      <c r="B103" s="121" t="s">
        <v>169</v>
      </c>
      <c r="C103" s="104">
        <v>195991</v>
      </c>
      <c r="D103" s="104">
        <v>196134</v>
      </c>
      <c r="E103" s="118">
        <f t="shared" si="19"/>
        <v>143</v>
      </c>
      <c r="F103" s="110">
        <v>16602</v>
      </c>
      <c r="G103" s="111">
        <v>252</v>
      </c>
      <c r="H103" s="55">
        <f t="shared" si="20"/>
        <v>0.56746031746031744</v>
      </c>
      <c r="I103" s="104">
        <v>196251</v>
      </c>
      <c r="J103" s="119">
        <f t="shared" si="21"/>
        <v>117</v>
      </c>
      <c r="K103" s="110">
        <v>16624</v>
      </c>
      <c r="L103" s="120">
        <f t="shared" si="22"/>
        <v>22</v>
      </c>
      <c r="M103" s="111">
        <v>196</v>
      </c>
      <c r="N103" s="28">
        <f t="shared" si="23"/>
        <v>0.59693877551020413</v>
      </c>
      <c r="O103" s="58">
        <f t="shared" si="24"/>
        <v>260</v>
      </c>
      <c r="P103" s="79">
        <f t="shared" si="25"/>
        <v>448</v>
      </c>
      <c r="Q103" s="34">
        <f t="shared" si="26"/>
        <v>0.5803571428571429</v>
      </c>
      <c r="R103" s="1">
        <v>56</v>
      </c>
    </row>
    <row r="104" spans="1:18" ht="24" customHeight="1">
      <c r="A104" s="81">
        <v>55</v>
      </c>
      <c r="B104" s="121" t="s">
        <v>104</v>
      </c>
      <c r="C104" s="104">
        <v>70719.7</v>
      </c>
      <c r="D104" s="104">
        <v>70878.2</v>
      </c>
      <c r="E104" s="122">
        <f t="shared" si="19"/>
        <v>158.5</v>
      </c>
      <c r="F104" s="110">
        <v>4782</v>
      </c>
      <c r="G104" s="111">
        <v>193</v>
      </c>
      <c r="H104" s="78">
        <f t="shared" si="20"/>
        <v>0.82124352331606221</v>
      </c>
      <c r="I104" s="104">
        <v>71001.2</v>
      </c>
      <c r="J104" s="112">
        <f t="shared" si="21"/>
        <v>123</v>
      </c>
      <c r="K104" s="110">
        <v>4801</v>
      </c>
      <c r="L104" s="107">
        <f t="shared" si="22"/>
        <v>19</v>
      </c>
      <c r="M104" s="111">
        <v>168</v>
      </c>
      <c r="N104" s="28">
        <f t="shared" si="23"/>
        <v>0.7321428571428571</v>
      </c>
      <c r="O104" s="58">
        <f t="shared" si="24"/>
        <v>281.5</v>
      </c>
      <c r="P104" s="79">
        <f t="shared" si="25"/>
        <v>361</v>
      </c>
      <c r="Q104" s="34">
        <f t="shared" si="26"/>
        <v>0.77977839335180055</v>
      </c>
      <c r="R104" s="1">
        <v>39</v>
      </c>
    </row>
    <row r="105" spans="1:18" ht="24" customHeight="1">
      <c r="A105" s="81">
        <v>56</v>
      </c>
      <c r="B105" s="121" t="s">
        <v>105</v>
      </c>
      <c r="C105" s="35">
        <v>69576.5</v>
      </c>
      <c r="D105" s="35">
        <v>69705.5</v>
      </c>
      <c r="E105" s="122">
        <f t="shared" si="19"/>
        <v>129</v>
      </c>
      <c r="F105" s="110">
        <v>4803</v>
      </c>
      <c r="G105" s="111">
        <v>175.29</v>
      </c>
      <c r="H105" s="78">
        <f t="shared" si="20"/>
        <v>0.73592332705801822</v>
      </c>
      <c r="I105" s="35">
        <v>69863.5</v>
      </c>
      <c r="J105" s="112">
        <f t="shared" si="21"/>
        <v>158</v>
      </c>
      <c r="K105" s="110">
        <v>4823</v>
      </c>
      <c r="L105" s="107">
        <f t="shared" si="22"/>
        <v>20</v>
      </c>
      <c r="M105" s="111">
        <v>170</v>
      </c>
      <c r="N105" s="28">
        <f t="shared" si="23"/>
        <v>0.92941176470588238</v>
      </c>
      <c r="O105" s="58">
        <f t="shared" si="24"/>
        <v>287</v>
      </c>
      <c r="P105" s="79">
        <f t="shared" si="25"/>
        <v>345.28999999999996</v>
      </c>
      <c r="Q105" s="34">
        <f t="shared" si="26"/>
        <v>0.83118538040487711</v>
      </c>
      <c r="R105" s="1">
        <v>40</v>
      </c>
    </row>
    <row r="106" spans="1:18" ht="24" customHeight="1">
      <c r="A106" s="81">
        <v>57</v>
      </c>
      <c r="B106" s="121" t="s">
        <v>106</v>
      </c>
      <c r="C106" s="104">
        <v>67427.199999999997</v>
      </c>
      <c r="D106" s="104">
        <v>67618.3</v>
      </c>
      <c r="E106" s="122">
        <f t="shared" si="19"/>
        <v>191.10000000000582</v>
      </c>
      <c r="F106" s="110">
        <v>4822</v>
      </c>
      <c r="G106" s="111">
        <v>270</v>
      </c>
      <c r="H106" s="78">
        <f t="shared" si="20"/>
        <v>0.70777777777779938</v>
      </c>
      <c r="I106" s="104">
        <v>67749.7</v>
      </c>
      <c r="J106" s="112">
        <f t="shared" si="21"/>
        <v>131.39999999999418</v>
      </c>
      <c r="K106" s="110">
        <v>4841</v>
      </c>
      <c r="L106" s="107">
        <f t="shared" si="22"/>
        <v>19</v>
      </c>
      <c r="M106" s="111">
        <v>161</v>
      </c>
      <c r="N106" s="28">
        <f t="shared" si="23"/>
        <v>0.8161490683229452</v>
      </c>
      <c r="O106" s="58">
        <f t="shared" si="24"/>
        <v>322.5</v>
      </c>
      <c r="P106" s="79">
        <f t="shared" si="25"/>
        <v>431</v>
      </c>
      <c r="Q106" s="34">
        <f t="shared" si="26"/>
        <v>0.74825986078886308</v>
      </c>
      <c r="R106" s="1">
        <v>36</v>
      </c>
    </row>
    <row r="107" spans="1:18" ht="24" customHeight="1">
      <c r="A107" s="81">
        <v>58</v>
      </c>
      <c r="B107" s="121" t="s">
        <v>107</v>
      </c>
      <c r="C107" s="104">
        <v>69678.600000000006</v>
      </c>
      <c r="D107" s="104">
        <v>69862.399999999994</v>
      </c>
      <c r="E107" s="122">
        <f t="shared" si="19"/>
        <v>183.79999999998836</v>
      </c>
      <c r="F107" s="110">
        <v>4822</v>
      </c>
      <c r="G107" s="111">
        <v>257.75</v>
      </c>
      <c r="H107" s="78">
        <f t="shared" si="20"/>
        <v>0.71309408341411584</v>
      </c>
      <c r="I107" s="104">
        <v>69956.2</v>
      </c>
      <c r="J107" s="112">
        <f t="shared" si="21"/>
        <v>93.80000000000291</v>
      </c>
      <c r="K107" s="110">
        <v>4843</v>
      </c>
      <c r="L107" s="107">
        <f t="shared" si="22"/>
        <v>21</v>
      </c>
      <c r="M107" s="111">
        <v>118</v>
      </c>
      <c r="N107" s="28">
        <f t="shared" si="23"/>
        <v>0.7949152542373128</v>
      </c>
      <c r="O107" s="58">
        <f t="shared" si="24"/>
        <v>277.59999999999127</v>
      </c>
      <c r="P107" s="79">
        <f t="shared" si="25"/>
        <v>375.75</v>
      </c>
      <c r="Q107" s="34">
        <f t="shared" si="26"/>
        <v>0.73878908848966407</v>
      </c>
      <c r="R107" s="1">
        <v>30</v>
      </c>
    </row>
    <row r="108" spans="1:18" ht="24" customHeight="1">
      <c r="A108" s="81">
        <v>59</v>
      </c>
      <c r="B108" s="121" t="s">
        <v>108</v>
      </c>
      <c r="C108" s="104">
        <v>68821.5</v>
      </c>
      <c r="D108" s="104">
        <v>68937.7</v>
      </c>
      <c r="E108" s="122">
        <f t="shared" si="19"/>
        <v>116.19999999999709</v>
      </c>
      <c r="F108" s="110">
        <v>4794</v>
      </c>
      <c r="G108" s="111">
        <v>175.6</v>
      </c>
      <c r="H108" s="78">
        <f t="shared" si="20"/>
        <v>0.66173120728927726</v>
      </c>
      <c r="I108" s="104">
        <v>69073.5</v>
      </c>
      <c r="J108" s="112">
        <f t="shared" si="21"/>
        <v>135.80000000000291</v>
      </c>
      <c r="K108" s="110">
        <v>4814</v>
      </c>
      <c r="L108" s="107">
        <f t="shared" si="22"/>
        <v>20</v>
      </c>
      <c r="M108" s="111">
        <v>143</v>
      </c>
      <c r="N108" s="28">
        <f t="shared" si="23"/>
        <v>0.94965034965036998</v>
      </c>
      <c r="O108" s="58">
        <f t="shared" si="24"/>
        <v>252</v>
      </c>
      <c r="P108" s="79">
        <f t="shared" si="25"/>
        <v>318.60000000000002</v>
      </c>
      <c r="Q108" s="34">
        <f t="shared" si="26"/>
        <v>0.79096045197740106</v>
      </c>
      <c r="R108" s="1">
        <v>40</v>
      </c>
    </row>
    <row r="109" spans="1:18" ht="24" customHeight="1">
      <c r="A109" s="81">
        <v>60</v>
      </c>
      <c r="B109" s="121" t="s">
        <v>109</v>
      </c>
      <c r="C109" s="104">
        <v>70580.899999999994</v>
      </c>
      <c r="D109" s="104">
        <v>70754</v>
      </c>
      <c r="E109" s="118">
        <f t="shared" si="19"/>
        <v>173.10000000000582</v>
      </c>
      <c r="F109" s="110">
        <v>4881</v>
      </c>
      <c r="G109" s="111">
        <v>252</v>
      </c>
      <c r="H109" s="55">
        <f t="shared" si="20"/>
        <v>0.686904761904785</v>
      </c>
      <c r="I109" s="104">
        <v>70903.8</v>
      </c>
      <c r="J109" s="119">
        <f t="shared" si="21"/>
        <v>149.80000000000291</v>
      </c>
      <c r="K109" s="110">
        <v>4901</v>
      </c>
      <c r="L109" s="120">
        <f t="shared" si="22"/>
        <v>20</v>
      </c>
      <c r="M109" s="111">
        <v>195</v>
      </c>
      <c r="N109" s="28">
        <f t="shared" si="23"/>
        <v>0.76820512820514308</v>
      </c>
      <c r="O109" s="58">
        <f t="shared" si="24"/>
        <v>322.90000000000873</v>
      </c>
      <c r="P109" s="79">
        <f t="shared" si="25"/>
        <v>447</v>
      </c>
      <c r="Q109" s="34">
        <f t="shared" si="26"/>
        <v>0.72237136465326335</v>
      </c>
      <c r="R109" s="1">
        <v>39</v>
      </c>
    </row>
    <row r="110" spans="1:18" ht="24" customHeight="1">
      <c r="A110" s="81">
        <v>61</v>
      </c>
      <c r="B110" s="121" t="s">
        <v>176</v>
      </c>
      <c r="C110" s="104">
        <v>52565.1</v>
      </c>
      <c r="D110" s="104">
        <v>52565.1</v>
      </c>
      <c r="E110" s="118">
        <f t="shared" si="19"/>
        <v>0</v>
      </c>
      <c r="F110" s="110">
        <v>4257</v>
      </c>
      <c r="G110" s="111">
        <v>216</v>
      </c>
      <c r="H110" s="55">
        <f t="shared" si="20"/>
        <v>0</v>
      </c>
      <c r="I110" s="104">
        <v>52711.6</v>
      </c>
      <c r="J110" s="119">
        <f t="shared" si="21"/>
        <v>146.5</v>
      </c>
      <c r="K110" s="110">
        <v>4266</v>
      </c>
      <c r="L110" s="120">
        <f t="shared" si="22"/>
        <v>9</v>
      </c>
      <c r="M110" s="111">
        <v>182</v>
      </c>
      <c r="N110" s="28">
        <f t="shared" si="23"/>
        <v>0.80494505494505497</v>
      </c>
      <c r="O110" s="58">
        <f t="shared" si="24"/>
        <v>146.5</v>
      </c>
      <c r="P110" s="79">
        <f t="shared" si="25"/>
        <v>398</v>
      </c>
      <c r="Q110" s="34">
        <f t="shared" si="26"/>
        <v>0.36809045226130654</v>
      </c>
      <c r="R110" s="1">
        <v>36</v>
      </c>
    </row>
    <row r="111" spans="1:18" ht="24" customHeight="1">
      <c r="A111" s="81">
        <v>62</v>
      </c>
      <c r="B111" s="121" t="s">
        <v>177</v>
      </c>
      <c r="C111" s="104">
        <v>51545.2</v>
      </c>
      <c r="D111" s="104">
        <v>51545.2</v>
      </c>
      <c r="E111" s="118">
        <f t="shared" si="19"/>
        <v>0</v>
      </c>
      <c r="F111" s="110">
        <v>4292</v>
      </c>
      <c r="G111" s="111">
        <v>192.05</v>
      </c>
      <c r="H111" s="55">
        <f t="shared" si="20"/>
        <v>0</v>
      </c>
      <c r="I111" s="104">
        <v>51711.8</v>
      </c>
      <c r="J111" s="119">
        <f t="shared" si="21"/>
        <v>166.60000000000582</v>
      </c>
      <c r="K111" s="110">
        <v>4302</v>
      </c>
      <c r="L111" s="120">
        <f t="shared" si="22"/>
        <v>10</v>
      </c>
      <c r="M111" s="111">
        <v>226</v>
      </c>
      <c r="N111" s="28">
        <f t="shared" si="23"/>
        <v>0.73716814159294608</v>
      </c>
      <c r="O111" s="58">
        <f t="shared" si="24"/>
        <v>166.60000000000582</v>
      </c>
      <c r="P111" s="79">
        <f t="shared" si="25"/>
        <v>418.05</v>
      </c>
      <c r="Q111" s="34">
        <f t="shared" si="26"/>
        <v>0.39851692381295495</v>
      </c>
      <c r="R111" s="1">
        <v>40</v>
      </c>
    </row>
    <row r="112" spans="1:18" ht="24" customHeight="1">
      <c r="A112" s="81">
        <v>63</v>
      </c>
      <c r="B112" s="121" t="s">
        <v>178</v>
      </c>
      <c r="C112" s="104">
        <v>50183.8</v>
      </c>
      <c r="D112" s="104">
        <v>50183.8</v>
      </c>
      <c r="E112" s="118">
        <f t="shared" si="19"/>
        <v>0</v>
      </c>
      <c r="F112" s="110">
        <v>4036</v>
      </c>
      <c r="G112" s="111">
        <v>151</v>
      </c>
      <c r="H112" s="55">
        <f t="shared" si="20"/>
        <v>0</v>
      </c>
      <c r="I112" s="104">
        <v>50320.7</v>
      </c>
      <c r="J112" s="119">
        <f t="shared" si="21"/>
        <v>136.89999999999418</v>
      </c>
      <c r="K112" s="110">
        <v>4045</v>
      </c>
      <c r="L112" s="120">
        <f t="shared" si="22"/>
        <v>9</v>
      </c>
      <c r="M112" s="111">
        <v>179</v>
      </c>
      <c r="N112" s="28">
        <f t="shared" si="23"/>
        <v>0.76480446927371049</v>
      </c>
      <c r="O112" s="58">
        <f t="shared" si="24"/>
        <v>136.89999999999418</v>
      </c>
      <c r="P112" s="79">
        <f t="shared" si="25"/>
        <v>330</v>
      </c>
      <c r="Q112" s="34">
        <f t="shared" si="26"/>
        <v>0.4148484848484672</v>
      </c>
      <c r="R112" s="1">
        <v>36</v>
      </c>
    </row>
    <row r="113" spans="1:18" ht="24" customHeight="1">
      <c r="A113" s="81">
        <v>64</v>
      </c>
      <c r="B113" s="121" t="s">
        <v>179</v>
      </c>
      <c r="C113" s="104">
        <v>51149.9</v>
      </c>
      <c r="D113" s="104">
        <v>51149.9</v>
      </c>
      <c r="E113" s="118">
        <f t="shared" si="19"/>
        <v>0</v>
      </c>
      <c r="F113" s="110">
        <v>4209</v>
      </c>
      <c r="G113" s="111">
        <v>213.2</v>
      </c>
      <c r="H113" s="55">
        <f t="shared" si="20"/>
        <v>0</v>
      </c>
      <c r="I113" s="104">
        <v>51259.8</v>
      </c>
      <c r="J113" s="119">
        <f t="shared" si="21"/>
        <v>109.90000000000146</v>
      </c>
      <c r="K113" s="110">
        <v>4209</v>
      </c>
      <c r="L113" s="120">
        <f t="shared" si="22"/>
        <v>0</v>
      </c>
      <c r="M113" s="111">
        <v>173</v>
      </c>
      <c r="N113" s="28">
        <f t="shared" si="23"/>
        <v>0.63526011560694484</v>
      </c>
      <c r="O113" s="58">
        <f t="shared" si="24"/>
        <v>109.90000000000146</v>
      </c>
      <c r="P113" s="79">
        <f t="shared" si="25"/>
        <v>386.2</v>
      </c>
      <c r="Q113" s="34">
        <f t="shared" si="26"/>
        <v>0.28456758156396028</v>
      </c>
      <c r="R113" s="1">
        <v>48</v>
      </c>
    </row>
    <row r="114" spans="1:18" ht="24" customHeight="1">
      <c r="A114" s="81">
        <v>65</v>
      </c>
      <c r="B114" s="121" t="s">
        <v>180</v>
      </c>
      <c r="C114" s="104">
        <v>51602.9</v>
      </c>
      <c r="D114" s="104">
        <v>51602.9</v>
      </c>
      <c r="E114" s="118">
        <f t="shared" si="19"/>
        <v>0</v>
      </c>
      <c r="F114" s="110">
        <v>4161</v>
      </c>
      <c r="G114" s="111">
        <v>217.94</v>
      </c>
      <c r="H114" s="55">
        <f t="shared" si="20"/>
        <v>0</v>
      </c>
      <c r="I114" s="104">
        <v>51702.7</v>
      </c>
      <c r="J114" s="119">
        <f t="shared" si="21"/>
        <v>99.799999999995634</v>
      </c>
      <c r="K114" s="110">
        <v>4170</v>
      </c>
      <c r="L114" s="120">
        <f t="shared" si="22"/>
        <v>9</v>
      </c>
      <c r="M114" s="111">
        <v>120</v>
      </c>
      <c r="N114" s="28">
        <f t="shared" si="23"/>
        <v>0.83166666666663025</v>
      </c>
      <c r="O114" s="58">
        <f t="shared" si="24"/>
        <v>99.799999999995634</v>
      </c>
      <c r="P114" s="79">
        <f t="shared" si="25"/>
        <v>337.94</v>
      </c>
      <c r="Q114" s="34">
        <f t="shared" si="26"/>
        <v>0.29531869562642965</v>
      </c>
      <c r="R114" s="1">
        <v>47</v>
      </c>
    </row>
    <row r="115" spans="1:18" ht="24" customHeight="1">
      <c r="A115" s="81">
        <v>66</v>
      </c>
      <c r="B115" s="121" t="s">
        <v>110</v>
      </c>
      <c r="C115" s="104">
        <v>34631.4</v>
      </c>
      <c r="D115" s="104">
        <v>34716.300000000003</v>
      </c>
      <c r="E115" s="118">
        <f t="shared" si="19"/>
        <v>84.900000000001455</v>
      </c>
      <c r="F115" s="110">
        <v>2797</v>
      </c>
      <c r="G115" s="111">
        <v>148</v>
      </c>
      <c r="H115" s="55">
        <f t="shared" si="20"/>
        <v>0.5736486486486585</v>
      </c>
      <c r="I115" s="104">
        <v>34881.800000000003</v>
      </c>
      <c r="J115" s="119">
        <f t="shared" si="21"/>
        <v>165.5</v>
      </c>
      <c r="K115" s="110">
        <v>2818</v>
      </c>
      <c r="L115" s="120">
        <f t="shared" si="22"/>
        <v>21</v>
      </c>
      <c r="M115" s="111">
        <v>240</v>
      </c>
      <c r="N115" s="28">
        <f t="shared" si="23"/>
        <v>0.68958333333333333</v>
      </c>
      <c r="O115" s="58">
        <f t="shared" si="24"/>
        <v>250.40000000000146</v>
      </c>
      <c r="P115" s="79">
        <f t="shared" si="25"/>
        <v>388</v>
      </c>
      <c r="Q115" s="34">
        <f t="shared" si="26"/>
        <v>0.64536082474227174</v>
      </c>
      <c r="R115" s="1">
        <v>39</v>
      </c>
    </row>
    <row r="116" spans="1:18" ht="22.2" customHeight="1">
      <c r="A116" s="123" t="s">
        <v>28</v>
      </c>
      <c r="B116" s="123"/>
      <c r="C116" s="40"/>
      <c r="D116" s="123"/>
      <c r="E116" s="124">
        <f>SUM(E50:E115)</f>
        <v>6832.6999999998297</v>
      </c>
      <c r="F116" s="125"/>
      <c r="G116" s="126">
        <f>SUM(G50:G115)</f>
        <v>11205.740000000002</v>
      </c>
      <c r="H116" s="39"/>
      <c r="I116" s="40"/>
      <c r="J116" s="40">
        <f>SUM(J50:J115)</f>
        <v>5601.0000000000873</v>
      </c>
      <c r="K116" s="127"/>
      <c r="L116" s="128">
        <f>SUM(L50:L115)</f>
        <v>1001.9000000000051</v>
      </c>
      <c r="M116" s="128">
        <f>SUM(M50:M115)</f>
        <v>8493.11</v>
      </c>
      <c r="N116" s="28">
        <f>IFERROR(J116/M116,0)</f>
        <v>0.65947573974669904</v>
      </c>
      <c r="O116" s="129">
        <f>SUM(O50:O115)</f>
        <v>12433.699999999917</v>
      </c>
      <c r="P116" s="79">
        <f>G116+M116</f>
        <v>19698.850000000002</v>
      </c>
      <c r="Q116" s="34">
        <f>IFERROR(O116/P116,0)</f>
        <v>0.63118913032993884</v>
      </c>
      <c r="R116" s="130">
        <f>SUM(R50:R115)</f>
        <v>2216</v>
      </c>
    </row>
    <row r="117" spans="1:18" ht="22.2" customHeight="1" thickBot="1">
      <c r="A117" s="206" t="s">
        <v>111</v>
      </c>
      <c r="B117" s="207"/>
      <c r="C117" s="207"/>
      <c r="D117" s="207"/>
      <c r="E117" s="207"/>
      <c r="F117" s="207"/>
      <c r="G117" s="207"/>
      <c r="H117" s="207"/>
      <c r="I117" s="207"/>
      <c r="J117" s="207"/>
      <c r="K117" s="207"/>
      <c r="L117" s="208"/>
      <c r="M117" s="131"/>
      <c r="N117" s="132"/>
      <c r="O117" s="133"/>
    </row>
    <row r="118" spans="1:18" ht="22.2" customHeight="1">
      <c r="A118" s="209" t="s">
        <v>3</v>
      </c>
      <c r="B118" s="211" t="s">
        <v>4</v>
      </c>
      <c r="C118" s="213" t="s">
        <v>5</v>
      </c>
      <c r="D118" s="214"/>
      <c r="E118" s="214"/>
      <c r="F118" s="214"/>
      <c r="G118" s="215"/>
      <c r="H118" s="216" t="s">
        <v>6</v>
      </c>
      <c r="I118" s="217"/>
      <c r="J118" s="217"/>
      <c r="K118" s="218"/>
      <c r="L118" s="48"/>
      <c r="M118" s="219" t="s">
        <v>7</v>
      </c>
      <c r="N118" s="194" t="s">
        <v>8</v>
      </c>
      <c r="O118" s="37"/>
    </row>
    <row r="119" spans="1:18" ht="27.6" customHeight="1" thickBot="1">
      <c r="A119" s="210"/>
      <c r="B119" s="212"/>
      <c r="C119" s="49" t="s">
        <v>11</v>
      </c>
      <c r="D119" s="49" t="s">
        <v>12</v>
      </c>
      <c r="E119" s="49" t="s">
        <v>13</v>
      </c>
      <c r="F119" s="6" t="s">
        <v>14</v>
      </c>
      <c r="G119" s="6" t="s">
        <v>8</v>
      </c>
      <c r="H119" s="49" t="s">
        <v>12</v>
      </c>
      <c r="I119" s="49" t="s">
        <v>13</v>
      </c>
      <c r="J119" s="49" t="s">
        <v>14</v>
      </c>
      <c r="K119" s="7" t="s">
        <v>8</v>
      </c>
      <c r="L119" s="50" t="s">
        <v>15</v>
      </c>
      <c r="M119" s="220"/>
      <c r="N119" s="195"/>
      <c r="O119" s="37"/>
    </row>
    <row r="120" spans="1:18" ht="22.2" customHeight="1">
      <c r="A120" s="76">
        <v>1</v>
      </c>
      <c r="B120" s="31" t="s">
        <v>112</v>
      </c>
      <c r="C120" s="35">
        <v>121832</v>
      </c>
      <c r="D120" s="35">
        <v>121832</v>
      </c>
      <c r="E120" s="17">
        <f>D120-C120</f>
        <v>0</v>
      </c>
      <c r="F120" s="33">
        <v>0</v>
      </c>
      <c r="G120" s="10">
        <f>IFERROR(F120/E120,0)</f>
        <v>0</v>
      </c>
      <c r="H120" s="35">
        <v>121832</v>
      </c>
      <c r="I120" s="19">
        <f>H120-D120</f>
        <v>0</v>
      </c>
      <c r="J120" s="33">
        <v>0</v>
      </c>
      <c r="K120" s="28">
        <f t="shared" ref="K120:K134" si="27">IFERROR(J120/I120,0)</f>
        <v>0</v>
      </c>
      <c r="L120" s="18">
        <f t="shared" ref="L120:M134" si="28">E120+I120</f>
        <v>0</v>
      </c>
      <c r="M120" s="22">
        <f>F120+J120</f>
        <v>0</v>
      </c>
      <c r="N120" s="71">
        <f>IFERROR(L120/M120,0)</f>
        <v>0</v>
      </c>
      <c r="O120" s="37"/>
    </row>
    <row r="121" spans="1:18" ht="22.2" customHeight="1">
      <c r="A121" s="76">
        <v>2</v>
      </c>
      <c r="B121" s="31" t="s">
        <v>113</v>
      </c>
      <c r="C121" s="35">
        <v>4298.33</v>
      </c>
      <c r="D121" s="35">
        <v>4298.33</v>
      </c>
      <c r="E121" s="17">
        <f t="shared" ref="E121:E134" si="29">D121-C121</f>
        <v>0</v>
      </c>
      <c r="F121" s="33">
        <v>0</v>
      </c>
      <c r="G121" s="10">
        <f t="shared" ref="G121:G134" si="30">IFERROR(F121/E121,0)</f>
        <v>0</v>
      </c>
      <c r="H121" s="35">
        <v>4298.33</v>
      </c>
      <c r="I121" s="19">
        <f>H121-D121</f>
        <v>0</v>
      </c>
      <c r="J121" s="33">
        <v>0</v>
      </c>
      <c r="K121" s="28">
        <f t="shared" si="27"/>
        <v>0</v>
      </c>
      <c r="L121" s="18">
        <f t="shared" si="28"/>
        <v>0</v>
      </c>
      <c r="M121" s="22">
        <f t="shared" si="28"/>
        <v>0</v>
      </c>
      <c r="N121" s="71">
        <f t="shared" ref="N121:N134" si="31">IFERROR(L121/M121,0)</f>
        <v>0</v>
      </c>
      <c r="O121" s="134"/>
    </row>
    <row r="122" spans="1:18" ht="22.2" customHeight="1">
      <c r="A122" s="76">
        <v>3</v>
      </c>
      <c r="B122" s="31" t="s">
        <v>114</v>
      </c>
      <c r="C122" s="35">
        <v>156.43</v>
      </c>
      <c r="D122" s="35">
        <v>156.43</v>
      </c>
      <c r="E122" s="17">
        <f t="shared" si="29"/>
        <v>0</v>
      </c>
      <c r="F122" s="33">
        <v>0</v>
      </c>
      <c r="G122" s="10">
        <f t="shared" si="30"/>
        <v>0</v>
      </c>
      <c r="H122" s="35">
        <v>156.43</v>
      </c>
      <c r="I122" s="19">
        <f t="shared" ref="I122:I134" si="32">H122-D122</f>
        <v>0</v>
      </c>
      <c r="J122" s="33">
        <v>0</v>
      </c>
      <c r="K122" s="28">
        <f t="shared" si="27"/>
        <v>0</v>
      </c>
      <c r="L122" s="18">
        <f t="shared" si="28"/>
        <v>0</v>
      </c>
      <c r="M122" s="22">
        <f t="shared" si="28"/>
        <v>0</v>
      </c>
      <c r="N122" s="71">
        <f t="shared" si="31"/>
        <v>0</v>
      </c>
      <c r="O122" s="37"/>
    </row>
    <row r="123" spans="1:18" ht="22.2" customHeight="1">
      <c r="A123" s="76">
        <v>4</v>
      </c>
      <c r="B123" s="31" t="s">
        <v>115</v>
      </c>
      <c r="C123" s="136">
        <v>140361</v>
      </c>
      <c r="D123" s="136">
        <v>140361</v>
      </c>
      <c r="E123" s="17">
        <f t="shared" si="29"/>
        <v>0</v>
      </c>
      <c r="F123" s="33">
        <v>0</v>
      </c>
      <c r="G123" s="10">
        <f t="shared" si="30"/>
        <v>0</v>
      </c>
      <c r="H123" s="136">
        <v>140707</v>
      </c>
      <c r="I123" s="19">
        <f t="shared" si="32"/>
        <v>346</v>
      </c>
      <c r="J123" s="33">
        <v>38</v>
      </c>
      <c r="K123" s="28">
        <f t="shared" si="27"/>
        <v>0.10982658959537572</v>
      </c>
      <c r="L123" s="18">
        <f t="shared" si="28"/>
        <v>346</v>
      </c>
      <c r="M123" s="22">
        <f t="shared" si="28"/>
        <v>38</v>
      </c>
      <c r="N123" s="71">
        <f t="shared" si="31"/>
        <v>9.1052631578947363</v>
      </c>
      <c r="O123" s="137"/>
    </row>
    <row r="124" spans="1:18" ht="22.2" customHeight="1">
      <c r="A124" s="76">
        <v>5</v>
      </c>
      <c r="B124" s="31" t="s">
        <v>116</v>
      </c>
      <c r="C124" s="35">
        <v>44558.9</v>
      </c>
      <c r="D124" s="35">
        <v>44558.9</v>
      </c>
      <c r="E124" s="17">
        <f t="shared" si="29"/>
        <v>0</v>
      </c>
      <c r="F124" s="33">
        <v>0</v>
      </c>
      <c r="G124" s="10">
        <f t="shared" si="30"/>
        <v>0</v>
      </c>
      <c r="H124" s="35">
        <v>44558.9</v>
      </c>
      <c r="I124" s="19">
        <f t="shared" si="32"/>
        <v>0</v>
      </c>
      <c r="J124" s="33">
        <v>0</v>
      </c>
      <c r="K124" s="28">
        <f t="shared" si="27"/>
        <v>0</v>
      </c>
      <c r="L124" s="18">
        <f t="shared" si="28"/>
        <v>0</v>
      </c>
      <c r="M124" s="22">
        <f t="shared" si="28"/>
        <v>0</v>
      </c>
      <c r="N124" s="71">
        <f t="shared" si="31"/>
        <v>0</v>
      </c>
      <c r="O124" s="77"/>
    </row>
    <row r="125" spans="1:18" ht="22.2" customHeight="1">
      <c r="A125" s="76">
        <v>6</v>
      </c>
      <c r="B125" s="31" t="s">
        <v>117</v>
      </c>
      <c r="C125" s="35">
        <v>100493.6</v>
      </c>
      <c r="D125" s="35">
        <v>100493.6</v>
      </c>
      <c r="E125" s="17">
        <f t="shared" si="29"/>
        <v>0</v>
      </c>
      <c r="F125" s="33">
        <v>0</v>
      </c>
      <c r="G125" s="10">
        <f t="shared" si="30"/>
        <v>0</v>
      </c>
      <c r="H125" s="35">
        <v>100493.6</v>
      </c>
      <c r="I125" s="19">
        <f t="shared" si="32"/>
        <v>0</v>
      </c>
      <c r="J125" s="33">
        <v>0</v>
      </c>
      <c r="K125" s="28">
        <f t="shared" si="27"/>
        <v>0</v>
      </c>
      <c r="L125" s="18">
        <f t="shared" si="28"/>
        <v>0</v>
      </c>
      <c r="M125" s="22">
        <f t="shared" si="28"/>
        <v>0</v>
      </c>
      <c r="N125" s="71">
        <f t="shared" si="31"/>
        <v>0</v>
      </c>
      <c r="O125" s="37"/>
    </row>
    <row r="126" spans="1:18" ht="22.2" customHeight="1">
      <c r="A126" s="76">
        <v>7</v>
      </c>
      <c r="B126" s="31" t="s">
        <v>118</v>
      </c>
      <c r="C126" s="35">
        <v>152067.5</v>
      </c>
      <c r="D126" s="35">
        <v>152158.6</v>
      </c>
      <c r="E126" s="17">
        <f t="shared" si="29"/>
        <v>91.100000000005821</v>
      </c>
      <c r="F126" s="33">
        <v>136</v>
      </c>
      <c r="G126" s="10">
        <f t="shared" si="30"/>
        <v>1.492864983534482</v>
      </c>
      <c r="H126" s="35">
        <v>152158.6</v>
      </c>
      <c r="I126" s="19">
        <f t="shared" si="32"/>
        <v>0</v>
      </c>
      <c r="J126" s="33">
        <v>0</v>
      </c>
      <c r="K126" s="28">
        <f t="shared" si="27"/>
        <v>0</v>
      </c>
      <c r="L126" s="18">
        <f t="shared" si="28"/>
        <v>91.100000000005821</v>
      </c>
      <c r="M126" s="22">
        <f>F126+J126</f>
        <v>136</v>
      </c>
      <c r="N126" s="71">
        <f t="shared" si="31"/>
        <v>0.66985294117651339</v>
      </c>
      <c r="O126" s="37"/>
    </row>
    <row r="127" spans="1:18" ht="22.2" customHeight="1">
      <c r="A127" s="76">
        <v>8</v>
      </c>
      <c r="B127" s="138" t="s">
        <v>119</v>
      </c>
      <c r="C127" s="136">
        <v>40650.800000000003</v>
      </c>
      <c r="D127" s="136">
        <v>40650.800000000003</v>
      </c>
      <c r="E127" s="17">
        <f t="shared" si="29"/>
        <v>0</v>
      </c>
      <c r="F127" s="33">
        <v>0</v>
      </c>
      <c r="G127" s="10">
        <f t="shared" si="30"/>
        <v>0</v>
      </c>
      <c r="H127" s="136">
        <v>40650.800000000003</v>
      </c>
      <c r="I127" s="19">
        <f t="shared" si="32"/>
        <v>0</v>
      </c>
      <c r="J127" s="33">
        <v>0</v>
      </c>
      <c r="K127" s="28">
        <f t="shared" si="27"/>
        <v>0</v>
      </c>
      <c r="L127" s="18">
        <f t="shared" si="28"/>
        <v>0</v>
      </c>
      <c r="M127" s="22">
        <f>F127+J127</f>
        <v>0</v>
      </c>
      <c r="N127" s="71">
        <f t="shared" si="31"/>
        <v>0</v>
      </c>
      <c r="O127" s="37"/>
    </row>
    <row r="128" spans="1:18" ht="22.2" customHeight="1">
      <c r="A128" s="76">
        <v>9</v>
      </c>
      <c r="B128" s="138" t="s">
        <v>120</v>
      </c>
      <c r="C128" s="35">
        <v>33807</v>
      </c>
      <c r="D128" s="35">
        <v>33807</v>
      </c>
      <c r="E128" s="17">
        <f t="shared" si="29"/>
        <v>0</v>
      </c>
      <c r="F128" s="33">
        <v>0</v>
      </c>
      <c r="G128" s="10">
        <f t="shared" si="30"/>
        <v>0</v>
      </c>
      <c r="H128" s="35">
        <v>33807</v>
      </c>
      <c r="I128" s="19">
        <f t="shared" si="32"/>
        <v>0</v>
      </c>
      <c r="J128" s="33">
        <v>0</v>
      </c>
      <c r="K128" s="28">
        <f t="shared" si="27"/>
        <v>0</v>
      </c>
      <c r="L128" s="18">
        <f t="shared" si="28"/>
        <v>0</v>
      </c>
      <c r="M128" s="22">
        <f t="shared" si="28"/>
        <v>0</v>
      </c>
      <c r="N128" s="71">
        <f t="shared" si="31"/>
        <v>0</v>
      </c>
      <c r="O128" s="37"/>
    </row>
    <row r="129" spans="1:17" ht="22.2" customHeight="1">
      <c r="A129" s="76">
        <v>10</v>
      </c>
      <c r="B129" s="31" t="s">
        <v>121</v>
      </c>
      <c r="C129" s="35">
        <v>154787</v>
      </c>
      <c r="D129" s="35">
        <v>155077</v>
      </c>
      <c r="E129" s="17">
        <f t="shared" si="29"/>
        <v>290</v>
      </c>
      <c r="F129" s="33">
        <v>33</v>
      </c>
      <c r="G129" s="10">
        <f t="shared" si="30"/>
        <v>0.11379310344827587</v>
      </c>
      <c r="H129" s="35">
        <v>155077</v>
      </c>
      <c r="I129" s="19">
        <f t="shared" si="32"/>
        <v>0</v>
      </c>
      <c r="J129" s="33">
        <v>0</v>
      </c>
      <c r="K129" s="28">
        <f t="shared" si="27"/>
        <v>0</v>
      </c>
      <c r="L129" s="18">
        <f t="shared" si="28"/>
        <v>290</v>
      </c>
      <c r="M129" s="22">
        <f t="shared" si="28"/>
        <v>33</v>
      </c>
      <c r="N129" s="71">
        <f t="shared" si="31"/>
        <v>8.7878787878787872</v>
      </c>
      <c r="O129" s="137"/>
    </row>
    <row r="130" spans="1:17" ht="23.4" customHeight="1">
      <c r="A130" s="76">
        <v>11</v>
      </c>
      <c r="B130" s="138" t="s">
        <v>122</v>
      </c>
      <c r="C130" s="35">
        <v>36866</v>
      </c>
      <c r="D130" s="35">
        <v>36866</v>
      </c>
      <c r="E130" s="17">
        <f t="shared" si="29"/>
        <v>0</v>
      </c>
      <c r="F130" s="33">
        <v>0</v>
      </c>
      <c r="G130" s="10">
        <f t="shared" si="30"/>
        <v>0</v>
      </c>
      <c r="H130" s="35">
        <v>36866</v>
      </c>
      <c r="I130" s="19">
        <f t="shared" si="32"/>
        <v>0</v>
      </c>
      <c r="J130" s="33">
        <v>0</v>
      </c>
      <c r="K130" s="28">
        <f t="shared" si="27"/>
        <v>0</v>
      </c>
      <c r="L130" s="18">
        <f t="shared" si="28"/>
        <v>0</v>
      </c>
      <c r="M130" s="22">
        <f t="shared" si="28"/>
        <v>0</v>
      </c>
      <c r="N130" s="71">
        <f t="shared" si="31"/>
        <v>0</v>
      </c>
      <c r="O130" s="37"/>
      <c r="Q130" s="38"/>
    </row>
    <row r="131" spans="1:17" ht="22.2" customHeight="1">
      <c r="A131" s="76">
        <v>12</v>
      </c>
      <c r="B131" s="138" t="s">
        <v>123</v>
      </c>
      <c r="C131" s="35">
        <v>15919</v>
      </c>
      <c r="D131" s="35">
        <v>15919</v>
      </c>
      <c r="E131" s="17">
        <f t="shared" si="29"/>
        <v>0</v>
      </c>
      <c r="F131" s="33">
        <v>0</v>
      </c>
      <c r="G131" s="78">
        <f t="shared" si="30"/>
        <v>0</v>
      </c>
      <c r="H131" s="35">
        <v>16149</v>
      </c>
      <c r="I131" s="19">
        <f t="shared" si="32"/>
        <v>230</v>
      </c>
      <c r="J131" s="33">
        <v>47</v>
      </c>
      <c r="K131" s="28">
        <f t="shared" si="27"/>
        <v>0.20434782608695654</v>
      </c>
      <c r="L131" s="18">
        <f t="shared" si="28"/>
        <v>230</v>
      </c>
      <c r="M131" s="79">
        <f t="shared" si="28"/>
        <v>47</v>
      </c>
      <c r="N131" s="71">
        <f t="shared" si="31"/>
        <v>4.8936170212765955</v>
      </c>
      <c r="O131" s="37"/>
      <c r="Q131" s="45"/>
    </row>
    <row r="132" spans="1:17" ht="21.6" customHeight="1">
      <c r="A132" s="76">
        <v>13</v>
      </c>
      <c r="B132" s="171" t="s">
        <v>124</v>
      </c>
      <c r="C132" s="35">
        <v>890.2</v>
      </c>
      <c r="D132" s="35">
        <v>890.2</v>
      </c>
      <c r="E132" s="17">
        <f t="shared" si="29"/>
        <v>0</v>
      </c>
      <c r="F132" s="35">
        <v>0</v>
      </c>
      <c r="G132" s="78">
        <f t="shared" si="30"/>
        <v>0</v>
      </c>
      <c r="H132" s="35">
        <v>890.2</v>
      </c>
      <c r="I132" s="19">
        <f t="shared" si="32"/>
        <v>0</v>
      </c>
      <c r="J132" s="35">
        <v>0</v>
      </c>
      <c r="K132" s="28">
        <f t="shared" si="27"/>
        <v>0</v>
      </c>
      <c r="L132" s="18">
        <f t="shared" si="28"/>
        <v>0</v>
      </c>
      <c r="M132" s="79">
        <f t="shared" si="28"/>
        <v>0</v>
      </c>
      <c r="N132" s="71">
        <f t="shared" si="31"/>
        <v>0</v>
      </c>
      <c r="O132" s="37"/>
      <c r="Q132" s="45"/>
    </row>
    <row r="133" spans="1:17" ht="21.6" customHeight="1">
      <c r="A133" s="76">
        <v>14</v>
      </c>
      <c r="B133" s="171" t="s">
        <v>174</v>
      </c>
      <c r="C133" s="35">
        <v>2401</v>
      </c>
      <c r="D133" s="35">
        <v>2791</v>
      </c>
      <c r="E133" s="17">
        <f t="shared" si="29"/>
        <v>390</v>
      </c>
      <c r="F133" s="35">
        <v>45</v>
      </c>
      <c r="G133" s="78">
        <f t="shared" si="30"/>
        <v>0.11538461538461539</v>
      </c>
      <c r="H133" s="35">
        <v>2791</v>
      </c>
      <c r="I133" s="19">
        <f t="shared" si="32"/>
        <v>0</v>
      </c>
      <c r="J133" s="141">
        <v>0</v>
      </c>
      <c r="K133" s="28">
        <f t="shared" si="27"/>
        <v>0</v>
      </c>
      <c r="L133" s="18">
        <f t="shared" si="28"/>
        <v>390</v>
      </c>
      <c r="M133" s="79">
        <f t="shared" si="28"/>
        <v>45</v>
      </c>
      <c r="N133" s="71">
        <f t="shared" si="31"/>
        <v>8.6666666666666661</v>
      </c>
      <c r="O133" s="37"/>
      <c r="Q133" s="45"/>
    </row>
    <row r="134" spans="1:17" ht="25.2" customHeight="1">
      <c r="A134" s="76">
        <v>15</v>
      </c>
      <c r="B134" s="138" t="s">
        <v>127</v>
      </c>
      <c r="C134" s="35">
        <v>0</v>
      </c>
      <c r="D134" s="35">
        <v>0</v>
      </c>
      <c r="E134" s="17">
        <f t="shared" si="29"/>
        <v>0</v>
      </c>
      <c r="F134" s="33">
        <v>0</v>
      </c>
      <c r="G134" s="78">
        <f t="shared" si="30"/>
        <v>0</v>
      </c>
      <c r="H134" s="35">
        <v>0</v>
      </c>
      <c r="I134" s="19">
        <f t="shared" si="32"/>
        <v>0</v>
      </c>
      <c r="J134" s="33">
        <v>0</v>
      </c>
      <c r="K134" s="28">
        <f t="shared" si="27"/>
        <v>0</v>
      </c>
      <c r="L134" s="18">
        <f t="shared" si="28"/>
        <v>0</v>
      </c>
      <c r="M134" s="79">
        <f t="shared" si="28"/>
        <v>0</v>
      </c>
      <c r="N134" s="71">
        <f t="shared" si="31"/>
        <v>0</v>
      </c>
      <c r="O134" s="77"/>
      <c r="Q134" s="45"/>
    </row>
    <row r="135" spans="1:17" ht="18">
      <c r="A135" s="196" t="s">
        <v>28</v>
      </c>
      <c r="B135" s="197"/>
      <c r="C135" s="123"/>
      <c r="D135" s="123"/>
      <c r="E135" s="40">
        <f>SUM(E120:E134)</f>
        <v>771.10000000000582</v>
      </c>
      <c r="F135" s="40">
        <f>SUM(F120:F134)</f>
        <v>214</v>
      </c>
      <c r="G135" s="39"/>
      <c r="H135" s="39"/>
      <c r="I135" s="40">
        <f>SUM(I120:I134)</f>
        <v>576</v>
      </c>
      <c r="J135" s="40">
        <f>SUM(J120:J134)</f>
        <v>85</v>
      </c>
      <c r="K135" s="145"/>
      <c r="L135" s="146">
        <f>SUM(L120:L134)</f>
        <v>1347.1000000000058</v>
      </c>
      <c r="M135" s="147">
        <f>SUM(M120:M134)</f>
        <v>299</v>
      </c>
      <c r="N135" s="34"/>
      <c r="O135" s="37"/>
      <c r="P135" s="72"/>
    </row>
    <row r="136" spans="1:17" ht="21.6" thickBot="1">
      <c r="A136" s="148"/>
      <c r="B136" s="149"/>
      <c r="C136" s="149"/>
      <c r="D136" s="149"/>
      <c r="E136" s="149" t="s">
        <v>139</v>
      </c>
      <c r="F136" s="150">
        <f>F19+F25+F34+F40+F46+G116+F135</f>
        <v>16261.390000000001</v>
      </c>
      <c r="G136" s="149"/>
      <c r="H136" s="149"/>
      <c r="I136" s="151" t="s">
        <v>140</v>
      </c>
      <c r="J136" s="150">
        <f>J19+J25+J34+J40+J46+M116+J135</f>
        <v>13079.73</v>
      </c>
      <c r="K136" s="198" t="s">
        <v>141</v>
      </c>
      <c r="L136" s="198"/>
      <c r="M136" s="198"/>
      <c r="N136" s="198"/>
      <c r="O136" s="152"/>
    </row>
    <row r="137" spans="1:17" ht="15">
      <c r="B137" s="153"/>
      <c r="C137" s="152"/>
      <c r="D137" s="152"/>
      <c r="E137" s="152"/>
      <c r="F137" s="152"/>
      <c r="G137" s="152"/>
      <c r="H137" s="152"/>
      <c r="I137" s="152"/>
      <c r="J137" s="154"/>
      <c r="K137" s="155" t="s">
        <v>142</v>
      </c>
      <c r="L137" s="199">
        <f>N2</f>
        <v>46215</v>
      </c>
      <c r="M137" s="200"/>
      <c r="N137" s="156"/>
      <c r="O137" s="157">
        <f>M135-N143</f>
        <v>163</v>
      </c>
    </row>
    <row r="138" spans="1:17" ht="18">
      <c r="B138" s="158" t="s">
        <v>143</v>
      </c>
      <c r="C138" s="159">
        <f>F136</f>
        <v>16261.390000000001</v>
      </c>
      <c r="D138" s="160"/>
      <c r="E138" s="160"/>
      <c r="F138" s="159"/>
      <c r="G138" s="160"/>
      <c r="H138" s="160"/>
      <c r="I138" s="160"/>
      <c r="J138" s="45"/>
      <c r="K138" s="188" t="s">
        <v>144</v>
      </c>
      <c r="L138" s="189"/>
      <c r="M138" s="190"/>
      <c r="N138" s="161">
        <f>P116</f>
        <v>19698.850000000002</v>
      </c>
      <c r="O138" s="152"/>
    </row>
    <row r="139" spans="1:17" ht="18">
      <c r="B139" s="158" t="s">
        <v>145</v>
      </c>
      <c r="C139" s="159">
        <f>J136</f>
        <v>13079.73</v>
      </c>
      <c r="D139" s="160"/>
      <c r="E139" s="160"/>
      <c r="F139" s="159"/>
      <c r="G139" s="159"/>
      <c r="H139" s="160"/>
      <c r="I139" s="160"/>
      <c r="J139" s="45"/>
      <c r="K139" s="188" t="s">
        <v>146</v>
      </c>
      <c r="L139" s="189"/>
      <c r="M139" s="190"/>
      <c r="N139" s="161">
        <f>M19</f>
        <v>6625.97</v>
      </c>
      <c r="O139" s="152"/>
    </row>
    <row r="140" spans="1:17" ht="18">
      <c r="B140" s="158" t="s">
        <v>28</v>
      </c>
      <c r="C140" s="159">
        <f>C138+C139</f>
        <v>29341.120000000003</v>
      </c>
      <c r="D140" s="160"/>
      <c r="E140" s="160"/>
      <c r="F140" s="160"/>
      <c r="G140" s="159"/>
      <c r="H140" s="160"/>
      <c r="I140" s="160"/>
      <c r="K140" s="188" t="s">
        <v>147</v>
      </c>
      <c r="L140" s="189"/>
      <c r="M140" s="190"/>
      <c r="N140" s="161">
        <f>M34</f>
        <v>1707.15</v>
      </c>
    </row>
    <row r="141" spans="1:17" ht="18">
      <c r="C141" s="45"/>
      <c r="D141" s="45"/>
      <c r="E141" s="45"/>
      <c r="F141" s="45"/>
      <c r="G141" s="45"/>
      <c r="H141" s="160" t="s">
        <v>94</v>
      </c>
      <c r="I141" s="45"/>
      <c r="K141" s="188" t="s">
        <v>148</v>
      </c>
      <c r="L141" s="189"/>
      <c r="M141" s="190"/>
      <c r="N141" s="161">
        <f>M40</f>
        <v>498.55</v>
      </c>
    </row>
    <row r="142" spans="1:17" ht="25.2" customHeight="1">
      <c r="B142" s="162" t="s">
        <v>149</v>
      </c>
      <c r="C142" s="193"/>
      <c r="D142" s="193"/>
      <c r="E142" s="193"/>
      <c r="F142" s="193"/>
      <c r="G142" s="193"/>
      <c r="H142" s="193"/>
      <c r="I142" s="193"/>
      <c r="J142" s="193"/>
      <c r="K142" s="188" t="s">
        <v>150</v>
      </c>
      <c r="L142" s="189"/>
      <c r="M142" s="190"/>
      <c r="N142" s="161">
        <f>M46</f>
        <v>0</v>
      </c>
    </row>
    <row r="143" spans="1:17" ht="18">
      <c r="C143" s="45"/>
      <c r="D143" s="45"/>
      <c r="E143" s="26"/>
      <c r="F143" s="26"/>
      <c r="G143" s="45"/>
      <c r="H143" s="160"/>
      <c r="I143" s="45"/>
      <c r="K143" s="188" t="s">
        <v>151</v>
      </c>
      <c r="L143" s="189"/>
      <c r="M143" s="190"/>
      <c r="N143" s="161">
        <f>M124+M125+M126+M127</f>
        <v>136</v>
      </c>
    </row>
    <row r="144" spans="1:17" ht="18">
      <c r="E144" s="38"/>
      <c r="F144" s="45"/>
      <c r="G144" s="45"/>
      <c r="H144" s="160"/>
      <c r="I144" s="45"/>
      <c r="K144" s="188" t="s">
        <v>152</v>
      </c>
      <c r="L144" s="189"/>
      <c r="M144" s="190"/>
      <c r="N144" s="161">
        <f>O137</f>
        <v>163</v>
      </c>
    </row>
    <row r="145" spans="1:16" ht="18.600000000000001" thickBot="1">
      <c r="C145" s="38"/>
      <c r="D145" s="38"/>
      <c r="G145" s="163"/>
      <c r="H145" s="160"/>
      <c r="K145" s="188" t="s">
        <v>153</v>
      </c>
      <c r="L145" s="189"/>
      <c r="M145" s="190"/>
      <c r="N145" s="164">
        <f>M25</f>
        <v>511.59999999999997</v>
      </c>
      <c r="P145" s="38"/>
    </row>
    <row r="146" spans="1:16" ht="16.8" thickBot="1">
      <c r="C146" s="38"/>
      <c r="D146" s="38"/>
      <c r="E146" s="38"/>
      <c r="F146" s="38"/>
      <c r="H146" s="38"/>
      <c r="K146" s="191" t="s">
        <v>154</v>
      </c>
      <c r="L146" s="192"/>
      <c r="M146" s="192"/>
      <c r="N146" s="165">
        <f>SUM(N138:N145)</f>
        <v>29341.120000000003</v>
      </c>
    </row>
    <row r="147" spans="1:16">
      <c r="C147" s="38"/>
      <c r="D147" s="38"/>
      <c r="E147" s="159"/>
      <c r="F147" s="159"/>
      <c r="H147" s="38"/>
      <c r="I147" s="38"/>
    </row>
    <row r="148" spans="1:16">
      <c r="C148" s="38"/>
      <c r="D148" s="38"/>
      <c r="E148" s="38"/>
      <c r="F148" s="38"/>
      <c r="H148" s="160"/>
    </row>
    <row r="149" spans="1:16">
      <c r="A149" s="159"/>
      <c r="B149" s="159"/>
      <c r="C149" s="159"/>
      <c r="D149" s="159"/>
      <c r="E149" s="159"/>
      <c r="F149" s="159"/>
      <c r="G149" s="38"/>
      <c r="H149" s="38"/>
      <c r="N149" s="45"/>
    </row>
    <row r="150" spans="1:16">
      <c r="A150" s="159"/>
    </row>
  </sheetData>
  <mergeCells count="72">
    <mergeCell ref="K145:M145"/>
    <mergeCell ref="K146:M146"/>
    <mergeCell ref="K140:M140"/>
    <mergeCell ref="K141:M141"/>
    <mergeCell ref="C142:J142"/>
    <mergeCell ref="K142:M142"/>
    <mergeCell ref="K143:M143"/>
    <mergeCell ref="K144:M144"/>
    <mergeCell ref="K139:M139"/>
    <mergeCell ref="O48:O49"/>
    <mergeCell ref="P48:P49"/>
    <mergeCell ref="Q48:Q49"/>
    <mergeCell ref="R48:R49"/>
    <mergeCell ref="A117:L117"/>
    <mergeCell ref="A118:A119"/>
    <mergeCell ref="B118:B119"/>
    <mergeCell ref="C118:G118"/>
    <mergeCell ref="H118:K118"/>
    <mergeCell ref="M118:M119"/>
    <mergeCell ref="N118:N119"/>
    <mergeCell ref="A135:B135"/>
    <mergeCell ref="K136:N136"/>
    <mergeCell ref="L137:M137"/>
    <mergeCell ref="K138:M138"/>
    <mergeCell ref="M42:M43"/>
    <mergeCell ref="N42:N43"/>
    <mergeCell ref="A46:B46"/>
    <mergeCell ref="A47:L47"/>
    <mergeCell ref="A48:A49"/>
    <mergeCell ref="B48:B49"/>
    <mergeCell ref="C48:H48"/>
    <mergeCell ref="I48:N48"/>
    <mergeCell ref="A40:B40"/>
    <mergeCell ref="A41:L41"/>
    <mergeCell ref="A42:A43"/>
    <mergeCell ref="B42:B43"/>
    <mergeCell ref="C42:G42"/>
    <mergeCell ref="H42:K42"/>
    <mergeCell ref="M27:M28"/>
    <mergeCell ref="N27:N28"/>
    <mergeCell ref="A34:B34"/>
    <mergeCell ref="A35:L35"/>
    <mergeCell ref="A36:A37"/>
    <mergeCell ref="B36:B37"/>
    <mergeCell ref="C36:G36"/>
    <mergeCell ref="H36:K36"/>
    <mergeCell ref="M36:M37"/>
    <mergeCell ref="N36:N37"/>
    <mergeCell ref="A25:B25"/>
    <mergeCell ref="A26:L26"/>
    <mergeCell ref="A27:A28"/>
    <mergeCell ref="B27:B28"/>
    <mergeCell ref="C27:G27"/>
    <mergeCell ref="H27:K27"/>
    <mergeCell ref="O3:O4"/>
    <mergeCell ref="P3:P4"/>
    <mergeCell ref="A19:B19"/>
    <mergeCell ref="A20:L20"/>
    <mergeCell ref="A21:A22"/>
    <mergeCell ref="B21:B22"/>
    <mergeCell ref="C21:G21"/>
    <mergeCell ref="H21:K21"/>
    <mergeCell ref="M21:M22"/>
    <mergeCell ref="N21:N22"/>
    <mergeCell ref="A1:N1"/>
    <mergeCell ref="A2:L2"/>
    <mergeCell ref="A3:A4"/>
    <mergeCell ref="B3:B4"/>
    <mergeCell ref="C3:G3"/>
    <mergeCell ref="H3:L3"/>
    <mergeCell ref="M3:M4"/>
    <mergeCell ref="N3:N4"/>
  </mergeCells>
  <conditionalFormatting sqref="N7:N20 N23:N24 N29:N33 N38:N39 N44:N45">
    <cfRule type="cellIs" dxfId="29" priority="2" operator="greaterThan">
      <formula>40</formula>
    </cfRule>
  </conditionalFormatting>
  <conditionalFormatting sqref="Q50:Q116">
    <cfRule type="cellIs" dxfId="28" priority="1" operator="lessThan">
      <formula>0.5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DA33D-8AE1-42F8-8852-C2B9BD99D71C}">
  <dimension ref="A1:AA154"/>
  <sheetViews>
    <sheetView zoomScale="74" zoomScaleNormal="74" workbookViewId="0">
      <pane ySplit="1" topLeftCell="A2" activePane="bottomLeft" state="frozen"/>
      <selection pane="bottomLeft" activeCell="Q13" sqref="Q13"/>
    </sheetView>
  </sheetViews>
  <sheetFormatPr defaultColWidth="9" defaultRowHeight="14.4"/>
  <cols>
    <col min="1" max="1" width="8.5546875" customWidth="1"/>
    <col min="2" max="2" width="29.44140625" bestFit="1" customWidth="1"/>
    <col min="3" max="3" width="11.6640625" customWidth="1"/>
    <col min="4" max="4" width="11.21875" customWidth="1"/>
    <col min="5" max="5" width="9.77734375" customWidth="1"/>
    <col min="6" max="6" width="13.6640625" customWidth="1"/>
    <col min="7" max="7" width="10" customWidth="1"/>
    <col min="8" max="8" width="9.77734375" customWidth="1"/>
    <col min="9" max="9" width="12.77734375" bestFit="1" customWidth="1"/>
    <col min="10" max="10" width="10.6640625" bestFit="1" customWidth="1"/>
    <col min="11" max="11" width="15.77734375" customWidth="1"/>
    <col min="12" max="12" width="10.77734375" customWidth="1"/>
    <col min="13" max="13" width="12.5546875" customWidth="1"/>
    <col min="14" max="14" width="17.88671875" customWidth="1"/>
    <col min="15" max="15" width="13.44140625" customWidth="1"/>
    <col min="16" max="16" width="17" customWidth="1"/>
    <col min="17" max="17" width="11.109375" bestFit="1" customWidth="1"/>
    <col min="19" max="19" width="9.21875" bestFit="1" customWidth="1"/>
    <col min="20" max="20" width="8.21875" bestFit="1" customWidth="1"/>
    <col min="21" max="22" width="11.21875" customWidth="1"/>
  </cols>
  <sheetData>
    <row r="1" spans="1:22" ht="18.600000000000001" thickBot="1">
      <c r="A1" s="249" t="s">
        <v>0</v>
      </c>
      <c r="B1" s="249"/>
      <c r="C1" s="249"/>
      <c r="D1" s="249"/>
      <c r="E1" s="249"/>
      <c r="F1" s="249"/>
      <c r="G1" s="249"/>
      <c r="H1" s="249"/>
      <c r="I1" s="249"/>
      <c r="J1" s="249"/>
      <c r="K1" s="249"/>
      <c r="L1" s="249"/>
      <c r="M1" s="249"/>
      <c r="N1" s="249"/>
      <c r="O1" s="1"/>
      <c r="V1" s="2"/>
    </row>
    <row r="2" spans="1:22" ht="19.8" customHeight="1" thickBot="1">
      <c r="A2" s="250" t="s">
        <v>1</v>
      </c>
      <c r="B2" s="251"/>
      <c r="C2" s="252"/>
      <c r="D2" s="252"/>
      <c r="E2" s="252"/>
      <c r="F2" s="252"/>
      <c r="G2" s="252"/>
      <c r="H2" s="252"/>
      <c r="I2" s="252"/>
      <c r="J2" s="252"/>
      <c r="K2" s="252"/>
      <c r="L2" s="251"/>
      <c r="M2" s="3" t="s">
        <v>2</v>
      </c>
      <c r="N2" s="4">
        <v>46216</v>
      </c>
      <c r="O2" s="1"/>
    </row>
    <row r="3" spans="1:22" ht="18" customHeight="1">
      <c r="A3" s="209" t="s">
        <v>3</v>
      </c>
      <c r="B3" s="211" t="s">
        <v>4</v>
      </c>
      <c r="C3" s="213" t="s">
        <v>5</v>
      </c>
      <c r="D3" s="214"/>
      <c r="E3" s="214"/>
      <c r="F3" s="214"/>
      <c r="G3" s="215"/>
      <c r="H3" s="253" t="s">
        <v>6</v>
      </c>
      <c r="I3" s="254"/>
      <c r="J3" s="254"/>
      <c r="K3" s="254"/>
      <c r="L3" s="255"/>
      <c r="M3" s="219" t="s">
        <v>7</v>
      </c>
      <c r="N3" s="194" t="s">
        <v>8</v>
      </c>
      <c r="O3" s="243" t="s">
        <v>9</v>
      </c>
      <c r="P3" s="222" t="s">
        <v>10</v>
      </c>
    </row>
    <row r="4" spans="1:22" ht="22.8" customHeight="1">
      <c r="A4" s="247"/>
      <c r="B4" s="248"/>
      <c r="C4" s="6" t="s">
        <v>11</v>
      </c>
      <c r="D4" s="6" t="s">
        <v>12</v>
      </c>
      <c r="E4" s="6" t="s">
        <v>13</v>
      </c>
      <c r="F4" s="6" t="s">
        <v>14</v>
      </c>
      <c r="G4" s="6" t="s">
        <v>8</v>
      </c>
      <c r="H4" s="6" t="s">
        <v>12</v>
      </c>
      <c r="I4" s="6" t="s">
        <v>13</v>
      </c>
      <c r="J4" s="6" t="s">
        <v>14</v>
      </c>
      <c r="K4" s="7" t="s">
        <v>8</v>
      </c>
      <c r="L4" s="8" t="s">
        <v>15</v>
      </c>
      <c r="M4" s="236"/>
      <c r="N4" s="237"/>
      <c r="O4" s="248"/>
      <c r="P4" s="243"/>
    </row>
    <row r="5" spans="1:22" ht="22.8" customHeight="1">
      <c r="A5" s="5">
        <v>1</v>
      </c>
      <c r="B5" s="9" t="s">
        <v>175</v>
      </c>
      <c r="C5" s="2">
        <v>32003.5</v>
      </c>
      <c r="D5" s="2">
        <v>32003.5</v>
      </c>
      <c r="E5" s="2">
        <f>D5-C5</f>
        <v>0</v>
      </c>
      <c r="F5" s="2">
        <v>0</v>
      </c>
      <c r="G5" s="10">
        <f>IFERROR(F5/E5,0)</f>
        <v>0</v>
      </c>
      <c r="H5" s="2">
        <v>32011.599999999999</v>
      </c>
      <c r="I5" s="167">
        <f>H5-D5</f>
        <v>8.0999999999985448</v>
      </c>
      <c r="J5" s="2">
        <v>214.59</v>
      </c>
      <c r="K5" s="11">
        <f>IFERROR(J5/I5,0)</f>
        <v>26.492592592597351</v>
      </c>
      <c r="L5" s="12">
        <f>E5+I5</f>
        <v>8.0999999999985448</v>
      </c>
      <c r="M5" s="13">
        <f>F5+J5</f>
        <v>214.59</v>
      </c>
      <c r="N5" s="14">
        <f>IFERROR(M5/L5,0)</f>
        <v>26.492592592597351</v>
      </c>
      <c r="O5" s="2">
        <v>139</v>
      </c>
      <c r="P5" s="5"/>
    </row>
    <row r="6" spans="1:22" ht="22.8" customHeight="1">
      <c r="A6" s="81">
        <v>2</v>
      </c>
      <c r="B6" s="16" t="s">
        <v>170</v>
      </c>
      <c r="C6" s="49">
        <v>33823.5</v>
      </c>
      <c r="D6" s="49">
        <v>33834.800000000003</v>
      </c>
      <c r="E6" s="2">
        <f>D6-C6</f>
        <v>11.30000000000291</v>
      </c>
      <c r="F6" s="49">
        <v>355</v>
      </c>
      <c r="G6" s="10">
        <f>IFERROR(F6/E6,0)</f>
        <v>31.415929203531732</v>
      </c>
      <c r="H6" s="49">
        <v>33843.5</v>
      </c>
      <c r="I6" s="167">
        <f>H6-D6</f>
        <v>8.6999999999970896</v>
      </c>
      <c r="J6" s="49">
        <v>266.54000000000002</v>
      </c>
      <c r="K6" s="11">
        <f>IFERROR(J6/I6,0)</f>
        <v>30.636781609205652</v>
      </c>
      <c r="L6" s="169">
        <v>0</v>
      </c>
      <c r="M6" s="13">
        <f>F6+J6</f>
        <v>621.54</v>
      </c>
      <c r="N6" s="14">
        <f>IFERROR(M6/L6,0)</f>
        <v>0</v>
      </c>
      <c r="O6" s="49">
        <v>211</v>
      </c>
      <c r="P6" s="81"/>
    </row>
    <row r="7" spans="1:22" ht="24" customHeight="1">
      <c r="A7" s="5">
        <v>3</v>
      </c>
      <c r="B7" s="16" t="s">
        <v>17</v>
      </c>
      <c r="C7" s="17">
        <v>32493.3</v>
      </c>
      <c r="D7" s="17">
        <v>32493.3</v>
      </c>
      <c r="E7" s="17">
        <f t="shared" ref="E7:E18" si="0">D7-C7</f>
        <v>0</v>
      </c>
      <c r="F7" s="18">
        <v>0</v>
      </c>
      <c r="G7" s="10">
        <f>IFERROR(F7/E7,0)</f>
        <v>0</v>
      </c>
      <c r="H7" s="17">
        <v>32493.3</v>
      </c>
      <c r="I7" s="19">
        <f t="shared" ref="I7:I14" si="1">H7-D7</f>
        <v>0</v>
      </c>
      <c r="J7" s="20">
        <v>0</v>
      </c>
      <c r="K7" s="21">
        <f>IFERROR(J7/I7,0)</f>
        <v>0</v>
      </c>
      <c r="L7" s="18">
        <f>E7+I7</f>
        <v>0</v>
      </c>
      <c r="M7" s="22">
        <f>F7+J7</f>
        <v>0</v>
      </c>
      <c r="N7" s="23">
        <f>IFERROR(M7/L7,0)</f>
        <v>0</v>
      </c>
      <c r="O7" s="24">
        <v>0</v>
      </c>
      <c r="P7" s="25"/>
      <c r="Q7" s="26"/>
    </row>
    <row r="8" spans="1:22" ht="25.8" customHeight="1">
      <c r="A8" s="81">
        <v>4</v>
      </c>
      <c r="B8" s="16" t="s">
        <v>18</v>
      </c>
      <c r="C8" s="17">
        <v>24668.3</v>
      </c>
      <c r="D8" s="17">
        <v>24678.9</v>
      </c>
      <c r="E8" s="17">
        <f t="shared" si="0"/>
        <v>10.600000000002183</v>
      </c>
      <c r="F8" s="18">
        <v>379</v>
      </c>
      <c r="G8" s="10">
        <f t="shared" ref="G8:G13" si="2">IFERROR(F8/E8,0)</f>
        <v>35.754716981124716</v>
      </c>
      <c r="H8" s="17">
        <v>24685.8</v>
      </c>
      <c r="I8" s="19">
        <f t="shared" si="1"/>
        <v>6.8999999999978172</v>
      </c>
      <c r="J8" s="20">
        <v>226.49</v>
      </c>
      <c r="K8" s="28">
        <f t="shared" ref="K8:K14" si="3">IFERROR(J8/I8,0)</f>
        <v>32.824637681169804</v>
      </c>
      <c r="L8" s="18">
        <f t="shared" ref="L8:M17" si="4">E8+I8</f>
        <v>17.5</v>
      </c>
      <c r="M8" s="22">
        <f t="shared" si="4"/>
        <v>605.49</v>
      </c>
      <c r="N8" s="23">
        <f t="shared" ref="N8:N18" si="5">IFERROR(M8/L8,0)</f>
        <v>34.599428571428575</v>
      </c>
      <c r="O8" s="29">
        <v>200</v>
      </c>
      <c r="P8" s="30"/>
      <c r="Q8" s="26"/>
      <c r="S8" s="26"/>
    </row>
    <row r="9" spans="1:22" ht="25.8" customHeight="1">
      <c r="A9" s="5">
        <v>5</v>
      </c>
      <c r="B9" s="31" t="s">
        <v>19</v>
      </c>
      <c r="C9" s="17">
        <v>32577.9</v>
      </c>
      <c r="D9" s="17">
        <v>32584</v>
      </c>
      <c r="E9" s="17">
        <f t="shared" si="0"/>
        <v>6.0999999999985448</v>
      </c>
      <c r="F9" s="32">
        <v>249</v>
      </c>
      <c r="G9" s="10">
        <f t="shared" si="2"/>
        <v>40.819672131157276</v>
      </c>
      <c r="H9" s="17">
        <v>32584</v>
      </c>
      <c r="I9" s="19">
        <f t="shared" si="1"/>
        <v>0</v>
      </c>
      <c r="J9" s="33">
        <v>0</v>
      </c>
      <c r="K9" s="28">
        <f t="shared" si="3"/>
        <v>0</v>
      </c>
      <c r="L9" s="18">
        <f t="shared" si="4"/>
        <v>6.0999999999985448</v>
      </c>
      <c r="M9" s="22">
        <f t="shared" si="4"/>
        <v>249</v>
      </c>
      <c r="N9" s="23">
        <f t="shared" si="5"/>
        <v>40.819672131157276</v>
      </c>
      <c r="O9" s="29">
        <v>108</v>
      </c>
      <c r="P9" s="30"/>
      <c r="Q9" s="26"/>
      <c r="S9" s="26"/>
    </row>
    <row r="10" spans="1:22" ht="25.8" customHeight="1">
      <c r="A10" s="81">
        <v>6</v>
      </c>
      <c r="B10" s="16" t="s">
        <v>20</v>
      </c>
      <c r="C10" s="17">
        <v>33544.199999999997</v>
      </c>
      <c r="D10" s="17">
        <v>33556.1</v>
      </c>
      <c r="E10" s="17">
        <f>D10-C10</f>
        <v>11.900000000001455</v>
      </c>
      <c r="F10" s="34">
        <v>428</v>
      </c>
      <c r="G10" s="10">
        <f>IFERROR(F10/E10,0)</f>
        <v>35.966386554617451</v>
      </c>
      <c r="H10" s="17">
        <v>33565.599999999999</v>
      </c>
      <c r="I10" s="19">
        <f>H10-D10</f>
        <v>9.5</v>
      </c>
      <c r="J10" s="33">
        <v>327</v>
      </c>
      <c r="K10" s="28">
        <f>IFERROR(J10/I10,0)</f>
        <v>34.421052631578945</v>
      </c>
      <c r="L10" s="18">
        <f>E10+I10</f>
        <v>21.400000000001455</v>
      </c>
      <c r="M10" s="22">
        <f>F10+J10</f>
        <v>755</v>
      </c>
      <c r="N10" s="23">
        <f>IFERROR(M10/L10,0)</f>
        <v>35.280373831773304</v>
      </c>
      <c r="O10" s="29">
        <v>221</v>
      </c>
      <c r="P10" s="30"/>
      <c r="Q10" s="26"/>
      <c r="S10" s="26"/>
    </row>
    <row r="11" spans="1:22" ht="22.8" customHeight="1">
      <c r="A11" s="5">
        <v>7</v>
      </c>
      <c r="B11" s="16" t="s">
        <v>21</v>
      </c>
      <c r="C11" s="17">
        <v>28049.4</v>
      </c>
      <c r="D11" s="17">
        <v>28060.1</v>
      </c>
      <c r="E11" s="17">
        <f t="shared" si="0"/>
        <v>10.69999999999709</v>
      </c>
      <c r="F11" s="32">
        <v>258</v>
      </c>
      <c r="G11" s="10">
        <f t="shared" si="2"/>
        <v>24.112149532716838</v>
      </c>
      <c r="H11" s="17">
        <v>28067.9</v>
      </c>
      <c r="I11" s="19">
        <f t="shared" si="1"/>
        <v>7.8000000000029104</v>
      </c>
      <c r="J11" s="20">
        <v>188.12</v>
      </c>
      <c r="K11" s="28">
        <f t="shared" si="3"/>
        <v>24.117948717939719</v>
      </c>
      <c r="L11" s="18">
        <f t="shared" si="4"/>
        <v>18.5</v>
      </c>
      <c r="M11" s="22">
        <f t="shared" si="4"/>
        <v>446.12</v>
      </c>
      <c r="N11" s="23">
        <f t="shared" si="5"/>
        <v>24.114594594594596</v>
      </c>
      <c r="O11" s="29">
        <v>258</v>
      </c>
      <c r="P11" s="30"/>
      <c r="Q11" s="26"/>
      <c r="S11" s="26"/>
    </row>
    <row r="12" spans="1:22" ht="22.8" customHeight="1">
      <c r="A12" s="81">
        <v>8</v>
      </c>
      <c r="B12" s="31" t="s">
        <v>22</v>
      </c>
      <c r="C12" s="35">
        <v>27426.400000000001</v>
      </c>
      <c r="D12" s="35">
        <v>27438.9</v>
      </c>
      <c r="E12" s="17">
        <f t="shared" si="0"/>
        <v>12.5</v>
      </c>
      <c r="F12" s="32">
        <v>334</v>
      </c>
      <c r="G12" s="10">
        <f t="shared" si="2"/>
        <v>26.72</v>
      </c>
      <c r="H12" s="35">
        <v>27448.3</v>
      </c>
      <c r="I12" s="19">
        <f t="shared" si="1"/>
        <v>9.3999999999978172</v>
      </c>
      <c r="J12" s="33">
        <v>255.61</v>
      </c>
      <c r="K12" s="28">
        <f t="shared" si="3"/>
        <v>27.192553191495676</v>
      </c>
      <c r="L12" s="18">
        <f t="shared" si="4"/>
        <v>21.899999999997817</v>
      </c>
      <c r="M12" s="22">
        <f t="shared" si="4"/>
        <v>589.61</v>
      </c>
      <c r="N12" s="23">
        <f t="shared" si="5"/>
        <v>26.922831050230993</v>
      </c>
      <c r="O12" s="29">
        <v>287</v>
      </c>
      <c r="P12" s="30"/>
      <c r="Q12" s="26"/>
      <c r="S12" s="26"/>
    </row>
    <row r="13" spans="1:22" ht="24" customHeight="1">
      <c r="A13" s="5">
        <v>9</v>
      </c>
      <c r="B13" s="31" t="s">
        <v>23</v>
      </c>
      <c r="C13" s="17">
        <v>22568.77</v>
      </c>
      <c r="D13" s="17">
        <v>22581.29</v>
      </c>
      <c r="E13" s="17">
        <f t="shared" si="0"/>
        <v>12.520000000000437</v>
      </c>
      <c r="F13" s="34">
        <v>410</v>
      </c>
      <c r="G13" s="10">
        <f t="shared" si="2"/>
        <v>32.747603833864673</v>
      </c>
      <c r="H13" s="17">
        <v>22591.21</v>
      </c>
      <c r="I13" s="19">
        <f t="shared" si="1"/>
        <v>9.9199999999982538</v>
      </c>
      <c r="J13" s="20">
        <v>303.33999999999997</v>
      </c>
      <c r="K13" s="28">
        <f t="shared" si="3"/>
        <v>30.578629032263446</v>
      </c>
      <c r="L13" s="18">
        <f t="shared" si="4"/>
        <v>22.43999999999869</v>
      </c>
      <c r="M13" s="22">
        <f t="shared" si="4"/>
        <v>713.33999999999992</v>
      </c>
      <c r="N13" s="23">
        <f t="shared" si="5"/>
        <v>31.788770053477787</v>
      </c>
      <c r="O13" s="29">
        <v>269</v>
      </c>
      <c r="P13" s="36"/>
      <c r="Q13" s="26"/>
      <c r="S13" s="26"/>
    </row>
    <row r="14" spans="1:22" ht="24" customHeight="1">
      <c r="A14" s="81">
        <v>10</v>
      </c>
      <c r="B14" s="31" t="s">
        <v>24</v>
      </c>
      <c r="C14" s="17">
        <v>22540.81</v>
      </c>
      <c r="D14" s="17">
        <v>22553.11</v>
      </c>
      <c r="E14" s="17">
        <f t="shared" si="0"/>
        <v>12.299999999999272</v>
      </c>
      <c r="F14" s="32">
        <v>414</v>
      </c>
      <c r="G14" s="10">
        <f>IFERROR(F14/E14,0)</f>
        <v>33.658536585367848</v>
      </c>
      <c r="H14" s="17">
        <v>22562.22</v>
      </c>
      <c r="I14" s="19">
        <f t="shared" si="1"/>
        <v>9.1100000000005821</v>
      </c>
      <c r="J14" s="20">
        <v>283.88</v>
      </c>
      <c r="K14" s="28">
        <f t="shared" si="3"/>
        <v>31.161361141600644</v>
      </c>
      <c r="L14" s="18">
        <f t="shared" si="4"/>
        <v>21.409999999999854</v>
      </c>
      <c r="M14" s="22">
        <f t="shared" si="4"/>
        <v>697.88</v>
      </c>
      <c r="N14" s="23">
        <f t="shared" si="5"/>
        <v>32.595983185427592</v>
      </c>
      <c r="O14" s="29">
        <v>240</v>
      </c>
      <c r="P14" s="37"/>
      <c r="Q14" s="26"/>
      <c r="S14" s="26"/>
    </row>
    <row r="15" spans="1:22" ht="24" customHeight="1">
      <c r="A15" s="5">
        <v>11</v>
      </c>
      <c r="B15" s="31" t="s">
        <v>25</v>
      </c>
      <c r="C15" s="17">
        <v>20028.93</v>
      </c>
      <c r="D15" s="17">
        <v>20040.53</v>
      </c>
      <c r="E15" s="17">
        <f t="shared" si="0"/>
        <v>11.599999999998545</v>
      </c>
      <c r="F15" s="32">
        <v>491</v>
      </c>
      <c r="G15" s="10">
        <f>IFERROR(F15/E15,0)</f>
        <v>42.327586206901863</v>
      </c>
      <c r="H15" s="17">
        <v>20048.939999999999</v>
      </c>
      <c r="I15" s="19">
        <f>H15-D15</f>
        <v>8.4099999999998545</v>
      </c>
      <c r="J15" s="20">
        <v>346.07</v>
      </c>
      <c r="K15" s="28">
        <f>IFERROR(J15/I15,0)</f>
        <v>41.149821640904399</v>
      </c>
      <c r="L15" s="18">
        <f>E15+I15</f>
        <v>20.009999999998399</v>
      </c>
      <c r="M15" s="22">
        <f t="shared" si="4"/>
        <v>837.06999999999994</v>
      </c>
      <c r="N15" s="23">
        <f t="shared" si="5"/>
        <v>41.832583708149272</v>
      </c>
      <c r="O15" s="29">
        <v>276</v>
      </c>
      <c r="P15" s="37"/>
      <c r="Q15" s="26"/>
      <c r="S15" s="26"/>
      <c r="T15" s="38"/>
    </row>
    <row r="16" spans="1:22" ht="24" customHeight="1">
      <c r="A16" s="81">
        <v>12</v>
      </c>
      <c r="B16" s="31" t="s">
        <v>181</v>
      </c>
      <c r="C16" s="17">
        <v>10164.73</v>
      </c>
      <c r="D16" s="17">
        <v>10167.91</v>
      </c>
      <c r="E16" s="17">
        <f t="shared" si="0"/>
        <v>3.180000000000291</v>
      </c>
      <c r="F16" s="32">
        <v>103</v>
      </c>
      <c r="G16" s="10">
        <f>IFERROR(F16/E16,0)</f>
        <v>32.389937106915276</v>
      </c>
      <c r="H16" s="17">
        <v>10170.780000000001</v>
      </c>
      <c r="I16" s="19">
        <f>H16-D16</f>
        <v>2.8700000000008004</v>
      </c>
      <c r="J16" s="20">
        <v>81.569999999999993</v>
      </c>
      <c r="K16" s="28">
        <f>IFERROR(J16/I16,0)</f>
        <v>28.421602787448517</v>
      </c>
      <c r="L16" s="18">
        <f>E16+I16</f>
        <v>6.0500000000010914</v>
      </c>
      <c r="M16" s="22">
        <f t="shared" si="4"/>
        <v>184.57</v>
      </c>
      <c r="N16" s="23">
        <f t="shared" si="5"/>
        <v>30.50743801652342</v>
      </c>
      <c r="O16" s="29">
        <v>10</v>
      </c>
      <c r="P16" s="37"/>
      <c r="Q16" s="26"/>
      <c r="S16" s="26"/>
      <c r="T16" s="38"/>
    </row>
    <row r="17" spans="1:20" ht="24" customHeight="1">
      <c r="A17" s="5">
        <v>13</v>
      </c>
      <c r="B17" s="31" t="s">
        <v>27</v>
      </c>
      <c r="C17" s="17">
        <v>18239.400000000001</v>
      </c>
      <c r="D17" s="17">
        <v>18239.400000000001</v>
      </c>
      <c r="E17" s="17">
        <f t="shared" si="0"/>
        <v>0</v>
      </c>
      <c r="F17" s="18">
        <v>0</v>
      </c>
      <c r="G17" s="10">
        <f>IFERROR(F17/E17,0)</f>
        <v>0</v>
      </c>
      <c r="H17" s="17">
        <v>18250.099999999999</v>
      </c>
      <c r="I17" s="19">
        <f t="shared" ref="I17" si="6">H17-D17</f>
        <v>10.69999999999709</v>
      </c>
      <c r="J17" s="20">
        <v>125.01</v>
      </c>
      <c r="K17" s="28">
        <f t="shared" ref="K17" si="7">IFERROR(J17/I17,0)</f>
        <v>11.683177570096635</v>
      </c>
      <c r="L17" s="18">
        <f t="shared" ref="L17" si="8">E17+I17</f>
        <v>10.69999999999709</v>
      </c>
      <c r="M17" s="22">
        <f t="shared" si="4"/>
        <v>125.01</v>
      </c>
      <c r="N17" s="23">
        <f t="shared" si="5"/>
        <v>11.683177570096635</v>
      </c>
      <c r="O17" s="29">
        <v>0</v>
      </c>
      <c r="P17" s="172"/>
      <c r="Q17" s="26"/>
      <c r="S17" s="26"/>
      <c r="T17" s="38"/>
    </row>
    <row r="18" spans="1:20" ht="24" customHeight="1">
      <c r="A18" s="81">
        <v>14</v>
      </c>
      <c r="B18" s="31" t="s">
        <v>26</v>
      </c>
      <c r="C18" s="17">
        <v>15231.7</v>
      </c>
      <c r="D18" s="17">
        <v>15231.7</v>
      </c>
      <c r="E18" s="17">
        <f t="shared" si="0"/>
        <v>0</v>
      </c>
      <c r="F18" s="32">
        <v>0</v>
      </c>
      <c r="G18" s="10">
        <f>IFERROR(F18/E18,0)</f>
        <v>0</v>
      </c>
      <c r="H18" s="17">
        <v>15231.7</v>
      </c>
      <c r="I18" s="19">
        <f>H18-D18</f>
        <v>0</v>
      </c>
      <c r="J18" s="20">
        <v>0</v>
      </c>
      <c r="K18" s="28">
        <f>IFERROR(J18/I18,0)</f>
        <v>0</v>
      </c>
      <c r="L18" s="18">
        <f>E18+I18</f>
        <v>0</v>
      </c>
      <c r="M18" s="22">
        <f>F18+J18</f>
        <v>0</v>
      </c>
      <c r="N18" s="23">
        <f t="shared" si="5"/>
        <v>0</v>
      </c>
      <c r="O18" s="29">
        <v>0</v>
      </c>
      <c r="P18" s="37"/>
      <c r="Q18" s="26"/>
      <c r="S18" s="26"/>
      <c r="T18" s="38"/>
    </row>
    <row r="19" spans="1:20" ht="24" customHeight="1">
      <c r="A19" s="196" t="s">
        <v>28</v>
      </c>
      <c r="B19" s="197"/>
      <c r="C19" s="39"/>
      <c r="D19" s="39"/>
      <c r="E19" s="40">
        <f>SUM(E7:E18)</f>
        <v>91.399999999997817</v>
      </c>
      <c r="F19" s="41">
        <f>SUM(F5:F18)</f>
        <v>3421</v>
      </c>
      <c r="G19" s="39"/>
      <c r="H19" s="39"/>
      <c r="I19" s="40">
        <f>SUM(I7:I18)</f>
        <v>74.609999999995125</v>
      </c>
      <c r="J19" s="41">
        <f>SUM(J5:J18)</f>
        <v>2618.2200000000003</v>
      </c>
      <c r="K19" s="28">
        <f>IFERROR(J19/I19,0)</f>
        <v>35.092078809813316</v>
      </c>
      <c r="L19" s="42">
        <f>SUM(L7:L18)</f>
        <v>166.00999999999294</v>
      </c>
      <c r="M19" s="43">
        <f>SUM(M5:M18)</f>
        <v>6039.2199999999993</v>
      </c>
      <c r="N19" s="23">
        <f>IFERROR(M19/L19,0)</f>
        <v>36.378651888442</v>
      </c>
      <c r="O19" s="44">
        <f>SUM(O5:O18)</f>
        <v>2219</v>
      </c>
      <c r="P19" s="45"/>
      <c r="S19" s="26"/>
    </row>
    <row r="20" spans="1:20" ht="18" customHeight="1" thickBot="1">
      <c r="A20" s="206" t="s">
        <v>29</v>
      </c>
      <c r="B20" s="207"/>
      <c r="C20" s="207"/>
      <c r="D20" s="207"/>
      <c r="E20" s="207"/>
      <c r="F20" s="207"/>
      <c r="G20" s="207"/>
      <c r="H20" s="207"/>
      <c r="I20" s="207"/>
      <c r="J20" s="207"/>
      <c r="K20" s="207"/>
      <c r="L20" s="208"/>
      <c r="M20" s="46"/>
      <c r="N20" s="47"/>
      <c r="O20" s="37"/>
    </row>
    <row r="21" spans="1:20" ht="22.8" customHeight="1">
      <c r="A21" s="209" t="s">
        <v>3</v>
      </c>
      <c r="B21" s="211" t="s">
        <v>4</v>
      </c>
      <c r="C21" s="234" t="s">
        <v>5</v>
      </c>
      <c r="D21" s="234"/>
      <c r="E21" s="234"/>
      <c r="F21" s="234"/>
      <c r="G21" s="234"/>
      <c r="H21" s="235" t="s">
        <v>6</v>
      </c>
      <c r="I21" s="235"/>
      <c r="J21" s="235"/>
      <c r="K21" s="235"/>
      <c r="L21" s="48"/>
      <c r="M21" s="219" t="s">
        <v>7</v>
      </c>
      <c r="N21" s="194" t="s">
        <v>8</v>
      </c>
      <c r="O21" s="37"/>
    </row>
    <row r="22" spans="1:20" s="51" customFormat="1" ht="24" customHeight="1" thickBot="1">
      <c r="A22" s="210"/>
      <c r="B22" s="212"/>
      <c r="C22" s="49" t="s">
        <v>11</v>
      </c>
      <c r="D22" s="49" t="s">
        <v>12</v>
      </c>
      <c r="E22" s="49" t="s">
        <v>13</v>
      </c>
      <c r="F22" s="2" t="s">
        <v>14</v>
      </c>
      <c r="G22" s="2" t="s">
        <v>8</v>
      </c>
      <c r="H22" s="49" t="s">
        <v>12</v>
      </c>
      <c r="I22" s="49" t="s">
        <v>13</v>
      </c>
      <c r="J22" s="49" t="s">
        <v>14</v>
      </c>
      <c r="K22" s="7" t="s">
        <v>8</v>
      </c>
      <c r="L22" s="50" t="s">
        <v>15</v>
      </c>
      <c r="M22" s="220"/>
      <c r="N22" s="195"/>
      <c r="O22" s="37"/>
      <c r="Q22"/>
      <c r="R22"/>
      <c r="S22"/>
      <c r="T22"/>
    </row>
    <row r="23" spans="1:20" s="51" customFormat="1" ht="24" customHeight="1">
      <c r="A23" s="27">
        <v>1</v>
      </c>
      <c r="B23" s="52" t="s">
        <v>30</v>
      </c>
      <c r="C23" s="6">
        <v>18825.900000000001</v>
      </c>
      <c r="D23" s="6">
        <v>18835.5</v>
      </c>
      <c r="E23" s="53">
        <f>D23-C23</f>
        <v>9.5999999999985448</v>
      </c>
      <c r="F23" s="54">
        <v>123</v>
      </c>
      <c r="G23" s="55">
        <f>IFERROR(F23/E23,0)</f>
        <v>12.812500000001942</v>
      </c>
      <c r="H23" s="6">
        <v>18844.5</v>
      </c>
      <c r="I23" s="56">
        <f>H23-D23</f>
        <v>9</v>
      </c>
      <c r="J23" s="54">
        <v>110</v>
      </c>
      <c r="K23" s="57">
        <f>IFERROR(J23/I23,0)</f>
        <v>12.222222222222221</v>
      </c>
      <c r="L23" s="58">
        <f>E23+I23</f>
        <v>18.599999999998545</v>
      </c>
      <c r="M23" s="59">
        <f t="shared" ref="M23:M24" si="9">F23+J23</f>
        <v>233</v>
      </c>
      <c r="N23" s="60">
        <f>IFERROR(M23/L23,0)</f>
        <v>12.526881720431087</v>
      </c>
      <c r="O23" s="61"/>
      <c r="Q23"/>
      <c r="R23"/>
      <c r="S23"/>
      <c r="T23"/>
    </row>
    <row r="24" spans="1:20" ht="24" customHeight="1">
      <c r="A24" s="62">
        <v>2</v>
      </c>
      <c r="B24" s="52" t="s">
        <v>31</v>
      </c>
      <c r="C24" s="63">
        <v>11234.2</v>
      </c>
      <c r="D24" s="63">
        <v>11239.8</v>
      </c>
      <c r="E24" s="53">
        <f>D24-C24</f>
        <v>5.5999999999985448</v>
      </c>
      <c r="F24" s="54">
        <v>85.63</v>
      </c>
      <c r="G24" s="55">
        <f>IFERROR(F24/E24,0)</f>
        <v>15.291071428575401</v>
      </c>
      <c r="H24" s="63">
        <v>11245.9</v>
      </c>
      <c r="I24" s="64">
        <f>H24-D24</f>
        <v>6.1000000000003638</v>
      </c>
      <c r="J24" s="54">
        <v>113</v>
      </c>
      <c r="K24" s="57">
        <f>IFERROR(J24/I24,0)</f>
        <v>18.524590163933322</v>
      </c>
      <c r="L24" s="58">
        <f>E24+I24</f>
        <v>11.699999999998909</v>
      </c>
      <c r="M24" s="59">
        <f t="shared" si="9"/>
        <v>198.63</v>
      </c>
      <c r="N24" s="60">
        <f>IFERROR(M24/L24,0)</f>
        <v>16.97692307692466</v>
      </c>
      <c r="O24" s="65"/>
    </row>
    <row r="25" spans="1:20" ht="24" customHeight="1" thickBot="1">
      <c r="A25" s="238" t="s">
        <v>28</v>
      </c>
      <c r="B25" s="239"/>
      <c r="C25" s="66"/>
      <c r="D25" s="66"/>
      <c r="E25" s="67">
        <f>SUM(E23:E24)</f>
        <v>15.19999999999709</v>
      </c>
      <c r="F25" s="67">
        <f>SUM(F23:F24)</f>
        <v>208.63</v>
      </c>
      <c r="G25" s="68"/>
      <c r="H25" s="68"/>
      <c r="I25" s="67">
        <f>SUM(I23:I24)</f>
        <v>15.100000000000364</v>
      </c>
      <c r="J25" s="67">
        <f>SUM(J23:J24)</f>
        <v>223</v>
      </c>
      <c r="K25" s="69">
        <f>SUM(K23:K24)</f>
        <v>30.746812386155543</v>
      </c>
      <c r="L25" s="70">
        <f>SUM(L23:L24)</f>
        <v>30.299999999997453</v>
      </c>
      <c r="M25" s="43">
        <f>SUM(M23:M24)</f>
        <v>431.63</v>
      </c>
      <c r="N25" s="71"/>
      <c r="O25" s="37"/>
      <c r="P25" s="72"/>
    </row>
    <row r="26" spans="1:20" ht="18" customHeight="1" thickBot="1">
      <c r="A26" s="245" t="s">
        <v>32</v>
      </c>
      <c r="B26" s="246"/>
      <c r="C26" s="226"/>
      <c r="D26" s="226"/>
      <c r="E26" s="226"/>
      <c r="F26" s="226"/>
      <c r="G26" s="226"/>
      <c r="H26" s="226"/>
      <c r="I26" s="226"/>
      <c r="J26" s="226"/>
      <c r="K26" s="226"/>
      <c r="L26" s="246"/>
      <c r="M26" s="46"/>
      <c r="N26" s="47"/>
      <c r="O26" s="37"/>
    </row>
    <row r="27" spans="1:20" ht="22.8" customHeight="1">
      <c r="A27" s="209" t="s">
        <v>3</v>
      </c>
      <c r="B27" s="211" t="s">
        <v>4</v>
      </c>
      <c r="C27" s="234" t="s">
        <v>5</v>
      </c>
      <c r="D27" s="234"/>
      <c r="E27" s="234"/>
      <c r="F27" s="234"/>
      <c r="G27" s="234"/>
      <c r="H27" s="235" t="s">
        <v>6</v>
      </c>
      <c r="I27" s="235"/>
      <c r="J27" s="235"/>
      <c r="K27" s="235"/>
      <c r="L27" s="48"/>
      <c r="M27" s="219" t="s">
        <v>7</v>
      </c>
      <c r="N27" s="194" t="s">
        <v>8</v>
      </c>
      <c r="O27" s="37"/>
      <c r="S27" s="51"/>
    </row>
    <row r="28" spans="1:20" ht="24" customHeight="1">
      <c r="A28" s="247"/>
      <c r="B28" s="248"/>
      <c r="C28" s="6" t="s">
        <v>11</v>
      </c>
      <c r="D28" s="6" t="s">
        <v>12</v>
      </c>
      <c r="E28" s="6" t="s">
        <v>13</v>
      </c>
      <c r="F28" s="6" t="s">
        <v>14</v>
      </c>
      <c r="G28" s="6" t="s">
        <v>8</v>
      </c>
      <c r="H28" s="6" t="s">
        <v>12</v>
      </c>
      <c r="I28" s="6" t="s">
        <v>13</v>
      </c>
      <c r="J28" s="6" t="s">
        <v>14</v>
      </c>
      <c r="K28" s="7" t="s">
        <v>8</v>
      </c>
      <c r="L28" s="73" t="s">
        <v>15</v>
      </c>
      <c r="M28" s="236"/>
      <c r="N28" s="237"/>
      <c r="O28" s="61"/>
      <c r="P28" s="74"/>
      <c r="S28" s="51"/>
      <c r="T28" s="75"/>
    </row>
    <row r="29" spans="1:20" ht="24" customHeight="1">
      <c r="A29" s="76">
        <v>1</v>
      </c>
      <c r="B29" s="31" t="s">
        <v>33</v>
      </c>
      <c r="C29" s="35">
        <v>21605.200000000001</v>
      </c>
      <c r="D29" s="35">
        <v>21618.2</v>
      </c>
      <c r="E29" s="35">
        <f>D29-C29</f>
        <v>13</v>
      </c>
      <c r="F29" s="33">
        <v>72</v>
      </c>
      <c r="G29" s="10">
        <f t="shared" ref="G29:G33" si="10">IFERROR(F29/E29,0)</f>
        <v>5.5384615384615383</v>
      </c>
      <c r="H29" s="35">
        <v>21626.7</v>
      </c>
      <c r="I29" s="56">
        <f>H29-D29</f>
        <v>8.5</v>
      </c>
      <c r="J29" s="33">
        <v>140</v>
      </c>
      <c r="K29" s="28">
        <f t="shared" ref="K29:K33" si="11">IFERROR(J29/I29,0)</f>
        <v>16.470588235294116</v>
      </c>
      <c r="L29" s="84">
        <f t="shared" ref="L29:M33" si="12">E29+I29</f>
        <v>21.5</v>
      </c>
      <c r="M29" s="79">
        <f t="shared" si="12"/>
        <v>212</v>
      </c>
      <c r="N29" s="34">
        <f>IFERROR(M29/L29,0)</f>
        <v>9.8604651162790695</v>
      </c>
      <c r="O29" s="37"/>
    </row>
    <row r="30" spans="1:20" ht="24" customHeight="1">
      <c r="A30" s="76">
        <v>2</v>
      </c>
      <c r="B30" s="31" t="s">
        <v>34</v>
      </c>
      <c r="C30" s="35">
        <v>21096.2</v>
      </c>
      <c r="D30" s="35">
        <v>21107.1</v>
      </c>
      <c r="E30" s="35">
        <f>D30-C30</f>
        <v>10.899999999997817</v>
      </c>
      <c r="F30" s="33">
        <v>192</v>
      </c>
      <c r="G30" s="10">
        <f t="shared" si="10"/>
        <v>17.614678899086098</v>
      </c>
      <c r="H30" s="35">
        <v>21111.200000000001</v>
      </c>
      <c r="I30" s="56">
        <f>H30-D30</f>
        <v>4.1000000000021828</v>
      </c>
      <c r="J30" s="33">
        <v>54.7</v>
      </c>
      <c r="K30" s="28">
        <f>IFERROR(J30/I30,0)</f>
        <v>13.341463414627045</v>
      </c>
      <c r="L30" s="18">
        <f t="shared" si="12"/>
        <v>15</v>
      </c>
      <c r="M30" s="22">
        <f t="shared" si="12"/>
        <v>246.7</v>
      </c>
      <c r="N30" s="23">
        <f>IFERROR(M30/L30,0)</f>
        <v>16.446666666666665</v>
      </c>
      <c r="O30" s="37"/>
    </row>
    <row r="31" spans="1:20" ht="24" customHeight="1">
      <c r="A31" s="76">
        <v>3</v>
      </c>
      <c r="B31" s="31" t="s">
        <v>35</v>
      </c>
      <c r="C31" s="35">
        <v>8933.7999999999993</v>
      </c>
      <c r="D31" s="35">
        <v>8941.4</v>
      </c>
      <c r="E31" s="17">
        <f t="shared" ref="E31:E33" si="13">D31-C31</f>
        <v>7.6000000000003638</v>
      </c>
      <c r="F31" s="33">
        <v>128</v>
      </c>
      <c r="G31" s="10">
        <f t="shared" si="10"/>
        <v>16.842105263157087</v>
      </c>
      <c r="H31" s="35">
        <v>8947.1</v>
      </c>
      <c r="I31" s="19">
        <f>H31-D31</f>
        <v>5.7000000000007276</v>
      </c>
      <c r="J31" s="33">
        <v>103.71</v>
      </c>
      <c r="K31" s="28">
        <f t="shared" si="11"/>
        <v>18.194736842102941</v>
      </c>
      <c r="L31" s="18">
        <f t="shared" si="12"/>
        <v>13.300000000001091</v>
      </c>
      <c r="M31" s="22">
        <f t="shared" si="12"/>
        <v>231.70999999999998</v>
      </c>
      <c r="N31" s="23">
        <f>IFERROR(M31/L31,0)</f>
        <v>17.421804511276765</v>
      </c>
      <c r="O31" s="77"/>
    </row>
    <row r="32" spans="1:20" ht="24.6" customHeight="1">
      <c r="A32" s="76">
        <v>4</v>
      </c>
      <c r="B32" s="31" t="s">
        <v>36</v>
      </c>
      <c r="C32" s="35">
        <v>3395.7</v>
      </c>
      <c r="D32" s="35">
        <v>3406</v>
      </c>
      <c r="E32" s="17">
        <f t="shared" si="13"/>
        <v>10.300000000000182</v>
      </c>
      <c r="F32" s="33">
        <v>273</v>
      </c>
      <c r="G32" s="78">
        <f t="shared" si="10"/>
        <v>26.504854368931571</v>
      </c>
      <c r="H32" s="35">
        <v>3412.8</v>
      </c>
      <c r="I32" s="19">
        <f t="shared" ref="I32:I33" si="14">H32-D32</f>
        <v>6.8000000000001819</v>
      </c>
      <c r="J32" s="33">
        <v>139.25</v>
      </c>
      <c r="K32" s="28">
        <f t="shared" si="11"/>
        <v>20.47794117647004</v>
      </c>
      <c r="L32" s="18">
        <f t="shared" si="12"/>
        <v>17.100000000000364</v>
      </c>
      <c r="M32" s="79">
        <f t="shared" si="12"/>
        <v>412.25</v>
      </c>
      <c r="N32" s="23">
        <f>IFERROR(M32/L32,0)</f>
        <v>24.108187134502412</v>
      </c>
      <c r="O32" s="80"/>
    </row>
    <row r="33" spans="1:19" ht="24.6" customHeight="1">
      <c r="A33" s="76">
        <v>5</v>
      </c>
      <c r="B33" s="31" t="s">
        <v>37</v>
      </c>
      <c r="C33" s="35">
        <v>724.4</v>
      </c>
      <c r="D33" s="35">
        <v>733.8</v>
      </c>
      <c r="E33" s="17">
        <f t="shared" si="13"/>
        <v>9.3999999999999773</v>
      </c>
      <c r="F33" s="33">
        <v>266</v>
      </c>
      <c r="G33" s="78">
        <f t="shared" si="10"/>
        <v>28.297872340425599</v>
      </c>
      <c r="H33" s="35">
        <v>739</v>
      </c>
      <c r="I33" s="19">
        <f t="shared" si="14"/>
        <v>5.2000000000000455</v>
      </c>
      <c r="J33" s="33">
        <v>141.19</v>
      </c>
      <c r="K33" s="28">
        <f t="shared" si="11"/>
        <v>27.151923076922838</v>
      </c>
      <c r="L33" s="18">
        <f t="shared" si="12"/>
        <v>14.600000000000023</v>
      </c>
      <c r="M33" s="79">
        <f t="shared" si="12"/>
        <v>407.19</v>
      </c>
      <c r="N33" s="23">
        <f>IFERROR(M33/L33,0)</f>
        <v>27.889726027397217</v>
      </c>
      <c r="O33" s="80"/>
    </row>
    <row r="34" spans="1:19" ht="22.8" customHeight="1" thickBot="1">
      <c r="A34" s="238" t="s">
        <v>28</v>
      </c>
      <c r="B34" s="239"/>
      <c r="C34" s="66"/>
      <c r="D34" s="66"/>
      <c r="E34" s="67">
        <f>SUM(E29:E33)</f>
        <v>51.19999999999834</v>
      </c>
      <c r="F34" s="67">
        <f>SUM(F29:F33)</f>
        <v>931</v>
      </c>
      <c r="G34" s="68"/>
      <c r="H34" s="68"/>
      <c r="I34" s="67">
        <f>SUM(I29:I33)</f>
        <v>30.300000000003138</v>
      </c>
      <c r="J34" s="67">
        <f>SUM(J29:J33)</f>
        <v>578.84999999999991</v>
      </c>
      <c r="K34" s="69">
        <f>SUM(K29:K33)</f>
        <v>95.636652745416981</v>
      </c>
      <c r="L34" s="70">
        <f>SUM(L29:L33)</f>
        <v>81.500000000001478</v>
      </c>
      <c r="M34" s="43">
        <f>SUM(M29:M33)</f>
        <v>1509.85</v>
      </c>
      <c r="N34" s="71">
        <f>IFERROR(M34/K34,0)</f>
        <v>15.787357217731083</v>
      </c>
      <c r="O34" s="37"/>
      <c r="P34" s="72"/>
      <c r="S34" s="51"/>
    </row>
    <row r="35" spans="1:19" ht="24" customHeight="1">
      <c r="A35" s="240" t="s">
        <v>38</v>
      </c>
      <c r="B35" s="241"/>
      <c r="C35" s="241"/>
      <c r="D35" s="241"/>
      <c r="E35" s="241"/>
      <c r="F35" s="241"/>
      <c r="G35" s="241"/>
      <c r="H35" s="241"/>
      <c r="I35" s="241"/>
      <c r="J35" s="241"/>
      <c r="K35" s="241"/>
      <c r="L35" s="242"/>
      <c r="M35" s="46"/>
      <c r="N35" s="47"/>
      <c r="O35" s="61"/>
      <c r="S35" s="51"/>
    </row>
    <row r="36" spans="1:19" ht="24" customHeight="1">
      <c r="A36" s="243" t="s">
        <v>3</v>
      </c>
      <c r="B36" s="243" t="s">
        <v>4</v>
      </c>
      <c r="C36" s="213" t="s">
        <v>5</v>
      </c>
      <c r="D36" s="214"/>
      <c r="E36" s="214"/>
      <c r="F36" s="214"/>
      <c r="G36" s="215"/>
      <c r="H36" s="216" t="s">
        <v>6</v>
      </c>
      <c r="I36" s="217"/>
      <c r="J36" s="217"/>
      <c r="K36" s="218"/>
      <c r="L36" s="5"/>
      <c r="M36" s="221" t="s">
        <v>7</v>
      </c>
      <c r="N36" s="222" t="s">
        <v>8</v>
      </c>
      <c r="O36" s="37"/>
    </row>
    <row r="37" spans="1:19" ht="24" customHeight="1">
      <c r="A37" s="244"/>
      <c r="B37" s="244"/>
      <c r="C37" s="2" t="s">
        <v>11</v>
      </c>
      <c r="D37" s="2" t="s">
        <v>12</v>
      </c>
      <c r="E37" s="2" t="s">
        <v>13</v>
      </c>
      <c r="F37" s="2" t="s">
        <v>14</v>
      </c>
      <c r="G37" s="2" t="s">
        <v>8</v>
      </c>
      <c r="H37" s="2" t="s">
        <v>12</v>
      </c>
      <c r="I37" s="2" t="s">
        <v>13</v>
      </c>
      <c r="J37" s="2" t="s">
        <v>14</v>
      </c>
      <c r="K37" s="82" t="s">
        <v>8</v>
      </c>
      <c r="L37" s="12" t="s">
        <v>15</v>
      </c>
      <c r="M37" s="221"/>
      <c r="N37" s="222"/>
      <c r="O37" s="37"/>
    </row>
    <row r="38" spans="1:19" ht="24" customHeight="1">
      <c r="A38" s="76">
        <v>1</v>
      </c>
      <c r="B38" s="31" t="s">
        <v>39</v>
      </c>
      <c r="C38" s="83">
        <v>16561.099999999999</v>
      </c>
      <c r="D38" s="83">
        <v>16570</v>
      </c>
      <c r="E38" s="35">
        <f>D38-C38</f>
        <v>8.9000000000014552</v>
      </c>
      <c r="F38" s="33">
        <v>140.02000000000001</v>
      </c>
      <c r="G38" s="78">
        <f t="shared" ref="G38:G39" si="15">IFERROR(F38/E38,0)</f>
        <v>15.73258426966035</v>
      </c>
      <c r="H38" s="83">
        <v>16576.8</v>
      </c>
      <c r="I38" s="56">
        <f>H38-D38</f>
        <v>6.7999999999992724</v>
      </c>
      <c r="J38" s="33">
        <v>113</v>
      </c>
      <c r="K38" s="28">
        <f>IFERROR(J38/I38,0)</f>
        <v>16.617647058825309</v>
      </c>
      <c r="L38" s="84">
        <f t="shared" ref="L38:L39" si="16">E38+I38</f>
        <v>15.700000000000728</v>
      </c>
      <c r="M38" s="79">
        <f>F38+J38</f>
        <v>253.02</v>
      </c>
      <c r="N38" s="34">
        <f>IFERROR(M38/L38,0)</f>
        <v>16.115923566878234</v>
      </c>
      <c r="O38" s="37"/>
    </row>
    <row r="39" spans="1:19" ht="27" customHeight="1">
      <c r="A39" s="76">
        <v>2</v>
      </c>
      <c r="B39" s="31" t="s">
        <v>40</v>
      </c>
      <c r="C39" s="35">
        <v>4417.5</v>
      </c>
      <c r="D39" s="35">
        <v>4429.5</v>
      </c>
      <c r="E39" s="17">
        <f>D39-C39</f>
        <v>12</v>
      </c>
      <c r="F39" s="33">
        <v>145</v>
      </c>
      <c r="G39" s="10">
        <f t="shared" si="15"/>
        <v>12.083333333333334</v>
      </c>
      <c r="H39" s="35">
        <v>4439.5</v>
      </c>
      <c r="I39" s="19">
        <f>H39-D39</f>
        <v>10</v>
      </c>
      <c r="J39" s="33">
        <v>203</v>
      </c>
      <c r="K39" s="28">
        <f>IFERROR(J39/I39,0)</f>
        <v>20.3</v>
      </c>
      <c r="L39" s="18">
        <f t="shared" si="16"/>
        <v>22</v>
      </c>
      <c r="M39" s="22">
        <f>F39+J39</f>
        <v>348</v>
      </c>
      <c r="N39" s="23">
        <f>IFERROR(M39/L39,0)</f>
        <v>15.818181818181818</v>
      </c>
      <c r="O39" s="37"/>
      <c r="S39" s="51"/>
    </row>
    <row r="40" spans="1:19" ht="22.8" customHeight="1" thickBot="1">
      <c r="A40" s="196" t="s">
        <v>28</v>
      </c>
      <c r="B40" s="233"/>
      <c r="C40" s="68"/>
      <c r="D40" s="66"/>
      <c r="E40" s="67">
        <f>SUM(E38:E39)</f>
        <v>20.900000000001455</v>
      </c>
      <c r="F40" s="67">
        <f>SUM(F38:F39:F39)</f>
        <v>285.02</v>
      </c>
      <c r="G40" s="68"/>
      <c r="H40" s="68"/>
      <c r="I40" s="67">
        <f>SUM(I38:I39)</f>
        <v>16.799999999999272</v>
      </c>
      <c r="J40" s="67">
        <f>SUM(J38:J39)</f>
        <v>316</v>
      </c>
      <c r="K40" s="69">
        <f>SUM(K38:K39)</f>
        <v>36.91764705882531</v>
      </c>
      <c r="L40" s="70">
        <f>SUM(L38:L39)</f>
        <v>37.700000000000728</v>
      </c>
      <c r="M40" s="43">
        <f>SUM(M38:M39)</f>
        <v>601.02</v>
      </c>
      <c r="N40" s="71">
        <f>IFERROR(M40/K40,0)</f>
        <v>16.280019120458107</v>
      </c>
      <c r="O40" s="37"/>
      <c r="P40" s="72"/>
      <c r="S40" s="51"/>
    </row>
    <row r="41" spans="1:19" ht="24" customHeight="1">
      <c r="A41" s="225" t="s">
        <v>41</v>
      </c>
      <c r="B41" s="226"/>
      <c r="C41" s="226"/>
      <c r="D41" s="226"/>
      <c r="E41" s="226"/>
      <c r="F41" s="226"/>
      <c r="G41" s="226"/>
      <c r="H41" s="226"/>
      <c r="I41" s="226"/>
      <c r="J41" s="226"/>
      <c r="K41" s="226"/>
      <c r="L41" s="226"/>
      <c r="M41" s="46"/>
      <c r="N41" s="47"/>
      <c r="O41" s="61"/>
    </row>
    <row r="42" spans="1:19" ht="24" customHeight="1">
      <c r="A42" s="222" t="s">
        <v>3</v>
      </c>
      <c r="B42" s="222" t="s">
        <v>4</v>
      </c>
      <c r="C42" s="234" t="s">
        <v>5</v>
      </c>
      <c r="D42" s="234"/>
      <c r="E42" s="234"/>
      <c r="F42" s="234"/>
      <c r="G42" s="234"/>
      <c r="H42" s="235" t="s">
        <v>6</v>
      </c>
      <c r="I42" s="235"/>
      <c r="J42" s="235"/>
      <c r="K42" s="235"/>
      <c r="L42" s="5"/>
      <c r="M42" s="221" t="s">
        <v>7</v>
      </c>
      <c r="N42" s="222" t="s">
        <v>8</v>
      </c>
      <c r="O42" s="37"/>
    </row>
    <row r="43" spans="1:19" ht="25.8" customHeight="1">
      <c r="A43" s="222"/>
      <c r="B43" s="222"/>
      <c r="C43" s="2" t="s">
        <v>11</v>
      </c>
      <c r="D43" s="2" t="s">
        <v>12</v>
      </c>
      <c r="E43" s="2" t="s">
        <v>13</v>
      </c>
      <c r="F43" s="2" t="s">
        <v>14</v>
      </c>
      <c r="G43" s="2" t="s">
        <v>8</v>
      </c>
      <c r="H43" s="2" t="s">
        <v>12</v>
      </c>
      <c r="I43" s="2" t="s">
        <v>13</v>
      </c>
      <c r="J43" s="2" t="s">
        <v>14</v>
      </c>
      <c r="K43" s="82" t="s">
        <v>8</v>
      </c>
      <c r="L43" s="12" t="s">
        <v>15</v>
      </c>
      <c r="M43" s="221"/>
      <c r="N43" s="222"/>
      <c r="O43" s="37"/>
    </row>
    <row r="44" spans="1:19" ht="25.8" customHeight="1">
      <c r="A44" s="5">
        <v>1</v>
      </c>
      <c r="B44" s="85" t="s">
        <v>186</v>
      </c>
      <c r="C44" s="2">
        <v>8689.33</v>
      </c>
      <c r="D44" s="2">
        <v>8689.33</v>
      </c>
      <c r="E44" s="20">
        <f>D44-C44</f>
        <v>0</v>
      </c>
      <c r="F44" s="2">
        <v>0</v>
      </c>
      <c r="G44" s="10">
        <f t="shared" ref="G44:G46" si="17">IFERROR(F44/E44,0)</f>
        <v>0</v>
      </c>
      <c r="H44" s="2">
        <v>8689.33</v>
      </c>
      <c r="I44" s="86">
        <f>H44-D44</f>
        <v>0</v>
      </c>
      <c r="J44" s="2">
        <v>224.71</v>
      </c>
      <c r="K44" s="28">
        <f>IFERROR(J44/I44,0)</f>
        <v>0</v>
      </c>
      <c r="L44" s="18">
        <f>E44+I44</f>
        <v>0</v>
      </c>
      <c r="M44" s="22">
        <f>F44+J44</f>
        <v>224.71</v>
      </c>
      <c r="N44" s="23">
        <f>IFERROR(M44/L44,0)</f>
        <v>0</v>
      </c>
      <c r="O44" s="37"/>
    </row>
    <row r="45" spans="1:19" ht="24.6" customHeight="1">
      <c r="A45" s="76">
        <v>2</v>
      </c>
      <c r="B45" s="85" t="s">
        <v>42</v>
      </c>
      <c r="C45" s="33">
        <v>8631.5</v>
      </c>
      <c r="D45" s="33">
        <v>8631.5</v>
      </c>
      <c r="E45" s="20">
        <f>D45-C45</f>
        <v>0</v>
      </c>
      <c r="F45" s="33">
        <v>0</v>
      </c>
      <c r="G45" s="10">
        <f t="shared" si="17"/>
        <v>0</v>
      </c>
      <c r="H45" s="33">
        <v>8654.9</v>
      </c>
      <c r="I45" s="86">
        <f>H45-D45</f>
        <v>23.399999999999636</v>
      </c>
      <c r="J45" s="33">
        <v>841.8</v>
      </c>
      <c r="K45" s="28">
        <f>IFERROR(J45/I45,0)</f>
        <v>35.974358974359532</v>
      </c>
      <c r="L45" s="18">
        <f>E45+I45</f>
        <v>23.399999999999636</v>
      </c>
      <c r="M45" s="22">
        <f>F45+J45</f>
        <v>841.8</v>
      </c>
      <c r="N45" s="23">
        <f>IFERROR(M45/L45,0)</f>
        <v>35.974358974359532</v>
      </c>
      <c r="O45" s="87"/>
      <c r="S45" s="51"/>
    </row>
    <row r="46" spans="1:19" ht="22.8" customHeight="1">
      <c r="A46" s="76">
        <v>3</v>
      </c>
      <c r="B46" s="85" t="s">
        <v>43</v>
      </c>
      <c r="C46" s="33">
        <v>1620.6</v>
      </c>
      <c r="D46" s="33">
        <v>1620.6</v>
      </c>
      <c r="E46" s="20">
        <f>D46-C46</f>
        <v>0</v>
      </c>
      <c r="F46" s="33">
        <v>0</v>
      </c>
      <c r="G46" s="10">
        <f t="shared" si="17"/>
        <v>0</v>
      </c>
      <c r="H46" s="33">
        <v>1620.6</v>
      </c>
      <c r="I46" s="86">
        <f>H46-D46</f>
        <v>0</v>
      </c>
      <c r="J46" s="33">
        <v>0</v>
      </c>
      <c r="K46" s="28">
        <f>IFERROR(J46/I46,0)</f>
        <v>0</v>
      </c>
      <c r="L46" s="18">
        <f>E46+I46</f>
        <v>0</v>
      </c>
      <c r="M46" s="22">
        <f t="shared" ref="M46" si="18">F46+J46</f>
        <v>0</v>
      </c>
      <c r="N46" s="23">
        <f>IFERROR(M46/L46,0)</f>
        <v>0</v>
      </c>
      <c r="O46" s="87"/>
      <c r="P46" s="88"/>
      <c r="Q46" s="89"/>
    </row>
    <row r="47" spans="1:19" ht="24" customHeight="1" thickBot="1">
      <c r="A47" s="223" t="s">
        <v>28</v>
      </c>
      <c r="B47" s="224"/>
      <c r="C47" s="90"/>
      <c r="D47" s="90"/>
      <c r="E47" s="91">
        <f>SUM(E45:E46)</f>
        <v>0</v>
      </c>
      <c r="F47" s="91">
        <f>SUM(F45:F46)</f>
        <v>0</v>
      </c>
      <c r="G47" s="92"/>
      <c r="H47" s="92"/>
      <c r="I47" s="91">
        <f>SUM(I44:I46)</f>
        <v>23.399999999999636</v>
      </c>
      <c r="J47" s="91">
        <f>SUM(J44:J46)</f>
        <v>1066.51</v>
      </c>
      <c r="K47" s="93">
        <f>SUM(K44:K46)</f>
        <v>35.974358974359532</v>
      </c>
      <c r="L47" s="94">
        <f>SUM(L44:L46)</f>
        <v>23.399999999999636</v>
      </c>
      <c r="M47" s="95">
        <f>SUM(M44:M46)</f>
        <v>1066.51</v>
      </c>
      <c r="N47" s="96">
        <f>M47/L47</f>
        <v>45.577350427351135</v>
      </c>
      <c r="O47" s="37"/>
      <c r="P47" s="97"/>
      <c r="Q47" s="89"/>
    </row>
    <row r="48" spans="1:19" ht="24" customHeight="1">
      <c r="A48" s="225" t="s">
        <v>44</v>
      </c>
      <c r="B48" s="226"/>
      <c r="C48" s="226"/>
      <c r="D48" s="226"/>
      <c r="E48" s="226"/>
      <c r="F48" s="226"/>
      <c r="G48" s="226"/>
      <c r="H48" s="226"/>
      <c r="I48" s="226"/>
      <c r="J48" s="226"/>
      <c r="K48" s="226"/>
      <c r="L48" s="226"/>
      <c r="M48" s="98"/>
      <c r="N48" s="99"/>
      <c r="O48" s="37"/>
      <c r="P48" s="100"/>
      <c r="Q48" s="100"/>
    </row>
    <row r="49" spans="1:27" ht="24" customHeight="1">
      <c r="A49" s="222" t="s">
        <v>3</v>
      </c>
      <c r="B49" s="222" t="s">
        <v>4</v>
      </c>
      <c r="C49" s="227" t="s">
        <v>5</v>
      </c>
      <c r="D49" s="228"/>
      <c r="E49" s="228"/>
      <c r="F49" s="228"/>
      <c r="G49" s="228"/>
      <c r="H49" s="229"/>
      <c r="I49" s="230" t="s">
        <v>6</v>
      </c>
      <c r="J49" s="231"/>
      <c r="K49" s="231"/>
      <c r="L49" s="231"/>
      <c r="M49" s="231"/>
      <c r="N49" s="232"/>
      <c r="O49" s="201" t="s">
        <v>45</v>
      </c>
      <c r="P49" s="203" t="s">
        <v>46</v>
      </c>
      <c r="Q49" s="203" t="s">
        <v>47</v>
      </c>
      <c r="R49" s="205" t="s">
        <v>48</v>
      </c>
      <c r="Z49" s="101"/>
    </row>
    <row r="50" spans="1:27" ht="33" customHeight="1">
      <c r="A50" s="222"/>
      <c r="B50" s="222"/>
      <c r="C50" s="2" t="s">
        <v>49</v>
      </c>
      <c r="D50" s="2" t="s">
        <v>50</v>
      </c>
      <c r="E50" s="2" t="s">
        <v>51</v>
      </c>
      <c r="F50" s="102" t="s">
        <v>11</v>
      </c>
      <c r="G50" s="2" t="s">
        <v>14</v>
      </c>
      <c r="H50" s="2" t="s">
        <v>8</v>
      </c>
      <c r="I50" s="2" t="s">
        <v>50</v>
      </c>
      <c r="J50" s="2" t="s">
        <v>45</v>
      </c>
      <c r="K50" s="102" t="s">
        <v>12</v>
      </c>
      <c r="L50" s="102" t="s">
        <v>15</v>
      </c>
      <c r="M50" s="2" t="s">
        <v>14</v>
      </c>
      <c r="N50" s="82" t="s">
        <v>8</v>
      </c>
      <c r="O50" s="202"/>
      <c r="P50" s="204"/>
      <c r="Q50" s="204"/>
      <c r="R50" s="205"/>
    </row>
    <row r="51" spans="1:27" ht="21" customHeight="1">
      <c r="A51" s="81">
        <v>1</v>
      </c>
      <c r="B51" s="103" t="s">
        <v>52</v>
      </c>
      <c r="C51" s="2">
        <v>279249.09999999998</v>
      </c>
      <c r="D51" s="2">
        <v>279304.8</v>
      </c>
      <c r="E51" s="104">
        <f t="shared" ref="E51:E116" si="19">D51-C51</f>
        <v>55.700000000011642</v>
      </c>
      <c r="F51" s="105">
        <v>22103.5</v>
      </c>
      <c r="G51" s="49">
        <v>76.42</v>
      </c>
      <c r="H51" s="10">
        <f t="shared" ref="H51:H116" si="20">IFERROR(E51/G51,0)</f>
        <v>0.7288667887988961</v>
      </c>
      <c r="I51" s="2">
        <v>279387.59999999998</v>
      </c>
      <c r="J51" s="106">
        <f t="shared" ref="J51:J116" si="21">I51-D51</f>
        <v>82.799999999988358</v>
      </c>
      <c r="K51" s="105">
        <v>22117.27</v>
      </c>
      <c r="L51" s="107">
        <f t="shared" ref="L51:L116" si="22">K51-F51</f>
        <v>13.770000000000437</v>
      </c>
      <c r="M51" s="2">
        <v>105</v>
      </c>
      <c r="N51" s="28">
        <f t="shared" ref="N51:N116" si="23">IFERROR(J51/M51,0)</f>
        <v>0.78857142857131768</v>
      </c>
      <c r="O51" s="84">
        <f t="shared" ref="O51:O116" si="24">J51+E51</f>
        <v>138.5</v>
      </c>
      <c r="P51" s="79">
        <f t="shared" ref="P51:P116" si="25">G51+M51</f>
        <v>181.42000000000002</v>
      </c>
      <c r="Q51" s="34">
        <f t="shared" ref="Q51:Q116" si="26">IFERROR(O51/P51,0)</f>
        <v>0.76342189394774551</v>
      </c>
      <c r="R51" s="108">
        <v>11</v>
      </c>
    </row>
    <row r="52" spans="1:27" ht="21" customHeight="1">
      <c r="A52" s="81">
        <v>2</v>
      </c>
      <c r="B52" s="103" t="s">
        <v>155</v>
      </c>
      <c r="C52" s="2">
        <v>301949</v>
      </c>
      <c r="D52" s="2">
        <v>302005</v>
      </c>
      <c r="E52" s="104">
        <f t="shared" si="19"/>
        <v>56</v>
      </c>
      <c r="F52" s="105">
        <v>30513</v>
      </c>
      <c r="G52" s="49">
        <v>110</v>
      </c>
      <c r="H52" s="10">
        <f t="shared" si="20"/>
        <v>0.50909090909090904</v>
      </c>
      <c r="I52" s="2">
        <v>302091</v>
      </c>
      <c r="J52" s="106">
        <f t="shared" si="21"/>
        <v>86</v>
      </c>
      <c r="K52" s="105">
        <v>30532</v>
      </c>
      <c r="L52" s="107">
        <f t="shared" si="22"/>
        <v>19</v>
      </c>
      <c r="M52" s="2">
        <v>98</v>
      </c>
      <c r="N52" s="28">
        <f t="shared" si="23"/>
        <v>0.87755102040816324</v>
      </c>
      <c r="O52" s="84">
        <f t="shared" si="24"/>
        <v>142</v>
      </c>
      <c r="P52" s="79">
        <f t="shared" si="25"/>
        <v>208</v>
      </c>
      <c r="Q52" s="34">
        <f t="shared" si="26"/>
        <v>0.68269230769230771</v>
      </c>
      <c r="R52" s="108">
        <v>33</v>
      </c>
    </row>
    <row r="53" spans="1:27" ht="21" customHeight="1">
      <c r="A53" s="81">
        <v>3</v>
      </c>
      <c r="B53" s="103" t="s">
        <v>171</v>
      </c>
      <c r="C53" s="2">
        <v>311051</v>
      </c>
      <c r="D53" s="2">
        <v>311082</v>
      </c>
      <c r="E53" s="104">
        <f t="shared" si="19"/>
        <v>31</v>
      </c>
      <c r="F53" s="105">
        <v>31072</v>
      </c>
      <c r="G53" s="49">
        <v>55</v>
      </c>
      <c r="H53" s="10">
        <f t="shared" si="20"/>
        <v>0.5636363636363636</v>
      </c>
      <c r="I53" s="2">
        <v>311178</v>
      </c>
      <c r="J53" s="106">
        <f t="shared" si="21"/>
        <v>96</v>
      </c>
      <c r="K53" s="105">
        <v>31089</v>
      </c>
      <c r="L53" s="107">
        <f t="shared" si="22"/>
        <v>17</v>
      </c>
      <c r="M53" s="2">
        <v>165</v>
      </c>
      <c r="N53" s="28">
        <f t="shared" si="23"/>
        <v>0.58181818181818179</v>
      </c>
      <c r="O53" s="84">
        <f t="shared" si="24"/>
        <v>127</v>
      </c>
      <c r="P53" s="79">
        <f t="shared" si="25"/>
        <v>220</v>
      </c>
      <c r="Q53" s="34">
        <f t="shared" si="26"/>
        <v>0.57727272727272727</v>
      </c>
      <c r="R53" s="108">
        <v>72</v>
      </c>
    </row>
    <row r="54" spans="1:27" ht="21" customHeight="1">
      <c r="A54" s="81">
        <v>4</v>
      </c>
      <c r="B54" s="103" t="s">
        <v>156</v>
      </c>
      <c r="C54" s="2">
        <v>261826</v>
      </c>
      <c r="D54" s="2">
        <v>261995</v>
      </c>
      <c r="E54" s="104">
        <f t="shared" si="19"/>
        <v>169</v>
      </c>
      <c r="F54" s="105">
        <v>27753</v>
      </c>
      <c r="G54" s="49">
        <v>246</v>
      </c>
      <c r="H54" s="10">
        <f t="shared" si="20"/>
        <v>0.68699186991869921</v>
      </c>
      <c r="I54" s="2">
        <v>262085</v>
      </c>
      <c r="J54" s="106">
        <f t="shared" si="21"/>
        <v>90</v>
      </c>
      <c r="K54" s="105">
        <v>27776</v>
      </c>
      <c r="L54" s="107">
        <f t="shared" si="22"/>
        <v>23</v>
      </c>
      <c r="M54" s="2">
        <v>119</v>
      </c>
      <c r="N54" s="28">
        <f t="shared" si="23"/>
        <v>0.75630252100840334</v>
      </c>
      <c r="O54" s="84">
        <f t="shared" si="24"/>
        <v>259</v>
      </c>
      <c r="P54" s="79">
        <f t="shared" si="25"/>
        <v>365</v>
      </c>
      <c r="Q54" s="34">
        <f t="shared" si="26"/>
        <v>0.70958904109589038</v>
      </c>
      <c r="R54" s="108">
        <v>35</v>
      </c>
    </row>
    <row r="55" spans="1:27" ht="21" customHeight="1">
      <c r="A55" s="81">
        <v>5</v>
      </c>
      <c r="B55" s="103" t="s">
        <v>157</v>
      </c>
      <c r="C55" s="2">
        <v>276863</v>
      </c>
      <c r="D55" s="2">
        <v>277003</v>
      </c>
      <c r="E55" s="104">
        <f t="shared" si="19"/>
        <v>140</v>
      </c>
      <c r="F55" s="105">
        <v>28092</v>
      </c>
      <c r="G55" s="49">
        <v>238</v>
      </c>
      <c r="H55" s="10">
        <f t="shared" si="20"/>
        <v>0.58823529411764708</v>
      </c>
      <c r="I55" s="2">
        <v>277103</v>
      </c>
      <c r="J55" s="106">
        <f t="shared" si="21"/>
        <v>100</v>
      </c>
      <c r="K55" s="105">
        <v>28112</v>
      </c>
      <c r="L55" s="107">
        <f t="shared" si="22"/>
        <v>20</v>
      </c>
      <c r="M55" s="2">
        <v>143</v>
      </c>
      <c r="N55" s="28">
        <f t="shared" si="23"/>
        <v>0.69930069930069927</v>
      </c>
      <c r="O55" s="84">
        <f t="shared" si="24"/>
        <v>240</v>
      </c>
      <c r="P55" s="79">
        <f t="shared" si="25"/>
        <v>381</v>
      </c>
      <c r="Q55" s="34">
        <f t="shared" si="26"/>
        <v>0.62992125984251968</v>
      </c>
      <c r="R55" s="108">
        <v>26</v>
      </c>
    </row>
    <row r="56" spans="1:27" ht="21" customHeight="1">
      <c r="A56" s="81">
        <v>6</v>
      </c>
      <c r="B56" s="103" t="s">
        <v>172</v>
      </c>
      <c r="C56" s="2">
        <v>266608</v>
      </c>
      <c r="D56" s="2">
        <v>266608</v>
      </c>
      <c r="E56" s="104">
        <f t="shared" si="19"/>
        <v>0</v>
      </c>
      <c r="F56" s="105">
        <v>26393</v>
      </c>
      <c r="G56" s="49">
        <v>0</v>
      </c>
      <c r="H56" s="10">
        <f t="shared" si="20"/>
        <v>0</v>
      </c>
      <c r="I56" s="2">
        <v>266622</v>
      </c>
      <c r="J56" s="106">
        <f t="shared" si="21"/>
        <v>14</v>
      </c>
      <c r="K56" s="105">
        <v>26395</v>
      </c>
      <c r="L56" s="107">
        <f t="shared" si="22"/>
        <v>2</v>
      </c>
      <c r="M56" s="2">
        <v>24</v>
      </c>
      <c r="N56" s="28">
        <f t="shared" si="23"/>
        <v>0.58333333333333337</v>
      </c>
      <c r="O56" s="84">
        <f t="shared" si="24"/>
        <v>14</v>
      </c>
      <c r="P56" s="79">
        <f t="shared" si="25"/>
        <v>24</v>
      </c>
      <c r="Q56" s="34">
        <f t="shared" si="26"/>
        <v>0.58333333333333337</v>
      </c>
      <c r="R56" s="108">
        <v>11</v>
      </c>
    </row>
    <row r="57" spans="1:27" ht="21" customHeight="1">
      <c r="A57" s="81">
        <v>7</v>
      </c>
      <c r="B57" s="103" t="s">
        <v>173</v>
      </c>
      <c r="C57" s="2">
        <v>295692</v>
      </c>
      <c r="D57" s="2">
        <v>295692</v>
      </c>
      <c r="E57" s="104">
        <f t="shared" si="19"/>
        <v>0</v>
      </c>
      <c r="F57" s="105">
        <v>28768</v>
      </c>
      <c r="G57" s="49">
        <v>0</v>
      </c>
      <c r="H57" s="10">
        <f t="shared" si="20"/>
        <v>0</v>
      </c>
      <c r="I57" s="2">
        <v>295788</v>
      </c>
      <c r="J57" s="106">
        <f t="shared" si="21"/>
        <v>96</v>
      </c>
      <c r="K57" s="105">
        <v>28778</v>
      </c>
      <c r="L57" s="107">
        <f t="shared" si="22"/>
        <v>10</v>
      </c>
      <c r="M57" s="2">
        <v>185</v>
      </c>
      <c r="N57" s="28">
        <f t="shared" si="23"/>
        <v>0.51891891891891895</v>
      </c>
      <c r="O57" s="84">
        <f t="shared" si="24"/>
        <v>96</v>
      </c>
      <c r="P57" s="79">
        <f t="shared" si="25"/>
        <v>185</v>
      </c>
      <c r="Q57" s="34">
        <f t="shared" si="26"/>
        <v>0.51891891891891895</v>
      </c>
      <c r="R57" s="108">
        <v>11</v>
      </c>
    </row>
    <row r="58" spans="1:27" ht="24" customHeight="1">
      <c r="A58" s="81">
        <v>8</v>
      </c>
      <c r="B58" s="31" t="s">
        <v>53</v>
      </c>
      <c r="C58" s="35">
        <v>334372.90000000002</v>
      </c>
      <c r="D58" s="35">
        <v>334413.3</v>
      </c>
      <c r="E58" s="104">
        <f t="shared" si="19"/>
        <v>40.399999999965075</v>
      </c>
      <c r="F58" s="110">
        <v>29851.09</v>
      </c>
      <c r="G58" s="111">
        <v>61</v>
      </c>
      <c r="H58" s="10">
        <f t="shared" si="20"/>
        <v>0.66229508196664055</v>
      </c>
      <c r="I58" s="35">
        <v>334458.40000000002</v>
      </c>
      <c r="J58" s="106">
        <f t="shared" si="21"/>
        <v>45.100000000034925</v>
      </c>
      <c r="K58" s="110">
        <v>29864</v>
      </c>
      <c r="L58" s="107">
        <f t="shared" si="22"/>
        <v>12.909999999999854</v>
      </c>
      <c r="M58" s="112">
        <v>78.5</v>
      </c>
      <c r="N58" s="28">
        <f t="shared" si="23"/>
        <v>0.57452229299407542</v>
      </c>
      <c r="O58" s="84">
        <f t="shared" si="24"/>
        <v>85.5</v>
      </c>
      <c r="P58" s="79">
        <f t="shared" si="25"/>
        <v>139.5</v>
      </c>
      <c r="Q58" s="34">
        <f t="shared" si="26"/>
        <v>0.61290322580645162</v>
      </c>
      <c r="R58" s="1">
        <v>46</v>
      </c>
    </row>
    <row r="59" spans="1:27" ht="24" customHeight="1">
      <c r="A59" s="81">
        <v>9</v>
      </c>
      <c r="B59" s="31" t="s">
        <v>54</v>
      </c>
      <c r="C59" s="104">
        <v>292894.8</v>
      </c>
      <c r="D59" s="104">
        <v>293018.7</v>
      </c>
      <c r="E59" s="104">
        <f t="shared" si="19"/>
        <v>123.90000000002328</v>
      </c>
      <c r="F59" s="110">
        <v>28054</v>
      </c>
      <c r="G59" s="111">
        <v>208</v>
      </c>
      <c r="H59" s="10">
        <f t="shared" si="20"/>
        <v>0.59567307692318883</v>
      </c>
      <c r="I59" s="104">
        <v>293069.2</v>
      </c>
      <c r="J59" s="106">
        <f>I59-D59</f>
        <v>50.5</v>
      </c>
      <c r="K59" s="110">
        <v>28076</v>
      </c>
      <c r="L59" s="107">
        <f t="shared" si="22"/>
        <v>22</v>
      </c>
      <c r="M59" s="111">
        <v>68</v>
      </c>
      <c r="N59" s="28">
        <f t="shared" si="23"/>
        <v>0.74264705882352944</v>
      </c>
      <c r="O59" s="84">
        <f t="shared" si="24"/>
        <v>174.40000000002328</v>
      </c>
      <c r="P59" s="79">
        <f t="shared" si="25"/>
        <v>276</v>
      </c>
      <c r="Q59" s="34">
        <f t="shared" si="26"/>
        <v>0.63188405797109881</v>
      </c>
      <c r="R59" s="1">
        <v>51</v>
      </c>
      <c r="AA59" s="101"/>
    </row>
    <row r="60" spans="1:27" ht="24" customHeight="1">
      <c r="A60" s="81">
        <v>10</v>
      </c>
      <c r="B60" s="31" t="s">
        <v>55</v>
      </c>
      <c r="C60" s="104">
        <v>298907.40000000002</v>
      </c>
      <c r="D60" s="104">
        <v>298907.40000000002</v>
      </c>
      <c r="E60" s="104">
        <f t="shared" si="19"/>
        <v>0</v>
      </c>
      <c r="F60" s="110">
        <v>27086</v>
      </c>
      <c r="G60" s="111">
        <v>0</v>
      </c>
      <c r="H60" s="10">
        <f t="shared" si="20"/>
        <v>0</v>
      </c>
      <c r="I60" s="104">
        <v>298907.40000000002</v>
      </c>
      <c r="J60" s="106">
        <f>I60-D60</f>
        <v>0</v>
      </c>
      <c r="K60" s="110">
        <v>27086</v>
      </c>
      <c r="L60" s="107">
        <f t="shared" si="22"/>
        <v>0</v>
      </c>
      <c r="M60" s="111">
        <v>0</v>
      </c>
      <c r="N60" s="28">
        <f t="shared" si="23"/>
        <v>0</v>
      </c>
      <c r="O60" s="84">
        <f t="shared" si="24"/>
        <v>0</v>
      </c>
      <c r="P60" s="79">
        <f t="shared" si="25"/>
        <v>0</v>
      </c>
      <c r="Q60" s="34">
        <f t="shared" si="26"/>
        <v>0</v>
      </c>
      <c r="R60" s="1">
        <v>0</v>
      </c>
      <c r="AA60" s="101"/>
    </row>
    <row r="61" spans="1:27" ht="24" customHeight="1">
      <c r="A61" s="81">
        <v>11</v>
      </c>
      <c r="B61" s="31" t="s">
        <v>56</v>
      </c>
      <c r="C61" s="104">
        <v>340936</v>
      </c>
      <c r="D61" s="104">
        <v>340975.9</v>
      </c>
      <c r="E61" s="104">
        <f t="shared" si="19"/>
        <v>39.900000000023283</v>
      </c>
      <c r="F61" s="110">
        <v>26932.080000000002</v>
      </c>
      <c r="G61" s="111">
        <v>66</v>
      </c>
      <c r="H61" s="10">
        <f t="shared" si="20"/>
        <v>0.60454545454580733</v>
      </c>
      <c r="I61" s="104">
        <v>341050.9</v>
      </c>
      <c r="J61" s="106">
        <f>I61-D61</f>
        <v>75</v>
      </c>
      <c r="K61" s="110">
        <v>26946.07</v>
      </c>
      <c r="L61" s="107">
        <f t="shared" si="22"/>
        <v>13.989999999997963</v>
      </c>
      <c r="M61" s="111">
        <v>115</v>
      </c>
      <c r="N61" s="28">
        <f t="shared" si="23"/>
        <v>0.65217391304347827</v>
      </c>
      <c r="O61" s="84">
        <f t="shared" si="24"/>
        <v>114.90000000002328</v>
      </c>
      <c r="P61" s="79">
        <f t="shared" si="25"/>
        <v>181</v>
      </c>
      <c r="Q61" s="34">
        <f t="shared" si="26"/>
        <v>0.63480662983438274</v>
      </c>
      <c r="R61" s="1">
        <v>48</v>
      </c>
      <c r="AA61" s="101"/>
    </row>
    <row r="62" spans="1:27" ht="24" customHeight="1">
      <c r="A62" s="81">
        <v>12</v>
      </c>
      <c r="B62" s="31" t="s">
        <v>57</v>
      </c>
      <c r="C62" s="104">
        <v>343851.1</v>
      </c>
      <c r="D62" s="104">
        <v>344035</v>
      </c>
      <c r="E62" s="104">
        <f t="shared" si="19"/>
        <v>183.90000000002328</v>
      </c>
      <c r="F62" s="110">
        <v>26741</v>
      </c>
      <c r="G62" s="111">
        <v>221.71</v>
      </c>
      <c r="H62" s="10">
        <f t="shared" si="20"/>
        <v>0.82946190970196776</v>
      </c>
      <c r="I62" s="104">
        <v>344181.7</v>
      </c>
      <c r="J62" s="106">
        <f>I62-D62</f>
        <v>146.70000000001164</v>
      </c>
      <c r="K62" s="110">
        <v>26762.5</v>
      </c>
      <c r="L62" s="107">
        <f t="shared" si="22"/>
        <v>21.5</v>
      </c>
      <c r="M62" s="111">
        <v>173</v>
      </c>
      <c r="N62" s="28">
        <f t="shared" si="23"/>
        <v>0.84797687861278404</v>
      </c>
      <c r="O62" s="84">
        <f t="shared" si="24"/>
        <v>330.60000000003492</v>
      </c>
      <c r="P62" s="79">
        <f t="shared" si="25"/>
        <v>394.71000000000004</v>
      </c>
      <c r="Q62" s="34">
        <f t="shared" si="26"/>
        <v>0.83757695523304421</v>
      </c>
      <c r="R62" s="1">
        <v>24</v>
      </c>
      <c r="AA62" s="101"/>
    </row>
    <row r="63" spans="1:27" ht="24" customHeight="1">
      <c r="A63" s="81">
        <v>13</v>
      </c>
      <c r="B63" s="31" t="s">
        <v>58</v>
      </c>
      <c r="C63" s="35">
        <v>300596.8</v>
      </c>
      <c r="D63" s="35">
        <v>300679</v>
      </c>
      <c r="E63" s="104">
        <f t="shared" si="19"/>
        <v>82.200000000011642</v>
      </c>
      <c r="F63" s="110">
        <v>26713</v>
      </c>
      <c r="G63" s="111">
        <v>146</v>
      </c>
      <c r="H63" s="10">
        <f t="shared" si="20"/>
        <v>0.56301369863021677</v>
      </c>
      <c r="I63" s="35">
        <v>300770.7</v>
      </c>
      <c r="J63" s="106">
        <f t="shared" si="21"/>
        <v>91.700000000011642</v>
      </c>
      <c r="K63" s="110">
        <v>26728.38</v>
      </c>
      <c r="L63" s="107">
        <f t="shared" si="22"/>
        <v>15.380000000001019</v>
      </c>
      <c r="M63" s="112">
        <v>126</v>
      </c>
      <c r="N63" s="28">
        <f>IFERROR(J63/M63,0)</f>
        <v>0.72777777777787012</v>
      </c>
      <c r="O63" s="84">
        <f t="shared" si="24"/>
        <v>173.90000000002328</v>
      </c>
      <c r="P63" s="79">
        <f t="shared" si="25"/>
        <v>272</v>
      </c>
      <c r="Q63" s="34">
        <f t="shared" si="26"/>
        <v>0.63933823529420319</v>
      </c>
      <c r="R63" s="1">
        <v>36</v>
      </c>
      <c r="U63" s="113"/>
    </row>
    <row r="64" spans="1:27" ht="24" customHeight="1">
      <c r="A64" s="81">
        <v>14</v>
      </c>
      <c r="B64" s="31" t="s">
        <v>59</v>
      </c>
      <c r="C64" s="35">
        <v>272816.2</v>
      </c>
      <c r="D64" s="35">
        <v>272912.5</v>
      </c>
      <c r="E64" s="104">
        <f t="shared" si="19"/>
        <v>96.299999999988358</v>
      </c>
      <c r="F64" s="110">
        <v>25496</v>
      </c>
      <c r="G64" s="111">
        <v>170.86</v>
      </c>
      <c r="H64" s="10">
        <f t="shared" si="20"/>
        <v>0.5636193374692049</v>
      </c>
      <c r="I64" s="35">
        <v>273008.09999999998</v>
      </c>
      <c r="J64" s="106">
        <f>I64-D64</f>
        <v>95.599999999976717</v>
      </c>
      <c r="K64" s="110">
        <v>25514.31</v>
      </c>
      <c r="L64" s="107">
        <f t="shared" si="22"/>
        <v>18.31000000000131</v>
      </c>
      <c r="M64" s="111">
        <v>157</v>
      </c>
      <c r="N64" s="28">
        <f>IFERROR(J64/M64,0)</f>
        <v>0.60891719745208095</v>
      </c>
      <c r="O64" s="84">
        <f t="shared" si="24"/>
        <v>191.89999999996508</v>
      </c>
      <c r="P64" s="79">
        <f t="shared" si="25"/>
        <v>327.86</v>
      </c>
      <c r="Q64" s="34">
        <f t="shared" si="26"/>
        <v>0.58531080339158503</v>
      </c>
      <c r="R64" s="1">
        <v>22</v>
      </c>
      <c r="X64" t="s">
        <v>60</v>
      </c>
    </row>
    <row r="65" spans="1:18" ht="24" customHeight="1">
      <c r="A65" s="81">
        <v>15</v>
      </c>
      <c r="B65" s="31" t="s">
        <v>61</v>
      </c>
      <c r="C65" s="104">
        <v>286037.40000000002</v>
      </c>
      <c r="D65" s="104">
        <v>286037.40000000002</v>
      </c>
      <c r="E65" s="104">
        <f t="shared" si="19"/>
        <v>0</v>
      </c>
      <c r="F65" s="110">
        <v>26686</v>
      </c>
      <c r="G65" s="111">
        <v>0</v>
      </c>
      <c r="H65" s="10">
        <f t="shared" si="20"/>
        <v>0</v>
      </c>
      <c r="I65" s="104">
        <v>286124</v>
      </c>
      <c r="J65" s="106">
        <f>I65-D65</f>
        <v>86.599999999976717</v>
      </c>
      <c r="K65" s="110">
        <v>26698</v>
      </c>
      <c r="L65" s="107">
        <f t="shared" si="22"/>
        <v>12</v>
      </c>
      <c r="M65" s="112">
        <v>173</v>
      </c>
      <c r="N65" s="28">
        <f t="shared" si="23"/>
        <v>0.50057803468194639</v>
      </c>
      <c r="O65" s="84">
        <f t="shared" si="24"/>
        <v>86.599999999976717</v>
      </c>
      <c r="P65" s="79">
        <f t="shared" si="25"/>
        <v>173</v>
      </c>
      <c r="Q65" s="34">
        <f t="shared" si="26"/>
        <v>0.50057803468194639</v>
      </c>
      <c r="R65" s="1">
        <v>25</v>
      </c>
    </row>
    <row r="66" spans="1:18" ht="24" customHeight="1">
      <c r="A66" s="81">
        <v>16</v>
      </c>
      <c r="B66" s="31" t="s">
        <v>62</v>
      </c>
      <c r="C66" s="35">
        <v>304082.8</v>
      </c>
      <c r="D66" s="35">
        <v>304193.59999999998</v>
      </c>
      <c r="E66" s="104">
        <f t="shared" si="19"/>
        <v>110.79999999998836</v>
      </c>
      <c r="F66" s="110">
        <v>27356</v>
      </c>
      <c r="G66" s="111">
        <v>207</v>
      </c>
      <c r="H66" s="10">
        <f t="shared" si="20"/>
        <v>0.53526570048303557</v>
      </c>
      <c r="I66" s="35">
        <v>304324.09999999998</v>
      </c>
      <c r="J66" s="106">
        <f t="shared" si="21"/>
        <v>130.5</v>
      </c>
      <c r="K66" s="110">
        <v>27378.22</v>
      </c>
      <c r="L66" s="107">
        <f t="shared" si="22"/>
        <v>22.220000000001164</v>
      </c>
      <c r="M66" s="112">
        <v>202</v>
      </c>
      <c r="N66" s="28">
        <f t="shared" si="23"/>
        <v>0.64603960396039606</v>
      </c>
      <c r="O66" s="84">
        <f t="shared" si="24"/>
        <v>241.29999999998836</v>
      </c>
      <c r="P66" s="79">
        <f t="shared" si="25"/>
        <v>409</v>
      </c>
      <c r="Q66" s="34">
        <f t="shared" si="26"/>
        <v>0.58997555012222092</v>
      </c>
      <c r="R66" s="1">
        <v>30</v>
      </c>
    </row>
    <row r="67" spans="1:18" ht="24" customHeight="1">
      <c r="A67" s="81">
        <v>17</v>
      </c>
      <c r="B67" s="31" t="s">
        <v>158</v>
      </c>
      <c r="C67" s="17">
        <v>275316</v>
      </c>
      <c r="D67" s="17">
        <v>275379</v>
      </c>
      <c r="E67" s="104">
        <f t="shared" si="19"/>
        <v>63</v>
      </c>
      <c r="F67" s="110">
        <v>25106</v>
      </c>
      <c r="G67" s="111">
        <v>128</v>
      </c>
      <c r="H67" s="10">
        <f t="shared" si="20"/>
        <v>0.4921875</v>
      </c>
      <c r="I67" s="17">
        <v>275379</v>
      </c>
      <c r="J67" s="106">
        <f t="shared" si="21"/>
        <v>0</v>
      </c>
      <c r="K67" s="110">
        <v>25116</v>
      </c>
      <c r="L67" s="107">
        <f t="shared" si="22"/>
        <v>10</v>
      </c>
      <c r="M67" s="111">
        <v>0</v>
      </c>
      <c r="N67" s="28">
        <f t="shared" si="23"/>
        <v>0</v>
      </c>
      <c r="O67" s="84">
        <f t="shared" si="24"/>
        <v>63</v>
      </c>
      <c r="P67" s="79">
        <f t="shared" si="25"/>
        <v>128</v>
      </c>
      <c r="Q67" s="34">
        <f t="shared" si="26"/>
        <v>0.4921875</v>
      </c>
      <c r="R67" s="1">
        <v>19</v>
      </c>
    </row>
    <row r="68" spans="1:18" ht="24" customHeight="1">
      <c r="A68" s="81">
        <v>18</v>
      </c>
      <c r="B68" s="31" t="s">
        <v>159</v>
      </c>
      <c r="C68" s="17">
        <v>278626</v>
      </c>
      <c r="D68" s="17">
        <v>278637</v>
      </c>
      <c r="E68" s="104">
        <f t="shared" si="19"/>
        <v>11</v>
      </c>
      <c r="F68" s="110">
        <v>25963</v>
      </c>
      <c r="G68" s="111">
        <v>46</v>
      </c>
      <c r="H68" s="10">
        <f t="shared" si="20"/>
        <v>0.2391304347826087</v>
      </c>
      <c r="I68" s="17">
        <v>278730</v>
      </c>
      <c r="J68" s="106">
        <f t="shared" si="21"/>
        <v>93</v>
      </c>
      <c r="K68" s="110">
        <v>25977</v>
      </c>
      <c r="L68" s="107">
        <f t="shared" si="22"/>
        <v>14</v>
      </c>
      <c r="M68" s="111">
        <v>164</v>
      </c>
      <c r="N68" s="28">
        <f t="shared" si="23"/>
        <v>0.56707317073170727</v>
      </c>
      <c r="O68" s="84">
        <f t="shared" si="24"/>
        <v>104</v>
      </c>
      <c r="P68" s="79">
        <f t="shared" si="25"/>
        <v>210</v>
      </c>
      <c r="Q68" s="34">
        <f t="shared" si="26"/>
        <v>0.49523809523809526</v>
      </c>
      <c r="R68" s="1">
        <v>43</v>
      </c>
    </row>
    <row r="69" spans="1:18" ht="24" customHeight="1">
      <c r="A69" s="81">
        <v>19</v>
      </c>
      <c r="B69" s="31" t="s">
        <v>160</v>
      </c>
      <c r="C69" s="17">
        <v>305594</v>
      </c>
      <c r="D69" s="17">
        <v>305654</v>
      </c>
      <c r="E69" s="104">
        <f t="shared" si="19"/>
        <v>60</v>
      </c>
      <c r="F69" s="110">
        <v>25142</v>
      </c>
      <c r="G69" s="111">
        <v>110</v>
      </c>
      <c r="H69" s="10">
        <f t="shared" si="20"/>
        <v>0.54545454545454541</v>
      </c>
      <c r="I69" s="17">
        <v>305805</v>
      </c>
      <c r="J69" s="106">
        <f t="shared" si="21"/>
        <v>151</v>
      </c>
      <c r="K69" s="110">
        <v>25160</v>
      </c>
      <c r="L69" s="107">
        <f t="shared" si="22"/>
        <v>18</v>
      </c>
      <c r="M69" s="111">
        <v>186</v>
      </c>
      <c r="N69" s="28">
        <f t="shared" si="23"/>
        <v>0.81182795698924726</v>
      </c>
      <c r="O69" s="84">
        <f t="shared" si="24"/>
        <v>211</v>
      </c>
      <c r="P69" s="79">
        <f t="shared" si="25"/>
        <v>296</v>
      </c>
      <c r="Q69" s="34">
        <f t="shared" si="26"/>
        <v>0.71283783783783783</v>
      </c>
      <c r="R69" s="1">
        <v>25</v>
      </c>
    </row>
    <row r="70" spans="1:18" ht="24" customHeight="1">
      <c r="A70" s="81">
        <v>20</v>
      </c>
      <c r="B70" s="31" t="s">
        <v>161</v>
      </c>
      <c r="C70" s="17">
        <v>304904</v>
      </c>
      <c r="D70" s="17">
        <v>305045</v>
      </c>
      <c r="E70" s="104">
        <f t="shared" si="19"/>
        <v>141</v>
      </c>
      <c r="F70" s="110">
        <v>25466</v>
      </c>
      <c r="G70" s="116">
        <v>210.44</v>
      </c>
      <c r="H70" s="10">
        <f t="shared" si="20"/>
        <v>0.67002471013115383</v>
      </c>
      <c r="I70" s="17">
        <v>305127</v>
      </c>
      <c r="J70" s="106">
        <f t="shared" si="21"/>
        <v>82</v>
      </c>
      <c r="K70" s="110">
        <v>25486</v>
      </c>
      <c r="L70" s="107">
        <f t="shared" si="22"/>
        <v>20</v>
      </c>
      <c r="M70" s="111">
        <v>156</v>
      </c>
      <c r="N70" s="28">
        <f t="shared" si="23"/>
        <v>0.52564102564102566</v>
      </c>
      <c r="O70" s="84">
        <f t="shared" si="24"/>
        <v>223</v>
      </c>
      <c r="P70" s="79">
        <f t="shared" si="25"/>
        <v>366.44</v>
      </c>
      <c r="Q70" s="34">
        <f t="shared" si="26"/>
        <v>0.60855801768365902</v>
      </c>
      <c r="R70" s="1">
        <v>49</v>
      </c>
    </row>
    <row r="71" spans="1:18" ht="24" customHeight="1">
      <c r="A71" s="81">
        <v>21</v>
      </c>
      <c r="B71" s="31" t="s">
        <v>162</v>
      </c>
      <c r="C71" s="17">
        <v>321635</v>
      </c>
      <c r="D71" s="17">
        <v>321740</v>
      </c>
      <c r="E71" s="104">
        <f t="shared" si="19"/>
        <v>105</v>
      </c>
      <c r="F71" s="110">
        <v>26664</v>
      </c>
      <c r="G71" s="111">
        <v>140.13</v>
      </c>
      <c r="H71" s="10">
        <f t="shared" si="20"/>
        <v>0.74930421751231002</v>
      </c>
      <c r="I71" s="17">
        <v>321867</v>
      </c>
      <c r="J71" s="106">
        <f t="shared" si="21"/>
        <v>127</v>
      </c>
      <c r="K71" s="110">
        <v>26685</v>
      </c>
      <c r="L71" s="107">
        <f t="shared" si="22"/>
        <v>21</v>
      </c>
      <c r="M71" s="111">
        <v>226</v>
      </c>
      <c r="N71" s="28">
        <f t="shared" si="23"/>
        <v>0.56194690265486724</v>
      </c>
      <c r="O71" s="84">
        <f t="shared" si="24"/>
        <v>232</v>
      </c>
      <c r="P71" s="79">
        <f t="shared" si="25"/>
        <v>366.13</v>
      </c>
      <c r="Q71" s="34">
        <f t="shared" si="26"/>
        <v>0.63365471280692653</v>
      </c>
      <c r="R71" s="1">
        <v>51</v>
      </c>
    </row>
    <row r="72" spans="1:18" ht="24" customHeight="1">
      <c r="A72" s="81">
        <v>22</v>
      </c>
      <c r="B72" s="31" t="s">
        <v>68</v>
      </c>
      <c r="C72" s="17">
        <v>276930.90000000002</v>
      </c>
      <c r="D72" s="17">
        <v>277061.09999999998</v>
      </c>
      <c r="E72" s="104">
        <f t="shared" si="19"/>
        <v>130.19999999995343</v>
      </c>
      <c r="F72" s="110">
        <v>22485</v>
      </c>
      <c r="G72" s="111">
        <v>238</v>
      </c>
      <c r="H72" s="10">
        <f t="shared" si="20"/>
        <v>0.54705882352921609</v>
      </c>
      <c r="I72" s="17">
        <v>277190.40000000002</v>
      </c>
      <c r="J72" s="106">
        <f t="shared" si="21"/>
        <v>129.30000000004657</v>
      </c>
      <c r="K72" s="110">
        <v>22505</v>
      </c>
      <c r="L72" s="107">
        <f t="shared" si="22"/>
        <v>20</v>
      </c>
      <c r="M72" s="112">
        <v>215</v>
      </c>
      <c r="N72" s="28">
        <f t="shared" si="23"/>
        <v>0.60139534883742585</v>
      </c>
      <c r="O72" s="84">
        <f t="shared" si="24"/>
        <v>259.5</v>
      </c>
      <c r="P72" s="79">
        <f t="shared" si="25"/>
        <v>453</v>
      </c>
      <c r="Q72" s="34">
        <f t="shared" si="26"/>
        <v>0.57284768211920534</v>
      </c>
      <c r="R72" s="1">
        <v>57</v>
      </c>
    </row>
    <row r="73" spans="1:18" ht="24" customHeight="1">
      <c r="A73" s="81">
        <v>23</v>
      </c>
      <c r="B73" s="31" t="s">
        <v>69</v>
      </c>
      <c r="C73" s="17">
        <v>258996.2</v>
      </c>
      <c r="D73" s="17">
        <v>259112.8</v>
      </c>
      <c r="E73" s="104">
        <f t="shared" si="19"/>
        <v>116.59999999997672</v>
      </c>
      <c r="F73" s="110">
        <v>19850</v>
      </c>
      <c r="G73" s="111">
        <v>162</v>
      </c>
      <c r="H73" s="10">
        <f t="shared" si="20"/>
        <v>0.71975308641960933</v>
      </c>
      <c r="I73" s="17">
        <v>259187.3</v>
      </c>
      <c r="J73" s="106">
        <f t="shared" si="21"/>
        <v>74.5</v>
      </c>
      <c r="K73" s="110">
        <v>19866</v>
      </c>
      <c r="L73" s="107">
        <f t="shared" si="22"/>
        <v>16</v>
      </c>
      <c r="M73" s="112">
        <v>99</v>
      </c>
      <c r="N73" s="28">
        <f t="shared" si="23"/>
        <v>0.75252525252525249</v>
      </c>
      <c r="O73" s="84">
        <f t="shared" si="24"/>
        <v>191.09999999997672</v>
      </c>
      <c r="P73" s="79">
        <f t="shared" si="25"/>
        <v>261</v>
      </c>
      <c r="Q73" s="34">
        <f t="shared" si="26"/>
        <v>0.73218390804588784</v>
      </c>
      <c r="R73" s="1">
        <v>35</v>
      </c>
    </row>
    <row r="74" spans="1:18" ht="24" customHeight="1">
      <c r="A74" s="81">
        <v>24</v>
      </c>
      <c r="B74" s="31" t="s">
        <v>70</v>
      </c>
      <c r="C74" s="104">
        <v>303411.40000000002</v>
      </c>
      <c r="D74" s="104">
        <v>303549</v>
      </c>
      <c r="E74" s="104">
        <f t="shared" si="19"/>
        <v>137.59999999997672</v>
      </c>
      <c r="F74" s="110">
        <v>5029</v>
      </c>
      <c r="G74" s="111">
        <v>202</v>
      </c>
      <c r="H74" s="10">
        <f t="shared" si="20"/>
        <v>0.68118811881176589</v>
      </c>
      <c r="I74" s="104">
        <v>303645.3</v>
      </c>
      <c r="J74" s="106">
        <f t="shared" si="21"/>
        <v>96.299999999988358</v>
      </c>
      <c r="K74" s="110">
        <v>5049</v>
      </c>
      <c r="L74" s="107">
        <f t="shared" si="22"/>
        <v>20</v>
      </c>
      <c r="M74" s="111">
        <v>131</v>
      </c>
      <c r="N74" s="28">
        <f t="shared" si="23"/>
        <v>0.73511450381670507</v>
      </c>
      <c r="O74" s="84">
        <f t="shared" si="24"/>
        <v>233.89999999996508</v>
      </c>
      <c r="P74" s="79">
        <f t="shared" si="25"/>
        <v>333</v>
      </c>
      <c r="Q74" s="34">
        <f t="shared" si="26"/>
        <v>0.70240240240229757</v>
      </c>
      <c r="R74" s="1">
        <v>43</v>
      </c>
    </row>
    <row r="75" spans="1:18" ht="24" customHeight="1">
      <c r="A75" s="81">
        <v>25</v>
      </c>
      <c r="B75" s="31" t="s">
        <v>71</v>
      </c>
      <c r="C75" s="35">
        <v>313672.2</v>
      </c>
      <c r="D75" s="35">
        <v>313672.2</v>
      </c>
      <c r="E75" s="104">
        <f t="shared" si="19"/>
        <v>0</v>
      </c>
      <c r="F75" s="110">
        <v>22946</v>
      </c>
      <c r="G75" s="111">
        <v>0</v>
      </c>
      <c r="H75" s="10">
        <f t="shared" si="20"/>
        <v>0</v>
      </c>
      <c r="I75" s="35">
        <v>313672.2</v>
      </c>
      <c r="J75" s="106">
        <f t="shared" si="21"/>
        <v>0</v>
      </c>
      <c r="K75" s="110">
        <v>22946</v>
      </c>
      <c r="L75" s="107">
        <f t="shared" si="22"/>
        <v>0</v>
      </c>
      <c r="M75" s="111">
        <v>0</v>
      </c>
      <c r="N75" s="28">
        <f>IFERROR(J75/M75,0)</f>
        <v>0</v>
      </c>
      <c r="O75" s="84">
        <f t="shared" si="24"/>
        <v>0</v>
      </c>
      <c r="P75" s="79">
        <f>G75+M75</f>
        <v>0</v>
      </c>
      <c r="Q75" s="34">
        <f t="shared" si="26"/>
        <v>0</v>
      </c>
      <c r="R75" s="1">
        <v>12</v>
      </c>
    </row>
    <row r="76" spans="1:18" ht="24" customHeight="1">
      <c r="A76" s="81">
        <v>26</v>
      </c>
      <c r="B76" s="31" t="s">
        <v>72</v>
      </c>
      <c r="C76" s="35">
        <v>284122</v>
      </c>
      <c r="D76" s="35">
        <v>284282.8</v>
      </c>
      <c r="E76" s="104">
        <f t="shared" si="19"/>
        <v>160.79999999998836</v>
      </c>
      <c r="F76" s="110">
        <v>20550</v>
      </c>
      <c r="G76" s="111">
        <v>240</v>
      </c>
      <c r="H76" s="10">
        <f t="shared" si="20"/>
        <v>0.66999999999995152</v>
      </c>
      <c r="I76" s="35">
        <v>284425.8</v>
      </c>
      <c r="J76" s="106">
        <f t="shared" si="21"/>
        <v>143</v>
      </c>
      <c r="K76" s="110">
        <v>20571</v>
      </c>
      <c r="L76" s="107">
        <f t="shared" si="22"/>
        <v>21</v>
      </c>
      <c r="M76" s="112">
        <v>213</v>
      </c>
      <c r="N76" s="28">
        <f t="shared" si="23"/>
        <v>0.67136150234741787</v>
      </c>
      <c r="O76" s="84">
        <f t="shared" si="24"/>
        <v>303.79999999998836</v>
      </c>
      <c r="P76" s="79">
        <f t="shared" si="25"/>
        <v>453</v>
      </c>
      <c r="Q76" s="34">
        <f t="shared" si="26"/>
        <v>0.67064017660041575</v>
      </c>
      <c r="R76" s="1">
        <v>36</v>
      </c>
    </row>
    <row r="77" spans="1:18" ht="24" customHeight="1">
      <c r="A77" s="81">
        <v>27</v>
      </c>
      <c r="B77" s="31" t="s">
        <v>73</v>
      </c>
      <c r="C77" s="104">
        <v>312323.5</v>
      </c>
      <c r="D77" s="104">
        <v>312469.2</v>
      </c>
      <c r="E77" s="104">
        <f t="shared" si="19"/>
        <v>145.70000000001164</v>
      </c>
      <c r="F77" s="110">
        <v>22679</v>
      </c>
      <c r="G77" s="111">
        <v>218</v>
      </c>
      <c r="H77" s="10">
        <f t="shared" si="20"/>
        <v>0.66834862385326443</v>
      </c>
      <c r="I77" s="104">
        <v>312608.5</v>
      </c>
      <c r="J77" s="106">
        <f t="shared" si="21"/>
        <v>139.29999999998836</v>
      </c>
      <c r="K77" s="110">
        <v>22698</v>
      </c>
      <c r="L77" s="107">
        <f t="shared" si="22"/>
        <v>19</v>
      </c>
      <c r="M77" s="112">
        <v>185</v>
      </c>
      <c r="N77" s="28">
        <f t="shared" si="23"/>
        <v>0.75297297297290999</v>
      </c>
      <c r="O77" s="84">
        <f t="shared" si="24"/>
        <v>285</v>
      </c>
      <c r="P77" s="79">
        <f t="shared" si="25"/>
        <v>403</v>
      </c>
      <c r="Q77" s="34">
        <f t="shared" si="26"/>
        <v>0.70719602977667495</v>
      </c>
      <c r="R77" s="1">
        <v>42</v>
      </c>
    </row>
    <row r="78" spans="1:18" ht="24" customHeight="1">
      <c r="A78" s="81">
        <v>28</v>
      </c>
      <c r="B78" s="31" t="s">
        <v>74</v>
      </c>
      <c r="C78" s="35">
        <v>282499.90000000002</v>
      </c>
      <c r="D78" s="35">
        <v>282599.7</v>
      </c>
      <c r="E78" s="104">
        <f t="shared" si="19"/>
        <v>99.799999999988358</v>
      </c>
      <c r="F78" s="110">
        <v>4196</v>
      </c>
      <c r="G78" s="111">
        <v>175</v>
      </c>
      <c r="H78" s="10">
        <f t="shared" si="20"/>
        <v>0.57028571428564778</v>
      </c>
      <c r="I78" s="35">
        <v>282753</v>
      </c>
      <c r="J78" s="106">
        <f t="shared" si="21"/>
        <v>153.29999999998836</v>
      </c>
      <c r="K78" s="110">
        <v>4217</v>
      </c>
      <c r="L78" s="107">
        <f>K78-F78</f>
        <v>21</v>
      </c>
      <c r="M78" s="111">
        <v>242</v>
      </c>
      <c r="N78" s="28">
        <f t="shared" si="23"/>
        <v>0.63347107438011718</v>
      </c>
      <c r="O78" s="84">
        <f t="shared" si="24"/>
        <v>253.09999999997672</v>
      </c>
      <c r="P78" s="79">
        <f t="shared" si="25"/>
        <v>417</v>
      </c>
      <c r="Q78" s="34">
        <f t="shared" si="26"/>
        <v>0.60695443645078351</v>
      </c>
      <c r="R78" s="1">
        <v>34</v>
      </c>
    </row>
    <row r="79" spans="1:18" ht="24" customHeight="1">
      <c r="A79" s="81">
        <v>29</v>
      </c>
      <c r="B79" s="31" t="s">
        <v>75</v>
      </c>
      <c r="C79" s="104">
        <v>300369.09999999998</v>
      </c>
      <c r="D79" s="104">
        <v>300518.2</v>
      </c>
      <c r="E79" s="104">
        <f t="shared" si="19"/>
        <v>149.10000000003492</v>
      </c>
      <c r="F79" s="110">
        <v>21622</v>
      </c>
      <c r="G79" s="111">
        <v>208</v>
      </c>
      <c r="H79" s="10">
        <f t="shared" si="20"/>
        <v>0.71682692307709095</v>
      </c>
      <c r="I79" s="104">
        <v>300631.8</v>
      </c>
      <c r="J79" s="106">
        <f t="shared" si="21"/>
        <v>113.59999999997672</v>
      </c>
      <c r="K79" s="110">
        <v>21642</v>
      </c>
      <c r="L79" s="107">
        <f t="shared" si="22"/>
        <v>20</v>
      </c>
      <c r="M79" s="112">
        <v>148</v>
      </c>
      <c r="N79" s="28">
        <f t="shared" si="23"/>
        <v>0.76756756756741029</v>
      </c>
      <c r="O79" s="84">
        <f t="shared" si="24"/>
        <v>262.70000000001164</v>
      </c>
      <c r="P79" s="79">
        <f t="shared" si="25"/>
        <v>356</v>
      </c>
      <c r="Q79" s="34">
        <f t="shared" si="26"/>
        <v>0.7379213483146394</v>
      </c>
      <c r="R79" s="1">
        <v>51</v>
      </c>
    </row>
    <row r="80" spans="1:18" ht="24" customHeight="1">
      <c r="A80" s="81">
        <v>30</v>
      </c>
      <c r="B80" s="31" t="s">
        <v>76</v>
      </c>
      <c r="C80" s="104">
        <v>265034.40000000002</v>
      </c>
      <c r="D80" s="104">
        <v>265180.09999999998</v>
      </c>
      <c r="E80" s="104">
        <f t="shared" si="19"/>
        <v>145.69999999995343</v>
      </c>
      <c r="F80" s="110">
        <v>19569</v>
      </c>
      <c r="G80" s="111">
        <v>223</v>
      </c>
      <c r="H80" s="10">
        <f t="shared" si="20"/>
        <v>0.65336322869934271</v>
      </c>
      <c r="I80" s="104">
        <v>265343.2</v>
      </c>
      <c r="J80" s="106">
        <f t="shared" si="21"/>
        <v>163.10000000003492</v>
      </c>
      <c r="K80" s="110">
        <v>19592</v>
      </c>
      <c r="L80" s="107">
        <f t="shared" si="22"/>
        <v>23</v>
      </c>
      <c r="M80" s="111">
        <v>210</v>
      </c>
      <c r="N80" s="28">
        <f t="shared" si="23"/>
        <v>0.77666666666683293</v>
      </c>
      <c r="O80" s="84">
        <f t="shared" si="24"/>
        <v>308.79999999998836</v>
      </c>
      <c r="P80" s="79">
        <f t="shared" si="25"/>
        <v>433</v>
      </c>
      <c r="Q80" s="34">
        <f t="shared" si="26"/>
        <v>0.7131639722863472</v>
      </c>
      <c r="R80" s="1">
        <v>36</v>
      </c>
    </row>
    <row r="81" spans="1:18" ht="24" customHeight="1">
      <c r="A81" s="81">
        <v>31</v>
      </c>
      <c r="B81" s="31" t="s">
        <v>77</v>
      </c>
      <c r="C81" s="83">
        <v>263055.3</v>
      </c>
      <c r="D81" s="83">
        <v>263188.3</v>
      </c>
      <c r="E81" s="104">
        <f t="shared" si="19"/>
        <v>133</v>
      </c>
      <c r="F81" s="110">
        <v>19265</v>
      </c>
      <c r="G81" s="111">
        <v>192.47</v>
      </c>
      <c r="H81" s="10">
        <f t="shared" si="20"/>
        <v>0.69101678183613036</v>
      </c>
      <c r="I81" s="83">
        <v>263236.40000000002</v>
      </c>
      <c r="J81" s="106">
        <f t="shared" si="21"/>
        <v>48.100000000034925</v>
      </c>
      <c r="K81" s="110">
        <v>19281</v>
      </c>
      <c r="L81" s="107">
        <f>K81-F81</f>
        <v>16</v>
      </c>
      <c r="M81" s="111">
        <v>71</v>
      </c>
      <c r="N81" s="28">
        <f t="shared" si="23"/>
        <v>0.67746478873288629</v>
      </c>
      <c r="O81" s="84">
        <f t="shared" si="24"/>
        <v>181.10000000003492</v>
      </c>
      <c r="P81" s="79">
        <f t="shared" si="25"/>
        <v>263.47000000000003</v>
      </c>
      <c r="Q81" s="34">
        <f t="shared" si="26"/>
        <v>0.68736478536469015</v>
      </c>
      <c r="R81" s="1">
        <v>30</v>
      </c>
    </row>
    <row r="82" spans="1:18" ht="24" customHeight="1">
      <c r="A82" s="81">
        <v>32</v>
      </c>
      <c r="B82" s="31" t="s">
        <v>78</v>
      </c>
      <c r="C82" s="104">
        <v>289094.3</v>
      </c>
      <c r="D82" s="104">
        <v>289213</v>
      </c>
      <c r="E82" s="104">
        <f t="shared" si="19"/>
        <v>118.70000000001164</v>
      </c>
      <c r="F82" s="110">
        <v>20856</v>
      </c>
      <c r="G82" s="111">
        <v>145.75</v>
      </c>
      <c r="H82" s="10">
        <f t="shared" si="20"/>
        <v>0.81440823327623768</v>
      </c>
      <c r="I82" s="104">
        <v>289320.3</v>
      </c>
      <c r="J82" s="106">
        <f t="shared" si="21"/>
        <v>107.29999999998836</v>
      </c>
      <c r="K82" s="110">
        <v>20884</v>
      </c>
      <c r="L82" s="107">
        <f t="shared" si="22"/>
        <v>28</v>
      </c>
      <c r="M82" s="111">
        <v>141</v>
      </c>
      <c r="N82" s="28">
        <f t="shared" si="23"/>
        <v>0.76099290780133588</v>
      </c>
      <c r="O82" s="84">
        <f t="shared" si="24"/>
        <v>226</v>
      </c>
      <c r="P82" s="79">
        <f t="shared" si="25"/>
        <v>286.75</v>
      </c>
      <c r="Q82" s="34">
        <f t="shared" si="26"/>
        <v>0.78814298169136876</v>
      </c>
      <c r="R82" s="1">
        <v>37</v>
      </c>
    </row>
    <row r="83" spans="1:18" ht="24" customHeight="1">
      <c r="A83" s="81">
        <v>33</v>
      </c>
      <c r="B83" s="31" t="s">
        <v>79</v>
      </c>
      <c r="C83" s="104">
        <v>303623.90000000002</v>
      </c>
      <c r="D83" s="104">
        <v>303769.09999999998</v>
      </c>
      <c r="E83" s="104">
        <f t="shared" si="19"/>
        <v>145.19999999995343</v>
      </c>
      <c r="F83" s="110">
        <v>21597</v>
      </c>
      <c r="G83" s="111">
        <v>232</v>
      </c>
      <c r="H83" s="10">
        <f t="shared" si="20"/>
        <v>0.62586206896531649</v>
      </c>
      <c r="I83" s="104">
        <v>303903.5</v>
      </c>
      <c r="J83" s="106">
        <f t="shared" si="21"/>
        <v>134.40000000002328</v>
      </c>
      <c r="K83" s="110">
        <v>21620</v>
      </c>
      <c r="L83" s="107">
        <f t="shared" si="22"/>
        <v>23</v>
      </c>
      <c r="M83" s="111">
        <v>208</v>
      </c>
      <c r="N83" s="28">
        <f t="shared" si="23"/>
        <v>0.6461538461539581</v>
      </c>
      <c r="O83" s="84">
        <f t="shared" si="24"/>
        <v>279.59999999997672</v>
      </c>
      <c r="P83" s="79">
        <f t="shared" si="25"/>
        <v>440</v>
      </c>
      <c r="Q83" s="34">
        <f t="shared" si="26"/>
        <v>0.63545454545449254</v>
      </c>
      <c r="R83" s="1">
        <v>40</v>
      </c>
    </row>
    <row r="84" spans="1:18" ht="24" customHeight="1">
      <c r="A84" s="81">
        <v>34</v>
      </c>
      <c r="B84" s="31" t="s">
        <v>163</v>
      </c>
      <c r="C84" s="104">
        <v>244607.5</v>
      </c>
      <c r="D84" s="104">
        <v>244767.4</v>
      </c>
      <c r="E84" s="104">
        <f t="shared" si="19"/>
        <v>159.89999999999418</v>
      </c>
      <c r="F84" s="110">
        <v>18267</v>
      </c>
      <c r="G84" s="111">
        <v>226</v>
      </c>
      <c r="H84" s="10">
        <f t="shared" si="20"/>
        <v>0.70752212389377955</v>
      </c>
      <c r="I84" s="104">
        <v>244853.4</v>
      </c>
      <c r="J84" s="106">
        <f t="shared" si="21"/>
        <v>86</v>
      </c>
      <c r="K84" s="110">
        <v>18289</v>
      </c>
      <c r="L84" s="107">
        <f t="shared" si="22"/>
        <v>22</v>
      </c>
      <c r="M84" s="111">
        <v>117</v>
      </c>
      <c r="N84" s="28">
        <f t="shared" si="23"/>
        <v>0.7350427350427351</v>
      </c>
      <c r="O84" s="84">
        <f t="shared" si="24"/>
        <v>245.89999999999418</v>
      </c>
      <c r="P84" s="79">
        <f t="shared" si="25"/>
        <v>343</v>
      </c>
      <c r="Q84" s="34">
        <f t="shared" si="26"/>
        <v>0.71690962099123667</v>
      </c>
      <c r="R84" s="1">
        <v>43</v>
      </c>
    </row>
    <row r="85" spans="1:18" ht="24" customHeight="1">
      <c r="A85" s="81">
        <v>35</v>
      </c>
      <c r="B85" s="31" t="s">
        <v>164</v>
      </c>
      <c r="C85" s="104">
        <v>244201.1</v>
      </c>
      <c r="D85" s="104">
        <v>244366</v>
      </c>
      <c r="E85" s="104">
        <f t="shared" si="19"/>
        <v>164.89999999999418</v>
      </c>
      <c r="F85" s="110">
        <v>18245</v>
      </c>
      <c r="G85" s="111">
        <v>234</v>
      </c>
      <c r="H85" s="10">
        <f t="shared" si="20"/>
        <v>0.70470085470082977</v>
      </c>
      <c r="I85" s="104">
        <v>244505.2</v>
      </c>
      <c r="J85" s="106">
        <f t="shared" si="21"/>
        <v>139.20000000001164</v>
      </c>
      <c r="K85" s="110">
        <v>18266</v>
      </c>
      <c r="L85" s="107">
        <f t="shared" si="22"/>
        <v>21</v>
      </c>
      <c r="M85" s="111">
        <v>182</v>
      </c>
      <c r="N85" s="28">
        <f t="shared" si="23"/>
        <v>0.76483516483522884</v>
      </c>
      <c r="O85" s="84">
        <f t="shared" si="24"/>
        <v>304.10000000000582</v>
      </c>
      <c r="P85" s="79">
        <f t="shared" si="25"/>
        <v>416</v>
      </c>
      <c r="Q85" s="34">
        <f t="shared" si="26"/>
        <v>0.73100961538462939</v>
      </c>
      <c r="R85" s="1">
        <v>47</v>
      </c>
    </row>
    <row r="86" spans="1:18" ht="24" customHeight="1">
      <c r="A86" s="81">
        <v>36</v>
      </c>
      <c r="B86" s="31" t="s">
        <v>165</v>
      </c>
      <c r="C86" s="104">
        <v>251058</v>
      </c>
      <c r="D86" s="104">
        <v>251218.8</v>
      </c>
      <c r="E86" s="104">
        <f t="shared" si="19"/>
        <v>160.79999999998836</v>
      </c>
      <c r="F86" s="110">
        <v>17883</v>
      </c>
      <c r="G86" s="111">
        <v>236</v>
      </c>
      <c r="H86" s="10">
        <f t="shared" si="20"/>
        <v>0.68135593220334045</v>
      </c>
      <c r="I86" s="104">
        <v>251286.9</v>
      </c>
      <c r="J86" s="106">
        <f t="shared" si="21"/>
        <v>68.100000000005821</v>
      </c>
      <c r="K86" s="110">
        <v>17901</v>
      </c>
      <c r="L86" s="107">
        <f t="shared" si="22"/>
        <v>18</v>
      </c>
      <c r="M86" s="112">
        <v>99</v>
      </c>
      <c r="N86" s="28">
        <f t="shared" si="23"/>
        <v>0.68787878787884671</v>
      </c>
      <c r="O86" s="84">
        <f t="shared" si="24"/>
        <v>228.89999999999418</v>
      </c>
      <c r="P86" s="79">
        <f t="shared" si="25"/>
        <v>335</v>
      </c>
      <c r="Q86" s="34">
        <f t="shared" si="26"/>
        <v>0.68328358208953488</v>
      </c>
      <c r="R86" s="1">
        <v>20</v>
      </c>
    </row>
    <row r="87" spans="1:18" ht="24" customHeight="1">
      <c r="A87" s="81">
        <v>37</v>
      </c>
      <c r="B87" s="31" t="s">
        <v>83</v>
      </c>
      <c r="C87" s="104">
        <v>259556.7</v>
      </c>
      <c r="D87" s="104">
        <v>259697.7</v>
      </c>
      <c r="E87" s="104">
        <f t="shared" si="19"/>
        <v>141</v>
      </c>
      <c r="F87" s="110">
        <v>18413</v>
      </c>
      <c r="G87" s="111">
        <v>194.6</v>
      </c>
      <c r="H87" s="10">
        <f t="shared" si="20"/>
        <v>0.7245632065775951</v>
      </c>
      <c r="I87" s="104">
        <v>259697.7</v>
      </c>
      <c r="J87" s="106">
        <f t="shared" si="21"/>
        <v>0</v>
      </c>
      <c r="K87" s="110">
        <v>18423</v>
      </c>
      <c r="L87" s="107">
        <f t="shared" si="22"/>
        <v>10</v>
      </c>
      <c r="M87" s="112">
        <v>0</v>
      </c>
      <c r="N87" s="28">
        <f t="shared" si="23"/>
        <v>0</v>
      </c>
      <c r="O87" s="84">
        <f t="shared" si="24"/>
        <v>141</v>
      </c>
      <c r="P87" s="79">
        <f t="shared" si="25"/>
        <v>194.6</v>
      </c>
      <c r="Q87" s="34">
        <f t="shared" si="26"/>
        <v>0.7245632065775951</v>
      </c>
      <c r="R87" s="1">
        <v>38</v>
      </c>
    </row>
    <row r="88" spans="1:18" ht="24" customHeight="1">
      <c r="A88" s="81">
        <v>38</v>
      </c>
      <c r="B88" s="31" t="s">
        <v>84</v>
      </c>
      <c r="C88" s="104">
        <v>270981.2</v>
      </c>
      <c r="D88" s="104">
        <v>271146.2</v>
      </c>
      <c r="E88" s="104">
        <f t="shared" si="19"/>
        <v>165</v>
      </c>
      <c r="F88" s="110">
        <v>17775</v>
      </c>
      <c r="G88" s="111">
        <v>227.02</v>
      </c>
      <c r="H88" s="10">
        <f t="shared" si="20"/>
        <v>0.72680821073033208</v>
      </c>
      <c r="I88" s="104">
        <v>271298.59999999998</v>
      </c>
      <c r="J88" s="106">
        <f t="shared" si="21"/>
        <v>152.39999999996508</v>
      </c>
      <c r="K88" s="110">
        <v>17795</v>
      </c>
      <c r="L88" s="107">
        <f t="shared" si="22"/>
        <v>20</v>
      </c>
      <c r="M88" s="112">
        <v>207</v>
      </c>
      <c r="N88" s="28">
        <f t="shared" si="23"/>
        <v>0.73623188405780227</v>
      </c>
      <c r="O88" s="84">
        <f t="shared" si="24"/>
        <v>317.39999999996508</v>
      </c>
      <c r="P88" s="79">
        <f t="shared" si="25"/>
        <v>434.02</v>
      </c>
      <c r="Q88" s="34">
        <f t="shared" si="26"/>
        <v>0.7313027049443922</v>
      </c>
      <c r="R88" s="1">
        <v>38</v>
      </c>
    </row>
    <row r="89" spans="1:18" ht="24" customHeight="1">
      <c r="A89" s="81">
        <v>39</v>
      </c>
      <c r="B89" s="31" t="s">
        <v>85</v>
      </c>
      <c r="C89" s="35">
        <v>279094.5</v>
      </c>
      <c r="D89" s="35">
        <v>279216.7</v>
      </c>
      <c r="E89" s="104">
        <f t="shared" si="19"/>
        <v>122.20000000001164</v>
      </c>
      <c r="F89" s="110">
        <v>19700</v>
      </c>
      <c r="G89" s="111">
        <v>185</v>
      </c>
      <c r="H89" s="10">
        <f t="shared" si="20"/>
        <v>0.66054054054060352</v>
      </c>
      <c r="I89" s="35">
        <v>279346.7</v>
      </c>
      <c r="J89" s="106">
        <f t="shared" si="21"/>
        <v>130</v>
      </c>
      <c r="K89" s="110">
        <v>19718</v>
      </c>
      <c r="L89" s="107">
        <f t="shared" si="22"/>
        <v>18</v>
      </c>
      <c r="M89" s="112">
        <v>173</v>
      </c>
      <c r="N89" s="28">
        <f t="shared" si="23"/>
        <v>0.75144508670520227</v>
      </c>
      <c r="O89" s="84">
        <f t="shared" si="24"/>
        <v>252.20000000001164</v>
      </c>
      <c r="P89" s="79">
        <f t="shared" si="25"/>
        <v>358</v>
      </c>
      <c r="Q89" s="34">
        <f t="shared" si="26"/>
        <v>0.70446927374304924</v>
      </c>
      <c r="R89" s="1">
        <v>36</v>
      </c>
    </row>
    <row r="90" spans="1:18" ht="24" customHeight="1">
      <c r="A90" s="81">
        <v>40</v>
      </c>
      <c r="B90" s="31" t="s">
        <v>86</v>
      </c>
      <c r="C90" s="104">
        <v>249760.7</v>
      </c>
      <c r="D90" s="104">
        <v>249905.1</v>
      </c>
      <c r="E90" s="104">
        <f t="shared" si="19"/>
        <v>144.39999999999418</v>
      </c>
      <c r="F90" s="110">
        <v>17748</v>
      </c>
      <c r="G90" s="111">
        <v>234</v>
      </c>
      <c r="H90" s="10">
        <f t="shared" si="20"/>
        <v>0.61709401709399225</v>
      </c>
      <c r="I90" s="104">
        <v>250030.3</v>
      </c>
      <c r="J90" s="106">
        <f t="shared" si="21"/>
        <v>125.19999999998254</v>
      </c>
      <c r="K90" s="110">
        <v>17767</v>
      </c>
      <c r="L90" s="107">
        <f t="shared" si="22"/>
        <v>19</v>
      </c>
      <c r="M90" s="112">
        <v>194</v>
      </c>
      <c r="N90" s="28">
        <f t="shared" si="23"/>
        <v>0.64536082474217804</v>
      </c>
      <c r="O90" s="84">
        <f t="shared" si="24"/>
        <v>269.59999999997672</v>
      </c>
      <c r="P90" s="79">
        <f t="shared" si="25"/>
        <v>428</v>
      </c>
      <c r="Q90" s="34">
        <f t="shared" si="26"/>
        <v>0.62990654205602037</v>
      </c>
      <c r="R90" s="1">
        <v>32</v>
      </c>
    </row>
    <row r="91" spans="1:18" ht="24" customHeight="1">
      <c r="A91" s="81">
        <v>41</v>
      </c>
      <c r="B91" s="31" t="s">
        <v>87</v>
      </c>
      <c r="C91" s="104">
        <v>278645.59999999998</v>
      </c>
      <c r="D91" s="104">
        <v>278801.59999999998</v>
      </c>
      <c r="E91" s="104">
        <f t="shared" si="19"/>
        <v>156</v>
      </c>
      <c r="F91" s="110">
        <v>19246</v>
      </c>
      <c r="G91" s="111">
        <v>209.57</v>
      </c>
      <c r="H91" s="10">
        <f t="shared" si="20"/>
        <v>0.74438135229279001</v>
      </c>
      <c r="I91" s="104">
        <v>278902.3</v>
      </c>
      <c r="J91" s="106">
        <f t="shared" si="21"/>
        <v>100.70000000001164</v>
      </c>
      <c r="K91" s="110">
        <v>19265</v>
      </c>
      <c r="L91" s="107">
        <f t="shared" si="22"/>
        <v>19</v>
      </c>
      <c r="M91" s="111">
        <v>146</v>
      </c>
      <c r="N91" s="28">
        <f t="shared" si="23"/>
        <v>0.68972602739734001</v>
      </c>
      <c r="O91" s="84">
        <f t="shared" si="24"/>
        <v>256.70000000001164</v>
      </c>
      <c r="P91" s="79">
        <f t="shared" si="25"/>
        <v>355.57</v>
      </c>
      <c r="Q91" s="34">
        <f t="shared" si="26"/>
        <v>0.72193942121104604</v>
      </c>
      <c r="R91" s="1">
        <v>54</v>
      </c>
    </row>
    <row r="92" spans="1:18" ht="24" customHeight="1">
      <c r="A92" s="81">
        <v>42</v>
      </c>
      <c r="B92" s="31" t="s">
        <v>88</v>
      </c>
      <c r="C92" s="104">
        <v>274659.09999999998</v>
      </c>
      <c r="D92" s="104">
        <v>274776.09999999998</v>
      </c>
      <c r="E92" s="104">
        <f t="shared" si="19"/>
        <v>117</v>
      </c>
      <c r="F92" s="110">
        <v>18640</v>
      </c>
      <c r="G92" s="111">
        <v>149.99</v>
      </c>
      <c r="H92" s="10">
        <f t="shared" si="20"/>
        <v>0.78005200346689774</v>
      </c>
      <c r="I92" s="104">
        <v>274875</v>
      </c>
      <c r="J92" s="106">
        <f t="shared" si="21"/>
        <v>98.900000000023283</v>
      </c>
      <c r="K92" s="110">
        <v>18660</v>
      </c>
      <c r="L92" s="107">
        <f t="shared" si="22"/>
        <v>20</v>
      </c>
      <c r="M92" s="111">
        <v>122</v>
      </c>
      <c r="N92" s="28">
        <f t="shared" si="23"/>
        <v>0.8106557377051089</v>
      </c>
      <c r="O92" s="84">
        <f t="shared" si="24"/>
        <v>215.90000000002328</v>
      </c>
      <c r="P92" s="79">
        <f t="shared" si="25"/>
        <v>271.99</v>
      </c>
      <c r="Q92" s="34">
        <f t="shared" si="26"/>
        <v>0.79377918305828621</v>
      </c>
      <c r="R92" s="1">
        <v>49</v>
      </c>
    </row>
    <row r="93" spans="1:18" ht="24" customHeight="1">
      <c r="A93" s="81">
        <v>43</v>
      </c>
      <c r="B93" s="31" t="s">
        <v>89</v>
      </c>
      <c r="C93" s="35">
        <v>267008.5</v>
      </c>
      <c r="D93" s="35">
        <v>267127.5</v>
      </c>
      <c r="E93" s="104">
        <f t="shared" si="19"/>
        <v>119</v>
      </c>
      <c r="F93" s="110">
        <v>18296</v>
      </c>
      <c r="G93" s="111">
        <v>193</v>
      </c>
      <c r="H93" s="10">
        <f t="shared" si="20"/>
        <v>0.61658031088082899</v>
      </c>
      <c r="I93" s="35">
        <v>267237.7</v>
      </c>
      <c r="J93" s="106">
        <f t="shared" si="21"/>
        <v>110.20000000001164</v>
      </c>
      <c r="K93" s="110">
        <v>18315</v>
      </c>
      <c r="L93" s="107">
        <f t="shared" si="22"/>
        <v>19</v>
      </c>
      <c r="M93" s="111">
        <v>160</v>
      </c>
      <c r="N93" s="28">
        <f t="shared" si="23"/>
        <v>0.6887500000000728</v>
      </c>
      <c r="O93" s="84">
        <f t="shared" si="24"/>
        <v>229.20000000001164</v>
      </c>
      <c r="P93" s="79">
        <f t="shared" si="25"/>
        <v>353</v>
      </c>
      <c r="Q93" s="34">
        <f t="shared" si="26"/>
        <v>0.64929178470258253</v>
      </c>
      <c r="R93" s="1">
        <v>30</v>
      </c>
    </row>
    <row r="94" spans="1:18" ht="24" customHeight="1">
      <c r="A94" s="81">
        <v>44</v>
      </c>
      <c r="B94" s="31" t="s">
        <v>90</v>
      </c>
      <c r="C94" s="104">
        <v>244415.1</v>
      </c>
      <c r="D94" s="104">
        <v>244521.4</v>
      </c>
      <c r="E94" s="104">
        <f t="shared" si="19"/>
        <v>106.29999999998836</v>
      </c>
      <c r="F94" s="110">
        <v>17618</v>
      </c>
      <c r="G94" s="111">
        <v>155.09</v>
      </c>
      <c r="H94" s="10">
        <f>IFERROR(E94/G94,0)</f>
        <v>0.68540847249976378</v>
      </c>
      <c r="I94" s="104">
        <v>244641.2</v>
      </c>
      <c r="J94" s="106">
        <f t="shared" si="21"/>
        <v>119.80000000001746</v>
      </c>
      <c r="K94" s="110">
        <v>17640</v>
      </c>
      <c r="L94" s="107">
        <f t="shared" si="22"/>
        <v>22</v>
      </c>
      <c r="M94" s="111">
        <v>174</v>
      </c>
      <c r="N94" s="28">
        <f t="shared" si="23"/>
        <v>0.68850574712653712</v>
      </c>
      <c r="O94" s="84">
        <f t="shared" si="24"/>
        <v>226.10000000000582</v>
      </c>
      <c r="P94" s="79">
        <f t="shared" si="25"/>
        <v>329.09000000000003</v>
      </c>
      <c r="Q94" s="34">
        <f t="shared" si="26"/>
        <v>0.68704609681243978</v>
      </c>
      <c r="R94" s="1">
        <v>40</v>
      </c>
    </row>
    <row r="95" spans="1:18" ht="24" customHeight="1">
      <c r="A95" s="81">
        <v>45</v>
      </c>
      <c r="B95" s="31" t="s">
        <v>91</v>
      </c>
      <c r="C95" s="104">
        <v>254153.9</v>
      </c>
      <c r="D95" s="104">
        <v>254153.9</v>
      </c>
      <c r="E95" s="104">
        <f t="shared" si="19"/>
        <v>0</v>
      </c>
      <c r="F95" s="110">
        <v>17731</v>
      </c>
      <c r="G95" s="111">
        <v>0</v>
      </c>
      <c r="H95" s="10">
        <f t="shared" si="20"/>
        <v>0</v>
      </c>
      <c r="I95" s="104">
        <v>254153.9</v>
      </c>
      <c r="J95" s="106">
        <f t="shared" si="21"/>
        <v>0</v>
      </c>
      <c r="K95" s="110">
        <v>17731</v>
      </c>
      <c r="L95" s="107">
        <f t="shared" si="22"/>
        <v>0</v>
      </c>
      <c r="M95" s="111">
        <v>0</v>
      </c>
      <c r="N95" s="28">
        <f t="shared" si="23"/>
        <v>0</v>
      </c>
      <c r="O95" s="84">
        <f t="shared" si="24"/>
        <v>0</v>
      </c>
      <c r="P95" s="79">
        <f t="shared" si="25"/>
        <v>0</v>
      </c>
      <c r="Q95" s="34">
        <f t="shared" si="26"/>
        <v>0</v>
      </c>
      <c r="R95" s="1">
        <v>0</v>
      </c>
    </row>
    <row r="96" spans="1:18" ht="24" customHeight="1">
      <c r="A96" s="81">
        <v>46</v>
      </c>
      <c r="B96" s="31" t="s">
        <v>92</v>
      </c>
      <c r="C96" s="35">
        <v>238437.4</v>
      </c>
      <c r="D96" s="35">
        <v>238570.9</v>
      </c>
      <c r="E96" s="104">
        <f>D96-C96</f>
        <v>133.5</v>
      </c>
      <c r="F96" s="110">
        <v>17268</v>
      </c>
      <c r="G96" s="111">
        <v>203</v>
      </c>
      <c r="H96" s="10">
        <f t="shared" si="20"/>
        <v>0.6576354679802956</v>
      </c>
      <c r="I96" s="35">
        <v>238658.1</v>
      </c>
      <c r="J96" s="106">
        <f>I96-D96</f>
        <v>87.200000000011642</v>
      </c>
      <c r="K96" s="110">
        <v>17289</v>
      </c>
      <c r="L96" s="107">
        <f t="shared" si="22"/>
        <v>21</v>
      </c>
      <c r="M96" s="111">
        <v>127</v>
      </c>
      <c r="N96" s="28">
        <f t="shared" si="23"/>
        <v>0.6866141732284381</v>
      </c>
      <c r="O96" s="84">
        <f t="shared" si="24"/>
        <v>220.70000000001164</v>
      </c>
      <c r="P96" s="79">
        <f>G96+M96</f>
        <v>330</v>
      </c>
      <c r="Q96" s="34">
        <f t="shared" si="26"/>
        <v>0.66878787878791401</v>
      </c>
      <c r="R96" s="1">
        <v>39</v>
      </c>
    </row>
    <row r="97" spans="1:19" ht="24" customHeight="1">
      <c r="A97" s="81">
        <v>47</v>
      </c>
      <c r="B97" s="31" t="s">
        <v>93</v>
      </c>
      <c r="C97" s="104">
        <v>246802</v>
      </c>
      <c r="D97" s="104">
        <v>246943</v>
      </c>
      <c r="E97" s="104">
        <f>D97-C97</f>
        <v>141</v>
      </c>
      <c r="F97" s="110">
        <v>16742</v>
      </c>
      <c r="G97" s="111">
        <v>200</v>
      </c>
      <c r="H97" s="10">
        <f t="shared" si="20"/>
        <v>0.70499999999999996</v>
      </c>
      <c r="I97" s="104">
        <v>247064.4</v>
      </c>
      <c r="J97" s="106">
        <f>I97-D97</f>
        <v>121.39999999999418</v>
      </c>
      <c r="K97" s="110">
        <v>16761</v>
      </c>
      <c r="L97" s="107">
        <f t="shared" si="22"/>
        <v>19</v>
      </c>
      <c r="M97" s="111">
        <v>186</v>
      </c>
      <c r="N97" s="28">
        <f t="shared" si="23"/>
        <v>0.65268817204297946</v>
      </c>
      <c r="O97" s="84">
        <f t="shared" si="24"/>
        <v>262.39999999999418</v>
      </c>
      <c r="P97" s="79">
        <f t="shared" si="25"/>
        <v>386</v>
      </c>
      <c r="Q97" s="34">
        <f t="shared" si="26"/>
        <v>0.67979274611397456</v>
      </c>
      <c r="R97" s="1">
        <v>35</v>
      </c>
      <c r="S97" t="s">
        <v>94</v>
      </c>
    </row>
    <row r="98" spans="1:19" ht="24" customHeight="1">
      <c r="A98" s="81">
        <v>48</v>
      </c>
      <c r="B98" s="31" t="s">
        <v>95</v>
      </c>
      <c r="C98" s="104">
        <v>244071.3</v>
      </c>
      <c r="D98" s="104">
        <v>244172.1</v>
      </c>
      <c r="E98" s="104">
        <f t="shared" si="19"/>
        <v>100.80000000001746</v>
      </c>
      <c r="F98" s="110">
        <v>18189</v>
      </c>
      <c r="G98" s="111">
        <v>150</v>
      </c>
      <c r="H98" s="10">
        <f t="shared" si="20"/>
        <v>0.67200000000011639</v>
      </c>
      <c r="I98" s="104">
        <v>244224</v>
      </c>
      <c r="J98" s="106">
        <f t="shared" si="21"/>
        <v>51.899999999994179</v>
      </c>
      <c r="K98" s="110">
        <v>18205</v>
      </c>
      <c r="L98" s="107">
        <f t="shared" si="22"/>
        <v>16</v>
      </c>
      <c r="M98" s="111">
        <v>82</v>
      </c>
      <c r="N98" s="28">
        <f t="shared" si="23"/>
        <v>0.63292682926822175</v>
      </c>
      <c r="O98" s="84">
        <f t="shared" si="24"/>
        <v>152.70000000001164</v>
      </c>
      <c r="P98" s="79">
        <f t="shared" si="25"/>
        <v>232</v>
      </c>
      <c r="Q98" s="34">
        <f t="shared" si="26"/>
        <v>0.65818965517246397</v>
      </c>
      <c r="R98" s="1">
        <v>10</v>
      </c>
    </row>
    <row r="99" spans="1:19" ht="24" customHeight="1">
      <c r="A99" s="81">
        <v>49</v>
      </c>
      <c r="B99" s="31" t="s">
        <v>96</v>
      </c>
      <c r="C99" s="35">
        <v>248527.9</v>
      </c>
      <c r="D99" s="35">
        <v>248655.9</v>
      </c>
      <c r="E99" s="104">
        <f t="shared" si="19"/>
        <v>128</v>
      </c>
      <c r="F99" s="110">
        <v>17867</v>
      </c>
      <c r="G99" s="111">
        <v>180.55</v>
      </c>
      <c r="H99" s="10">
        <f>IFERROR(E99/G99,0)</f>
        <v>0.70894489061201882</v>
      </c>
      <c r="I99" s="35">
        <v>248749.5</v>
      </c>
      <c r="J99" s="106">
        <f t="shared" si="21"/>
        <v>93.600000000005821</v>
      </c>
      <c r="K99" s="110">
        <v>17886</v>
      </c>
      <c r="L99" s="107">
        <f t="shared" si="22"/>
        <v>19</v>
      </c>
      <c r="M99" s="111">
        <v>142</v>
      </c>
      <c r="N99" s="28">
        <f t="shared" si="23"/>
        <v>0.65915492957750577</v>
      </c>
      <c r="O99" s="84">
        <f t="shared" si="24"/>
        <v>221.60000000000582</v>
      </c>
      <c r="P99" s="79">
        <f t="shared" si="25"/>
        <v>322.55</v>
      </c>
      <c r="Q99" s="34">
        <f t="shared" si="26"/>
        <v>0.68702526740042102</v>
      </c>
      <c r="R99" s="1">
        <v>48</v>
      </c>
    </row>
    <row r="100" spans="1:19" ht="24" customHeight="1">
      <c r="A100" s="81">
        <v>50</v>
      </c>
      <c r="B100" s="31" t="s">
        <v>97</v>
      </c>
      <c r="C100" s="104">
        <v>237252.3</v>
      </c>
      <c r="D100" s="104">
        <v>237252.3</v>
      </c>
      <c r="E100" s="104">
        <f t="shared" si="19"/>
        <v>0</v>
      </c>
      <c r="F100" s="110">
        <v>16386</v>
      </c>
      <c r="G100" s="111">
        <v>0</v>
      </c>
      <c r="H100" s="10">
        <f t="shared" si="20"/>
        <v>0</v>
      </c>
      <c r="I100" s="104">
        <v>237393.3</v>
      </c>
      <c r="J100" s="106">
        <f t="shared" si="21"/>
        <v>141</v>
      </c>
      <c r="K100" s="110">
        <v>16398</v>
      </c>
      <c r="L100" s="107">
        <f t="shared" si="22"/>
        <v>12</v>
      </c>
      <c r="M100" s="111">
        <v>200</v>
      </c>
      <c r="N100" s="28">
        <f t="shared" si="23"/>
        <v>0.70499999999999996</v>
      </c>
      <c r="O100" s="84">
        <f t="shared" si="24"/>
        <v>141</v>
      </c>
      <c r="P100" s="79">
        <f t="shared" si="25"/>
        <v>200</v>
      </c>
      <c r="Q100" s="34">
        <f t="shared" si="26"/>
        <v>0.70499999999999996</v>
      </c>
      <c r="R100" s="1">
        <v>24</v>
      </c>
    </row>
    <row r="101" spans="1:19" ht="24" customHeight="1">
      <c r="A101" s="81">
        <v>51</v>
      </c>
      <c r="B101" s="121" t="s">
        <v>166</v>
      </c>
      <c r="C101" s="104">
        <v>205258</v>
      </c>
      <c r="D101" s="104">
        <v>205404</v>
      </c>
      <c r="E101" s="118">
        <f t="shared" si="19"/>
        <v>146</v>
      </c>
      <c r="F101" s="110">
        <v>17473</v>
      </c>
      <c r="G101" s="111">
        <v>80</v>
      </c>
      <c r="H101" s="55">
        <f t="shared" si="20"/>
        <v>1.825</v>
      </c>
      <c r="I101" s="104">
        <v>205431</v>
      </c>
      <c r="J101" s="119">
        <f t="shared" si="21"/>
        <v>27</v>
      </c>
      <c r="K101" s="110">
        <v>17485</v>
      </c>
      <c r="L101" s="120">
        <f t="shared" si="22"/>
        <v>12</v>
      </c>
      <c r="M101" s="111">
        <v>146</v>
      </c>
      <c r="N101" s="28">
        <f t="shared" si="23"/>
        <v>0.18493150684931506</v>
      </c>
      <c r="O101" s="58">
        <f t="shared" si="24"/>
        <v>173</v>
      </c>
      <c r="P101" s="79">
        <f t="shared" si="25"/>
        <v>226</v>
      </c>
      <c r="Q101" s="34">
        <f t="shared" si="26"/>
        <v>0.76548672566371678</v>
      </c>
      <c r="R101" s="1">
        <v>20</v>
      </c>
    </row>
    <row r="102" spans="1:19" ht="24" customHeight="1">
      <c r="A102" s="81">
        <v>52</v>
      </c>
      <c r="B102" s="121" t="s">
        <v>167</v>
      </c>
      <c r="C102" s="104">
        <v>186406</v>
      </c>
      <c r="D102" s="104">
        <v>186406</v>
      </c>
      <c r="E102" s="118">
        <f t="shared" si="19"/>
        <v>0</v>
      </c>
      <c r="F102" s="110">
        <v>16317</v>
      </c>
      <c r="G102" s="111">
        <v>0</v>
      </c>
      <c r="H102" s="55">
        <f t="shared" si="20"/>
        <v>0</v>
      </c>
      <c r="I102" s="104">
        <v>186406</v>
      </c>
      <c r="J102" s="119">
        <f t="shared" si="21"/>
        <v>0</v>
      </c>
      <c r="K102" s="110">
        <v>16317</v>
      </c>
      <c r="L102" s="120">
        <f t="shared" si="22"/>
        <v>0</v>
      </c>
      <c r="M102" s="111">
        <v>0</v>
      </c>
      <c r="N102" s="28">
        <f t="shared" si="23"/>
        <v>0</v>
      </c>
      <c r="O102" s="58">
        <f t="shared" si="24"/>
        <v>0</v>
      </c>
      <c r="P102" s="79">
        <f t="shared" si="25"/>
        <v>0</v>
      </c>
      <c r="Q102" s="34">
        <f t="shared" si="26"/>
        <v>0</v>
      </c>
      <c r="R102" s="1">
        <v>0</v>
      </c>
    </row>
    <row r="103" spans="1:19" ht="24" customHeight="1">
      <c r="A103" s="81">
        <v>53</v>
      </c>
      <c r="B103" s="121" t="s">
        <v>168</v>
      </c>
      <c r="C103" s="104">
        <v>192135</v>
      </c>
      <c r="D103" s="104">
        <v>192275</v>
      </c>
      <c r="E103" s="118">
        <f t="shared" si="19"/>
        <v>140</v>
      </c>
      <c r="F103" s="110">
        <v>17140</v>
      </c>
      <c r="G103" s="111">
        <v>191.38</v>
      </c>
      <c r="H103" s="55">
        <f t="shared" si="20"/>
        <v>0.73152889539136801</v>
      </c>
      <c r="I103" s="104">
        <v>192384</v>
      </c>
      <c r="J103" s="119">
        <f t="shared" si="21"/>
        <v>109</v>
      </c>
      <c r="K103" s="110">
        <v>17161</v>
      </c>
      <c r="L103" s="120">
        <f t="shared" si="22"/>
        <v>21</v>
      </c>
      <c r="M103" s="111">
        <v>138</v>
      </c>
      <c r="N103" s="28">
        <f t="shared" si="23"/>
        <v>0.78985507246376807</v>
      </c>
      <c r="O103" s="58">
        <f t="shared" si="24"/>
        <v>249</v>
      </c>
      <c r="P103" s="79">
        <f t="shared" si="25"/>
        <v>329.38</v>
      </c>
      <c r="Q103" s="34">
        <f t="shared" si="26"/>
        <v>0.75596575384054887</v>
      </c>
      <c r="R103" s="1">
        <v>34</v>
      </c>
    </row>
    <row r="104" spans="1:19" ht="24" customHeight="1">
      <c r="A104" s="81">
        <v>54</v>
      </c>
      <c r="B104" s="121" t="s">
        <v>169</v>
      </c>
      <c r="C104" s="104">
        <v>196251</v>
      </c>
      <c r="D104" s="104">
        <v>196344</v>
      </c>
      <c r="E104" s="118">
        <f t="shared" si="19"/>
        <v>93</v>
      </c>
      <c r="F104" s="110">
        <v>16624</v>
      </c>
      <c r="G104" s="111">
        <v>155</v>
      </c>
      <c r="H104" s="55">
        <f t="shared" si="20"/>
        <v>0.6</v>
      </c>
      <c r="I104" s="104">
        <v>196486</v>
      </c>
      <c r="J104" s="119">
        <f t="shared" si="21"/>
        <v>142</v>
      </c>
      <c r="K104" s="110">
        <v>16645</v>
      </c>
      <c r="L104" s="120">
        <f t="shared" si="22"/>
        <v>21</v>
      </c>
      <c r="M104" s="111">
        <v>239</v>
      </c>
      <c r="N104" s="28">
        <f t="shared" si="23"/>
        <v>0.59414225941422594</v>
      </c>
      <c r="O104" s="58">
        <f t="shared" si="24"/>
        <v>235</v>
      </c>
      <c r="P104" s="79">
        <f t="shared" si="25"/>
        <v>394</v>
      </c>
      <c r="Q104" s="34">
        <f t="shared" si="26"/>
        <v>0.59644670050761417</v>
      </c>
      <c r="R104" s="1">
        <v>52</v>
      </c>
    </row>
    <row r="105" spans="1:19" ht="24" customHeight="1">
      <c r="A105" s="81">
        <v>55</v>
      </c>
      <c r="B105" s="121" t="s">
        <v>104</v>
      </c>
      <c r="C105" s="104">
        <v>71001.2</v>
      </c>
      <c r="D105" s="104">
        <v>71182.8</v>
      </c>
      <c r="E105" s="118">
        <f t="shared" si="19"/>
        <v>181.60000000000582</v>
      </c>
      <c r="F105" s="110">
        <v>4801</v>
      </c>
      <c r="G105" s="111">
        <v>250</v>
      </c>
      <c r="H105" s="78">
        <f t="shared" si="20"/>
        <v>0.72640000000002325</v>
      </c>
      <c r="I105" s="104">
        <v>71308.7</v>
      </c>
      <c r="J105" s="112">
        <f t="shared" si="21"/>
        <v>125.89999999999418</v>
      </c>
      <c r="K105" s="110">
        <v>4823</v>
      </c>
      <c r="L105" s="107">
        <f t="shared" si="22"/>
        <v>22</v>
      </c>
      <c r="M105" s="111">
        <v>160</v>
      </c>
      <c r="N105" s="28">
        <f t="shared" si="23"/>
        <v>0.78687499999996358</v>
      </c>
      <c r="O105" s="58">
        <f t="shared" si="24"/>
        <v>307.5</v>
      </c>
      <c r="P105" s="79">
        <f t="shared" si="25"/>
        <v>410</v>
      </c>
      <c r="Q105" s="34">
        <f t="shared" si="26"/>
        <v>0.75</v>
      </c>
      <c r="R105" s="1">
        <v>38</v>
      </c>
    </row>
    <row r="106" spans="1:19" ht="24" customHeight="1">
      <c r="A106" s="81">
        <v>56</v>
      </c>
      <c r="B106" s="121" t="s">
        <v>105</v>
      </c>
      <c r="C106" s="35">
        <v>69863.5</v>
      </c>
      <c r="D106" s="35">
        <v>70032.899999999994</v>
      </c>
      <c r="E106" s="122">
        <f t="shared" si="19"/>
        <v>169.39999999999418</v>
      </c>
      <c r="F106" s="110">
        <v>4823</v>
      </c>
      <c r="G106" s="111">
        <v>255</v>
      </c>
      <c r="H106" s="78">
        <f t="shared" si="20"/>
        <v>0.6643137254901732</v>
      </c>
      <c r="I106" s="35">
        <v>70187.399999999994</v>
      </c>
      <c r="J106" s="112">
        <f t="shared" si="21"/>
        <v>154.5</v>
      </c>
      <c r="K106" s="110">
        <v>4844</v>
      </c>
      <c r="L106" s="107">
        <f t="shared" si="22"/>
        <v>21</v>
      </c>
      <c r="M106" s="111">
        <v>186</v>
      </c>
      <c r="N106" s="28">
        <f t="shared" si="23"/>
        <v>0.83064516129032262</v>
      </c>
      <c r="O106" s="58">
        <f t="shared" si="24"/>
        <v>323.89999999999418</v>
      </c>
      <c r="P106" s="79">
        <f t="shared" si="25"/>
        <v>441</v>
      </c>
      <c r="Q106" s="34">
        <f t="shared" si="26"/>
        <v>0.73446712018139271</v>
      </c>
      <c r="R106" s="1">
        <v>20</v>
      </c>
    </row>
    <row r="107" spans="1:19" ht="24" customHeight="1">
      <c r="A107" s="81">
        <v>57</v>
      </c>
      <c r="B107" s="121" t="s">
        <v>106</v>
      </c>
      <c r="C107" s="104">
        <v>67749.7</v>
      </c>
      <c r="D107" s="104">
        <v>67943.8</v>
      </c>
      <c r="E107" s="122">
        <f t="shared" si="19"/>
        <v>194.10000000000582</v>
      </c>
      <c r="F107" s="110">
        <v>4841</v>
      </c>
      <c r="G107" s="111">
        <v>266.67</v>
      </c>
      <c r="H107" s="78">
        <f t="shared" si="20"/>
        <v>0.72786590167625087</v>
      </c>
      <c r="I107" s="104">
        <v>68051.8</v>
      </c>
      <c r="J107" s="112">
        <f t="shared" si="21"/>
        <v>108</v>
      </c>
      <c r="K107" s="110">
        <v>4862</v>
      </c>
      <c r="L107" s="107">
        <f t="shared" si="22"/>
        <v>21</v>
      </c>
      <c r="M107" s="111">
        <v>123</v>
      </c>
      <c r="N107" s="28">
        <f t="shared" si="23"/>
        <v>0.87804878048780488</v>
      </c>
      <c r="O107" s="58">
        <f t="shared" si="24"/>
        <v>302.10000000000582</v>
      </c>
      <c r="P107" s="79">
        <f t="shared" si="25"/>
        <v>389.67</v>
      </c>
      <c r="Q107" s="34">
        <f t="shared" si="26"/>
        <v>0.77527138347834268</v>
      </c>
      <c r="R107" s="1">
        <v>33</v>
      </c>
    </row>
    <row r="108" spans="1:19" ht="24" customHeight="1">
      <c r="A108" s="81">
        <v>58</v>
      </c>
      <c r="B108" s="121" t="s">
        <v>107</v>
      </c>
      <c r="C108" s="104">
        <v>69956.2</v>
      </c>
      <c r="D108" s="104">
        <v>70140.899999999994</v>
      </c>
      <c r="E108" s="122">
        <f t="shared" si="19"/>
        <v>184.69999999999709</v>
      </c>
      <c r="F108" s="110">
        <v>4843</v>
      </c>
      <c r="G108" s="111">
        <v>261</v>
      </c>
      <c r="H108" s="78">
        <f t="shared" si="20"/>
        <v>0.70766283524903095</v>
      </c>
      <c r="I108" s="104">
        <v>70257.600000000006</v>
      </c>
      <c r="J108" s="112">
        <f t="shared" si="21"/>
        <v>116.70000000001164</v>
      </c>
      <c r="K108" s="110">
        <v>4863</v>
      </c>
      <c r="L108" s="107">
        <f t="shared" si="22"/>
        <v>20</v>
      </c>
      <c r="M108" s="111">
        <v>142</v>
      </c>
      <c r="N108" s="28">
        <f t="shared" si="23"/>
        <v>0.82183098591557491</v>
      </c>
      <c r="O108" s="58">
        <f t="shared" si="24"/>
        <v>301.40000000000873</v>
      </c>
      <c r="P108" s="79">
        <f t="shared" si="25"/>
        <v>403</v>
      </c>
      <c r="Q108" s="34">
        <f t="shared" si="26"/>
        <v>0.74789081885858244</v>
      </c>
      <c r="R108" s="1">
        <v>33</v>
      </c>
    </row>
    <row r="109" spans="1:19" ht="24" customHeight="1">
      <c r="A109" s="81">
        <v>59</v>
      </c>
      <c r="B109" s="121" t="s">
        <v>108</v>
      </c>
      <c r="C109" s="104">
        <v>69073.5</v>
      </c>
      <c r="D109" s="104">
        <v>69276.399999999994</v>
      </c>
      <c r="E109" s="122">
        <f t="shared" si="19"/>
        <v>202.89999999999418</v>
      </c>
      <c r="F109" s="110">
        <v>4814</v>
      </c>
      <c r="G109" s="111">
        <v>284.95</v>
      </c>
      <c r="H109" s="78">
        <f t="shared" si="20"/>
        <v>0.71205474644672462</v>
      </c>
      <c r="I109" s="104">
        <v>69365.3</v>
      </c>
      <c r="J109" s="112">
        <f t="shared" si="21"/>
        <v>88.900000000008731</v>
      </c>
      <c r="K109" s="110">
        <v>4833</v>
      </c>
      <c r="L109" s="107">
        <f t="shared" si="22"/>
        <v>19</v>
      </c>
      <c r="M109" s="111">
        <v>109</v>
      </c>
      <c r="N109" s="28">
        <f t="shared" si="23"/>
        <v>0.81559633027530942</v>
      </c>
      <c r="O109" s="58">
        <f t="shared" si="24"/>
        <v>291.80000000000291</v>
      </c>
      <c r="P109" s="79">
        <f t="shared" si="25"/>
        <v>393.95</v>
      </c>
      <c r="Q109" s="34">
        <f t="shared" si="26"/>
        <v>0.7407031349156058</v>
      </c>
      <c r="R109" s="1">
        <v>46</v>
      </c>
    </row>
    <row r="110" spans="1:19" ht="24" customHeight="1">
      <c r="A110" s="81">
        <v>60</v>
      </c>
      <c r="B110" s="121" t="s">
        <v>109</v>
      </c>
      <c r="C110" s="104">
        <v>70903.8</v>
      </c>
      <c r="D110" s="104">
        <v>71090.7</v>
      </c>
      <c r="E110" s="118">
        <f t="shared" si="19"/>
        <v>186.89999999999418</v>
      </c>
      <c r="F110" s="110">
        <v>4901</v>
      </c>
      <c r="G110" s="111">
        <v>247.43</v>
      </c>
      <c r="H110" s="55">
        <f t="shared" si="20"/>
        <v>0.75536515378084379</v>
      </c>
      <c r="I110" s="104">
        <v>71331.3</v>
      </c>
      <c r="J110" s="119">
        <f t="shared" si="21"/>
        <v>240.60000000000582</v>
      </c>
      <c r="K110" s="110">
        <v>4922</v>
      </c>
      <c r="L110" s="120">
        <f t="shared" si="22"/>
        <v>21</v>
      </c>
      <c r="M110" s="111">
        <v>177</v>
      </c>
      <c r="N110" s="28">
        <f t="shared" si="23"/>
        <v>1.3593220338983381</v>
      </c>
      <c r="O110" s="58">
        <f t="shared" si="24"/>
        <v>427.5</v>
      </c>
      <c r="P110" s="79">
        <f t="shared" si="25"/>
        <v>424.43</v>
      </c>
      <c r="Q110" s="34">
        <f t="shared" si="26"/>
        <v>1.0072332304502509</v>
      </c>
      <c r="R110" s="1">
        <v>34</v>
      </c>
    </row>
    <row r="111" spans="1:19" ht="24" customHeight="1">
      <c r="A111" s="81">
        <v>61</v>
      </c>
      <c r="B111" s="121" t="s">
        <v>176</v>
      </c>
      <c r="C111" s="104">
        <v>52711.6</v>
      </c>
      <c r="D111" s="104">
        <v>52881.9</v>
      </c>
      <c r="E111" s="118">
        <f t="shared" si="19"/>
        <v>170.30000000000291</v>
      </c>
      <c r="F111" s="110">
        <v>4266</v>
      </c>
      <c r="G111" s="111">
        <v>270</v>
      </c>
      <c r="H111" s="55">
        <f t="shared" si="20"/>
        <v>0.63074074074075148</v>
      </c>
      <c r="I111" s="104">
        <v>52996.2</v>
      </c>
      <c r="J111" s="119">
        <f t="shared" si="21"/>
        <v>114.29999999999563</v>
      </c>
      <c r="K111" s="110">
        <v>4286</v>
      </c>
      <c r="L111" s="120">
        <f t="shared" si="22"/>
        <v>20</v>
      </c>
      <c r="M111" s="111">
        <v>133</v>
      </c>
      <c r="N111" s="28">
        <f t="shared" si="23"/>
        <v>0.85939849624056863</v>
      </c>
      <c r="O111" s="58">
        <f t="shared" si="24"/>
        <v>284.59999999999854</v>
      </c>
      <c r="P111" s="79">
        <f t="shared" si="25"/>
        <v>403</v>
      </c>
      <c r="Q111" s="34">
        <f t="shared" si="26"/>
        <v>0.70620347394540584</v>
      </c>
      <c r="R111" s="1">
        <v>37</v>
      </c>
    </row>
    <row r="112" spans="1:19" ht="24" customHeight="1">
      <c r="A112" s="81">
        <v>62</v>
      </c>
      <c r="B112" s="121" t="s">
        <v>177</v>
      </c>
      <c r="C112" s="104">
        <v>51711.8</v>
      </c>
      <c r="D112" s="104">
        <v>51891.1</v>
      </c>
      <c r="E112" s="118">
        <f t="shared" si="19"/>
        <v>179.29999999999563</v>
      </c>
      <c r="F112" s="110">
        <v>4302</v>
      </c>
      <c r="G112" s="111">
        <v>225.18</v>
      </c>
      <c r="H112" s="55">
        <f t="shared" si="20"/>
        <v>0.79625188737896624</v>
      </c>
      <c r="I112" s="104">
        <v>52023.6</v>
      </c>
      <c r="J112" s="119">
        <f t="shared" si="21"/>
        <v>132.5</v>
      </c>
      <c r="K112" s="110">
        <v>4322</v>
      </c>
      <c r="L112" s="120">
        <f t="shared" si="22"/>
        <v>20</v>
      </c>
      <c r="M112" s="111">
        <v>164</v>
      </c>
      <c r="N112" s="28">
        <f t="shared" si="23"/>
        <v>0.80792682926829273</v>
      </c>
      <c r="O112" s="58">
        <f t="shared" si="24"/>
        <v>311.79999999999563</v>
      </c>
      <c r="P112" s="79">
        <f t="shared" si="25"/>
        <v>389.18</v>
      </c>
      <c r="Q112" s="34">
        <f t="shared" si="26"/>
        <v>0.80117169433166047</v>
      </c>
      <c r="R112" s="1">
        <v>39</v>
      </c>
    </row>
    <row r="113" spans="1:18" ht="24" customHeight="1">
      <c r="A113" s="81">
        <v>63</v>
      </c>
      <c r="B113" s="121" t="s">
        <v>178</v>
      </c>
      <c r="C113" s="104">
        <v>50320.7</v>
      </c>
      <c r="D113" s="104">
        <v>50462.5</v>
      </c>
      <c r="E113" s="118">
        <f t="shared" si="19"/>
        <v>141.80000000000291</v>
      </c>
      <c r="F113" s="110">
        <v>4045</v>
      </c>
      <c r="G113" s="111">
        <v>210</v>
      </c>
      <c r="H113" s="55">
        <f t="shared" si="20"/>
        <v>0.67523809523810907</v>
      </c>
      <c r="I113" s="104">
        <v>50590.2</v>
      </c>
      <c r="J113" s="119">
        <f t="shared" si="21"/>
        <v>127.69999999999709</v>
      </c>
      <c r="K113" s="110">
        <v>4065</v>
      </c>
      <c r="L113" s="120">
        <f t="shared" si="22"/>
        <v>20</v>
      </c>
      <c r="M113" s="111">
        <v>172</v>
      </c>
      <c r="N113" s="28">
        <f t="shared" si="23"/>
        <v>0.74244186046509941</v>
      </c>
      <c r="O113" s="58">
        <f t="shared" si="24"/>
        <v>269.5</v>
      </c>
      <c r="P113" s="79">
        <f t="shared" si="25"/>
        <v>382</v>
      </c>
      <c r="Q113" s="34">
        <f t="shared" si="26"/>
        <v>0.70549738219895286</v>
      </c>
      <c r="R113" s="1">
        <v>34</v>
      </c>
    </row>
    <row r="114" spans="1:18" ht="24" customHeight="1">
      <c r="A114" s="81">
        <v>64</v>
      </c>
      <c r="B114" s="121" t="s">
        <v>179</v>
      </c>
      <c r="C114" s="104">
        <v>51259.8</v>
      </c>
      <c r="D114" s="104">
        <v>51446.5</v>
      </c>
      <c r="E114" s="118">
        <f t="shared" si="19"/>
        <v>186.69999999999709</v>
      </c>
      <c r="F114" s="110">
        <v>4209</v>
      </c>
      <c r="G114" s="111">
        <v>262.49</v>
      </c>
      <c r="H114" s="55">
        <f t="shared" si="20"/>
        <v>0.71126519105488617</v>
      </c>
      <c r="I114" s="104">
        <v>51561.8</v>
      </c>
      <c r="J114" s="119">
        <f t="shared" si="21"/>
        <v>115.30000000000291</v>
      </c>
      <c r="K114" s="110">
        <v>4230</v>
      </c>
      <c r="L114" s="120">
        <f t="shared" si="22"/>
        <v>21</v>
      </c>
      <c r="M114" s="111">
        <v>162</v>
      </c>
      <c r="N114" s="28">
        <f t="shared" si="23"/>
        <v>0.71172839506174634</v>
      </c>
      <c r="O114" s="58">
        <f t="shared" si="24"/>
        <v>302</v>
      </c>
      <c r="P114" s="79">
        <f t="shared" si="25"/>
        <v>424.49</v>
      </c>
      <c r="Q114" s="34">
        <f t="shared" si="26"/>
        <v>0.71144196565290108</v>
      </c>
      <c r="R114" s="1">
        <v>39</v>
      </c>
    </row>
    <row r="115" spans="1:18" ht="24" customHeight="1">
      <c r="A115" s="81">
        <v>65</v>
      </c>
      <c r="B115" s="121" t="s">
        <v>180</v>
      </c>
      <c r="C115" s="104">
        <v>51702.7</v>
      </c>
      <c r="D115" s="104">
        <v>51702.7</v>
      </c>
      <c r="E115" s="118">
        <f t="shared" si="19"/>
        <v>0</v>
      </c>
      <c r="F115" s="110">
        <v>4170</v>
      </c>
      <c r="G115" s="111">
        <v>0</v>
      </c>
      <c r="H115" s="55">
        <f t="shared" si="20"/>
        <v>0</v>
      </c>
      <c r="I115" s="104">
        <v>51894.1</v>
      </c>
      <c r="J115" s="119">
        <f t="shared" si="21"/>
        <v>191.40000000000146</v>
      </c>
      <c r="K115" s="110">
        <v>4183</v>
      </c>
      <c r="L115" s="120">
        <f t="shared" si="22"/>
        <v>13</v>
      </c>
      <c r="M115" s="111">
        <v>259</v>
      </c>
      <c r="N115" s="28">
        <f t="shared" si="23"/>
        <v>0.73899613899614458</v>
      </c>
      <c r="O115" s="58">
        <f t="shared" si="24"/>
        <v>191.40000000000146</v>
      </c>
      <c r="P115" s="79">
        <f t="shared" si="25"/>
        <v>259</v>
      </c>
      <c r="Q115" s="34">
        <f t="shared" si="26"/>
        <v>0.73899613899614458</v>
      </c>
      <c r="R115" s="1">
        <v>24</v>
      </c>
    </row>
    <row r="116" spans="1:18" ht="24" customHeight="1">
      <c r="A116" s="81">
        <v>66</v>
      </c>
      <c r="B116" s="121" t="s">
        <v>110</v>
      </c>
      <c r="C116" s="104">
        <v>34881.800000000003</v>
      </c>
      <c r="D116" s="104">
        <v>35053.1</v>
      </c>
      <c r="E116" s="118">
        <f t="shared" si="19"/>
        <v>171.29999999999563</v>
      </c>
      <c r="F116" s="110">
        <v>2818</v>
      </c>
      <c r="G116" s="111">
        <v>227.97</v>
      </c>
      <c r="H116" s="55">
        <f t="shared" si="20"/>
        <v>0.75141465982364186</v>
      </c>
      <c r="I116" s="104">
        <v>35167.699999999997</v>
      </c>
      <c r="J116" s="119">
        <f t="shared" si="21"/>
        <v>114.59999999999854</v>
      </c>
      <c r="K116" s="110">
        <v>2837</v>
      </c>
      <c r="L116" s="120">
        <f t="shared" si="22"/>
        <v>19</v>
      </c>
      <c r="M116" s="111">
        <v>143</v>
      </c>
      <c r="N116" s="28">
        <f t="shared" si="23"/>
        <v>0.8013986013985912</v>
      </c>
      <c r="O116" s="58">
        <f t="shared" si="24"/>
        <v>285.89999999999418</v>
      </c>
      <c r="P116" s="79">
        <f t="shared" si="25"/>
        <v>370.97</v>
      </c>
      <c r="Q116" s="34">
        <f t="shared" si="26"/>
        <v>0.7706822654122818</v>
      </c>
      <c r="R116" s="1">
        <v>32</v>
      </c>
    </row>
    <row r="117" spans="1:18" ht="22.2" customHeight="1">
      <c r="A117" s="123" t="s">
        <v>28</v>
      </c>
      <c r="B117" s="123"/>
      <c r="C117" s="40"/>
      <c r="D117" s="123"/>
      <c r="E117" s="124">
        <f>SUM(E51:E116)</f>
        <v>7399.2999999998574</v>
      </c>
      <c r="F117" s="125"/>
      <c r="G117" s="126">
        <f>SUM(G51:G116)</f>
        <v>10841.670000000002</v>
      </c>
      <c r="H117" s="39"/>
      <c r="I117" s="40"/>
      <c r="J117" s="40">
        <f>SUM(J51:J116)</f>
        <v>6575.7000000001208</v>
      </c>
      <c r="K117" s="127"/>
      <c r="L117" s="128">
        <f>SUM(L51:L116)</f>
        <v>1139.0800000000017</v>
      </c>
      <c r="M117" s="128">
        <f>SUM(M51:M116)</f>
        <v>9290.5</v>
      </c>
      <c r="N117" s="28">
        <f>IFERROR(J117/M117,0)</f>
        <v>0.70778752489103069</v>
      </c>
      <c r="O117" s="129">
        <f>SUM(O51:O116)</f>
        <v>13974.999999999978</v>
      </c>
      <c r="P117" s="79">
        <f>G117+M117</f>
        <v>20132.170000000002</v>
      </c>
      <c r="Q117" s="34">
        <f>IFERROR(O117/P117,0)</f>
        <v>0.69416262628419967</v>
      </c>
      <c r="R117" s="130">
        <f>SUM(R51:R116)</f>
        <v>2219</v>
      </c>
    </row>
    <row r="118" spans="1:18" ht="22.2" customHeight="1" thickBot="1">
      <c r="A118" s="206" t="s">
        <v>111</v>
      </c>
      <c r="B118" s="207"/>
      <c r="C118" s="207"/>
      <c r="D118" s="207"/>
      <c r="E118" s="207"/>
      <c r="F118" s="207"/>
      <c r="G118" s="207"/>
      <c r="H118" s="207"/>
      <c r="I118" s="207"/>
      <c r="J118" s="207"/>
      <c r="K118" s="207"/>
      <c r="L118" s="208"/>
      <c r="M118" s="131"/>
      <c r="N118" s="132"/>
      <c r="O118" s="133"/>
    </row>
    <row r="119" spans="1:18" ht="22.2" customHeight="1">
      <c r="A119" s="209" t="s">
        <v>3</v>
      </c>
      <c r="B119" s="211" t="s">
        <v>4</v>
      </c>
      <c r="C119" s="213" t="s">
        <v>5</v>
      </c>
      <c r="D119" s="214"/>
      <c r="E119" s="214"/>
      <c r="F119" s="214"/>
      <c r="G119" s="215"/>
      <c r="H119" s="216" t="s">
        <v>6</v>
      </c>
      <c r="I119" s="217"/>
      <c r="J119" s="217"/>
      <c r="K119" s="218"/>
      <c r="L119" s="48"/>
      <c r="M119" s="219" t="s">
        <v>7</v>
      </c>
      <c r="N119" s="194" t="s">
        <v>8</v>
      </c>
      <c r="O119" s="37"/>
    </row>
    <row r="120" spans="1:18" ht="27.6" customHeight="1" thickBot="1">
      <c r="A120" s="210"/>
      <c r="B120" s="212"/>
      <c r="C120" s="49" t="s">
        <v>11</v>
      </c>
      <c r="D120" s="49" t="s">
        <v>12</v>
      </c>
      <c r="E120" s="49" t="s">
        <v>13</v>
      </c>
      <c r="F120" s="6" t="s">
        <v>14</v>
      </c>
      <c r="G120" s="6" t="s">
        <v>8</v>
      </c>
      <c r="H120" s="49" t="s">
        <v>12</v>
      </c>
      <c r="I120" s="49" t="s">
        <v>13</v>
      </c>
      <c r="J120" s="49" t="s">
        <v>14</v>
      </c>
      <c r="K120" s="7" t="s">
        <v>8</v>
      </c>
      <c r="L120" s="50" t="s">
        <v>15</v>
      </c>
      <c r="M120" s="220"/>
      <c r="N120" s="195"/>
      <c r="O120" s="37"/>
    </row>
    <row r="121" spans="1:18" ht="22.2" customHeight="1">
      <c r="A121" s="76">
        <v>1</v>
      </c>
      <c r="B121" s="31" t="s">
        <v>112</v>
      </c>
      <c r="C121" s="35">
        <v>121832</v>
      </c>
      <c r="D121" s="35">
        <v>121832</v>
      </c>
      <c r="E121" s="17">
        <f>D121-C121</f>
        <v>0</v>
      </c>
      <c r="F121" s="33">
        <v>0</v>
      </c>
      <c r="G121" s="10">
        <f>IFERROR(F121/E121,0)</f>
        <v>0</v>
      </c>
      <c r="H121" s="35">
        <v>121832</v>
      </c>
      <c r="I121" s="19">
        <f>H121-D121</f>
        <v>0</v>
      </c>
      <c r="J121" s="33">
        <v>0</v>
      </c>
      <c r="K121" s="28">
        <f t="shared" ref="K121:K138" si="27">IFERROR(J121/I121,0)</f>
        <v>0</v>
      </c>
      <c r="L121" s="18">
        <f t="shared" ref="L121:M138" si="28">E121+I121</f>
        <v>0</v>
      </c>
      <c r="M121" s="22">
        <f>F121+J121</f>
        <v>0</v>
      </c>
      <c r="N121" s="71">
        <f>IFERROR(L121/M121,0)</f>
        <v>0</v>
      </c>
      <c r="O121" s="37"/>
    </row>
    <row r="122" spans="1:18" ht="22.2" customHeight="1">
      <c r="A122" s="76">
        <v>2</v>
      </c>
      <c r="B122" s="31" t="s">
        <v>113</v>
      </c>
      <c r="C122" s="35">
        <v>4298.33</v>
      </c>
      <c r="D122" s="35">
        <v>4298.33</v>
      </c>
      <c r="E122" s="17">
        <f t="shared" ref="E122:E138" si="29">D122-C122</f>
        <v>0</v>
      </c>
      <c r="F122" s="33">
        <v>0</v>
      </c>
      <c r="G122" s="10">
        <f t="shared" ref="G122:G138" si="30">IFERROR(F122/E122,0)</f>
        <v>0</v>
      </c>
      <c r="H122" s="35">
        <v>4298.33</v>
      </c>
      <c r="I122" s="19">
        <f>H122-D122</f>
        <v>0</v>
      </c>
      <c r="J122" s="33">
        <v>0</v>
      </c>
      <c r="K122" s="28">
        <f t="shared" si="27"/>
        <v>0</v>
      </c>
      <c r="L122" s="18">
        <f t="shared" si="28"/>
        <v>0</v>
      </c>
      <c r="M122" s="22">
        <f t="shared" si="28"/>
        <v>0</v>
      </c>
      <c r="N122" s="71">
        <f t="shared" ref="N122:N138" si="31">IFERROR(L122/M122,0)</f>
        <v>0</v>
      </c>
      <c r="O122" s="134"/>
    </row>
    <row r="123" spans="1:18" ht="22.2" customHeight="1">
      <c r="A123" s="76">
        <v>3</v>
      </c>
      <c r="B123" s="31" t="s">
        <v>114</v>
      </c>
      <c r="C123" s="35">
        <v>156.43</v>
      </c>
      <c r="D123" s="35">
        <v>168.1</v>
      </c>
      <c r="E123" s="17">
        <f t="shared" si="29"/>
        <v>11.669999999999987</v>
      </c>
      <c r="F123" s="33">
        <v>46.62</v>
      </c>
      <c r="G123" s="10">
        <f t="shared" si="30"/>
        <v>3.994858611825197</v>
      </c>
      <c r="H123" s="35">
        <v>168.1</v>
      </c>
      <c r="I123" s="19">
        <f t="shared" ref="I123:I138" si="32">H123-D123</f>
        <v>0</v>
      </c>
      <c r="J123" s="33">
        <v>0</v>
      </c>
      <c r="K123" s="28">
        <f t="shared" si="27"/>
        <v>0</v>
      </c>
      <c r="L123" s="18">
        <f t="shared" si="28"/>
        <v>11.669999999999987</v>
      </c>
      <c r="M123" s="22">
        <f t="shared" si="28"/>
        <v>46.62</v>
      </c>
      <c r="N123" s="71">
        <f t="shared" si="31"/>
        <v>0.25032175032175008</v>
      </c>
      <c r="O123" s="37"/>
    </row>
    <row r="124" spans="1:18" ht="22.2" customHeight="1">
      <c r="A124" s="76">
        <v>4</v>
      </c>
      <c r="B124" s="31" t="s">
        <v>115</v>
      </c>
      <c r="C124" s="136">
        <v>140707</v>
      </c>
      <c r="D124" s="136">
        <v>140707</v>
      </c>
      <c r="E124" s="17">
        <f t="shared" si="29"/>
        <v>0</v>
      </c>
      <c r="F124" s="33">
        <v>0</v>
      </c>
      <c r="G124" s="10">
        <f t="shared" si="30"/>
        <v>0</v>
      </c>
      <c r="H124" s="136">
        <v>140707</v>
      </c>
      <c r="I124" s="19">
        <f t="shared" si="32"/>
        <v>0</v>
      </c>
      <c r="J124" s="33">
        <v>0</v>
      </c>
      <c r="K124" s="28">
        <f t="shared" si="27"/>
        <v>0</v>
      </c>
      <c r="L124" s="18">
        <f t="shared" si="28"/>
        <v>0</v>
      </c>
      <c r="M124" s="22">
        <f t="shared" si="28"/>
        <v>0</v>
      </c>
      <c r="N124" s="71">
        <f t="shared" si="31"/>
        <v>0</v>
      </c>
      <c r="O124" s="137"/>
    </row>
    <row r="125" spans="1:18" ht="22.2" customHeight="1">
      <c r="A125" s="76">
        <v>5</v>
      </c>
      <c r="B125" s="31" t="s">
        <v>116</v>
      </c>
      <c r="C125" s="35">
        <v>44558.9</v>
      </c>
      <c r="D125" s="35">
        <v>44558.9</v>
      </c>
      <c r="E125" s="17">
        <f t="shared" si="29"/>
        <v>0</v>
      </c>
      <c r="F125" s="33">
        <v>0</v>
      </c>
      <c r="G125" s="10">
        <f t="shared" si="30"/>
        <v>0</v>
      </c>
      <c r="H125" s="35">
        <v>44558.9</v>
      </c>
      <c r="I125" s="19">
        <f t="shared" si="32"/>
        <v>0</v>
      </c>
      <c r="J125" s="33">
        <v>0</v>
      </c>
      <c r="K125" s="28">
        <f t="shared" si="27"/>
        <v>0</v>
      </c>
      <c r="L125" s="18">
        <f t="shared" si="28"/>
        <v>0</v>
      </c>
      <c r="M125" s="22">
        <f t="shared" si="28"/>
        <v>0</v>
      </c>
      <c r="N125" s="71">
        <f t="shared" si="31"/>
        <v>0</v>
      </c>
      <c r="O125" s="77"/>
    </row>
    <row r="126" spans="1:18" ht="22.2" customHeight="1">
      <c r="A126" s="76">
        <v>6</v>
      </c>
      <c r="B126" s="31" t="s">
        <v>117</v>
      </c>
      <c r="C126" s="35">
        <v>100493.6</v>
      </c>
      <c r="D126" s="35">
        <v>100493.6</v>
      </c>
      <c r="E126" s="17">
        <f t="shared" si="29"/>
        <v>0</v>
      </c>
      <c r="F126" s="33">
        <v>0</v>
      </c>
      <c r="G126" s="10">
        <f t="shared" si="30"/>
        <v>0</v>
      </c>
      <c r="H126" s="35">
        <v>100493.6</v>
      </c>
      <c r="I126" s="19">
        <f t="shared" si="32"/>
        <v>0</v>
      </c>
      <c r="J126" s="33">
        <v>0</v>
      </c>
      <c r="K126" s="28">
        <f t="shared" si="27"/>
        <v>0</v>
      </c>
      <c r="L126" s="18">
        <f t="shared" si="28"/>
        <v>0</v>
      </c>
      <c r="M126" s="22">
        <f t="shared" si="28"/>
        <v>0</v>
      </c>
      <c r="N126" s="71">
        <f t="shared" si="31"/>
        <v>0</v>
      </c>
      <c r="O126" s="37"/>
    </row>
    <row r="127" spans="1:18" ht="22.2" customHeight="1">
      <c r="A127" s="76">
        <v>7</v>
      </c>
      <c r="B127" s="31" t="s">
        <v>118</v>
      </c>
      <c r="C127" s="35">
        <v>152158.6</v>
      </c>
      <c r="D127" s="35">
        <v>152158.6</v>
      </c>
      <c r="E127" s="17">
        <f t="shared" si="29"/>
        <v>0</v>
      </c>
      <c r="F127" s="33">
        <v>0</v>
      </c>
      <c r="G127" s="10">
        <f t="shared" si="30"/>
        <v>0</v>
      </c>
      <c r="H127" s="35">
        <v>152158.6</v>
      </c>
      <c r="I127" s="19">
        <f t="shared" si="32"/>
        <v>0</v>
      </c>
      <c r="J127" s="33">
        <v>0</v>
      </c>
      <c r="K127" s="28">
        <f t="shared" si="27"/>
        <v>0</v>
      </c>
      <c r="L127" s="18">
        <f t="shared" si="28"/>
        <v>0</v>
      </c>
      <c r="M127" s="22">
        <f>F127+J127</f>
        <v>0</v>
      </c>
      <c r="N127" s="71">
        <f t="shared" si="31"/>
        <v>0</v>
      </c>
      <c r="O127" s="37"/>
    </row>
    <row r="128" spans="1:18" ht="22.2" customHeight="1">
      <c r="A128" s="76">
        <v>8</v>
      </c>
      <c r="B128" s="138" t="s">
        <v>119</v>
      </c>
      <c r="C128" s="136">
        <v>40650.800000000003</v>
      </c>
      <c r="D128" s="136">
        <v>40650.800000000003</v>
      </c>
      <c r="E128" s="17">
        <f t="shared" si="29"/>
        <v>0</v>
      </c>
      <c r="F128" s="33">
        <v>0</v>
      </c>
      <c r="G128" s="10">
        <f t="shared" si="30"/>
        <v>0</v>
      </c>
      <c r="H128" s="136">
        <v>40650.800000000003</v>
      </c>
      <c r="I128" s="19">
        <f t="shared" si="32"/>
        <v>0</v>
      </c>
      <c r="J128" s="33">
        <v>0</v>
      </c>
      <c r="K128" s="28">
        <f t="shared" si="27"/>
        <v>0</v>
      </c>
      <c r="L128" s="18">
        <f t="shared" si="28"/>
        <v>0</v>
      </c>
      <c r="M128" s="22">
        <f>F128+J128</f>
        <v>0</v>
      </c>
      <c r="N128" s="71">
        <f t="shared" si="31"/>
        <v>0</v>
      </c>
      <c r="O128" s="37"/>
    </row>
    <row r="129" spans="1:17" ht="22.2" customHeight="1">
      <c r="A129" s="76">
        <v>9</v>
      </c>
      <c r="B129" s="138" t="s">
        <v>120</v>
      </c>
      <c r="C129" s="35">
        <v>33807</v>
      </c>
      <c r="D129" s="35">
        <v>33807</v>
      </c>
      <c r="E129" s="17">
        <f t="shared" si="29"/>
        <v>0</v>
      </c>
      <c r="F129" s="33">
        <v>0</v>
      </c>
      <c r="G129" s="10">
        <f t="shared" si="30"/>
        <v>0</v>
      </c>
      <c r="H129" s="35">
        <v>33807</v>
      </c>
      <c r="I129" s="19">
        <f t="shared" si="32"/>
        <v>0</v>
      </c>
      <c r="J129" s="33">
        <v>0</v>
      </c>
      <c r="K129" s="28">
        <f t="shared" si="27"/>
        <v>0</v>
      </c>
      <c r="L129" s="18">
        <f t="shared" si="28"/>
        <v>0</v>
      </c>
      <c r="M129" s="22">
        <f t="shared" si="28"/>
        <v>0</v>
      </c>
      <c r="N129" s="71">
        <f t="shared" si="31"/>
        <v>0</v>
      </c>
      <c r="O129" s="37"/>
    </row>
    <row r="130" spans="1:17" ht="22.2" customHeight="1">
      <c r="A130" s="76">
        <v>10</v>
      </c>
      <c r="B130" s="31" t="s">
        <v>121</v>
      </c>
      <c r="C130" s="35">
        <v>155077</v>
      </c>
      <c r="D130" s="35">
        <v>155077</v>
      </c>
      <c r="E130" s="17">
        <f t="shared" si="29"/>
        <v>0</v>
      </c>
      <c r="F130" s="33">
        <v>0</v>
      </c>
      <c r="G130" s="10">
        <f t="shared" si="30"/>
        <v>0</v>
      </c>
      <c r="H130" s="35">
        <v>155370</v>
      </c>
      <c r="I130" s="19">
        <f t="shared" si="32"/>
        <v>293</v>
      </c>
      <c r="J130" s="33">
        <v>32</v>
      </c>
      <c r="K130" s="28">
        <f t="shared" si="27"/>
        <v>0.10921501706484642</v>
      </c>
      <c r="L130" s="18">
        <f t="shared" si="28"/>
        <v>293</v>
      </c>
      <c r="M130" s="22">
        <f t="shared" si="28"/>
        <v>32</v>
      </c>
      <c r="N130" s="71">
        <f t="shared" si="31"/>
        <v>9.15625</v>
      </c>
      <c r="O130" s="137"/>
    </row>
    <row r="131" spans="1:17" ht="23.4" customHeight="1">
      <c r="A131" s="76">
        <v>11</v>
      </c>
      <c r="B131" s="138" t="s">
        <v>122</v>
      </c>
      <c r="C131" s="35">
        <v>36866</v>
      </c>
      <c r="D131" s="35">
        <v>36866</v>
      </c>
      <c r="E131" s="17">
        <f t="shared" si="29"/>
        <v>0</v>
      </c>
      <c r="F131" s="33">
        <v>0</v>
      </c>
      <c r="G131" s="10">
        <f t="shared" si="30"/>
        <v>0</v>
      </c>
      <c r="H131" s="35">
        <v>36866</v>
      </c>
      <c r="I131" s="19">
        <f t="shared" si="32"/>
        <v>0</v>
      </c>
      <c r="J131" s="33">
        <v>0</v>
      </c>
      <c r="K131" s="28">
        <f t="shared" si="27"/>
        <v>0</v>
      </c>
      <c r="L131" s="18">
        <f t="shared" si="28"/>
        <v>0</v>
      </c>
      <c r="M131" s="22">
        <f t="shared" si="28"/>
        <v>0</v>
      </c>
      <c r="N131" s="71">
        <f t="shared" si="31"/>
        <v>0</v>
      </c>
      <c r="O131" s="37"/>
      <c r="Q131" s="38"/>
    </row>
    <row r="132" spans="1:17" ht="22.2" customHeight="1">
      <c r="A132" s="76">
        <v>12</v>
      </c>
      <c r="B132" s="138" t="s">
        <v>123</v>
      </c>
      <c r="C132" s="35">
        <v>16149</v>
      </c>
      <c r="D132" s="35">
        <v>16149</v>
      </c>
      <c r="E132" s="17">
        <f t="shared" si="29"/>
        <v>0</v>
      </c>
      <c r="F132" s="33">
        <v>0</v>
      </c>
      <c r="G132" s="78">
        <f t="shared" si="30"/>
        <v>0</v>
      </c>
      <c r="H132" s="35">
        <v>16149</v>
      </c>
      <c r="I132" s="19">
        <f t="shared" si="32"/>
        <v>0</v>
      </c>
      <c r="J132" s="33">
        <v>0</v>
      </c>
      <c r="K132" s="28">
        <f t="shared" si="27"/>
        <v>0</v>
      </c>
      <c r="L132" s="18">
        <f t="shared" si="28"/>
        <v>0</v>
      </c>
      <c r="M132" s="79">
        <f t="shared" si="28"/>
        <v>0</v>
      </c>
      <c r="N132" s="71">
        <f t="shared" si="31"/>
        <v>0</v>
      </c>
      <c r="O132" s="37"/>
      <c r="Q132" s="45"/>
    </row>
    <row r="133" spans="1:17" ht="21.6" customHeight="1">
      <c r="A133" s="76">
        <v>13</v>
      </c>
      <c r="B133" s="171" t="s">
        <v>124</v>
      </c>
      <c r="C133" s="35">
        <v>890.2</v>
      </c>
      <c r="D133" s="35">
        <v>890.2</v>
      </c>
      <c r="E133" s="17">
        <f t="shared" si="29"/>
        <v>0</v>
      </c>
      <c r="F133" s="35">
        <v>0</v>
      </c>
      <c r="G133" s="78">
        <f t="shared" si="30"/>
        <v>0</v>
      </c>
      <c r="H133" s="35">
        <v>890.2</v>
      </c>
      <c r="I133" s="19">
        <f t="shared" si="32"/>
        <v>0</v>
      </c>
      <c r="J133" s="35">
        <v>0</v>
      </c>
      <c r="K133" s="28">
        <f t="shared" si="27"/>
        <v>0</v>
      </c>
      <c r="L133" s="18">
        <f t="shared" si="28"/>
        <v>0</v>
      </c>
      <c r="M133" s="79">
        <f t="shared" si="28"/>
        <v>0</v>
      </c>
      <c r="N133" s="71">
        <f t="shared" si="31"/>
        <v>0</v>
      </c>
      <c r="O133" s="37"/>
      <c r="Q133" s="45"/>
    </row>
    <row r="134" spans="1:17" ht="21.6" customHeight="1">
      <c r="A134" s="76">
        <v>14</v>
      </c>
      <c r="B134" s="171" t="s">
        <v>174</v>
      </c>
      <c r="C134" s="35">
        <v>2791</v>
      </c>
      <c r="D134" s="35">
        <v>2791</v>
      </c>
      <c r="E134" s="17">
        <f t="shared" si="29"/>
        <v>0</v>
      </c>
      <c r="F134" s="35">
        <v>0</v>
      </c>
      <c r="G134" s="78">
        <f t="shared" si="30"/>
        <v>0</v>
      </c>
      <c r="H134" s="35">
        <v>2791</v>
      </c>
      <c r="I134" s="19">
        <f t="shared" si="32"/>
        <v>0</v>
      </c>
      <c r="J134" s="141">
        <v>0</v>
      </c>
      <c r="K134" s="28">
        <f t="shared" si="27"/>
        <v>0</v>
      </c>
      <c r="L134" s="18">
        <f t="shared" si="28"/>
        <v>0</v>
      </c>
      <c r="M134" s="79">
        <f t="shared" si="28"/>
        <v>0</v>
      </c>
      <c r="N134" s="71">
        <f t="shared" si="31"/>
        <v>0</v>
      </c>
      <c r="O134" s="37"/>
      <c r="Q134" s="45"/>
    </row>
    <row r="135" spans="1:17" ht="25.2" customHeight="1">
      <c r="A135" s="76">
        <v>15</v>
      </c>
      <c r="B135" s="138" t="s">
        <v>127</v>
      </c>
      <c r="C135" s="35">
        <v>0</v>
      </c>
      <c r="D135" s="35">
        <v>0</v>
      </c>
      <c r="E135" s="17">
        <f t="shared" si="29"/>
        <v>0</v>
      </c>
      <c r="F135" s="33">
        <v>0</v>
      </c>
      <c r="G135" s="78">
        <f t="shared" si="30"/>
        <v>0</v>
      </c>
      <c r="H135" s="35">
        <v>0</v>
      </c>
      <c r="I135" s="19">
        <f t="shared" si="32"/>
        <v>0</v>
      </c>
      <c r="J135" s="33">
        <v>0</v>
      </c>
      <c r="K135" s="28">
        <f t="shared" si="27"/>
        <v>0</v>
      </c>
      <c r="L135" s="18">
        <f t="shared" si="28"/>
        <v>0</v>
      </c>
      <c r="M135" s="79">
        <f t="shared" si="28"/>
        <v>0</v>
      </c>
      <c r="N135" s="71">
        <f t="shared" si="31"/>
        <v>0</v>
      </c>
      <c r="O135" s="77"/>
      <c r="Q135" s="45"/>
    </row>
    <row r="136" spans="1:17" ht="25.2" customHeight="1">
      <c r="A136" s="76">
        <v>16</v>
      </c>
      <c r="B136" s="138" t="s">
        <v>183</v>
      </c>
      <c r="C136" s="35">
        <v>295805</v>
      </c>
      <c r="D136" s="35">
        <v>295805</v>
      </c>
      <c r="E136" s="17">
        <f t="shared" si="29"/>
        <v>0</v>
      </c>
      <c r="F136" s="33">
        <v>265.82</v>
      </c>
      <c r="G136" s="78">
        <f t="shared" si="30"/>
        <v>0</v>
      </c>
      <c r="H136" s="35">
        <v>295805</v>
      </c>
      <c r="I136" s="19">
        <f t="shared" si="32"/>
        <v>0</v>
      </c>
      <c r="J136" s="33">
        <v>0</v>
      </c>
      <c r="K136" s="28">
        <f t="shared" si="27"/>
        <v>0</v>
      </c>
      <c r="L136" s="18">
        <f t="shared" si="28"/>
        <v>0</v>
      </c>
      <c r="M136" s="79">
        <f t="shared" si="28"/>
        <v>265.82</v>
      </c>
      <c r="N136" s="71">
        <f t="shared" si="31"/>
        <v>0</v>
      </c>
      <c r="O136" s="77"/>
      <c r="Q136" s="45"/>
    </row>
    <row r="137" spans="1:17" ht="25.2" customHeight="1">
      <c r="A137" s="76">
        <v>17</v>
      </c>
      <c r="B137" s="138" t="s">
        <v>184</v>
      </c>
      <c r="C137" s="35">
        <v>77139.3</v>
      </c>
      <c r="D137" s="35">
        <v>77139.3</v>
      </c>
      <c r="E137" s="17">
        <f t="shared" si="29"/>
        <v>0</v>
      </c>
      <c r="F137" s="33">
        <v>269.07</v>
      </c>
      <c r="G137" s="78">
        <f t="shared" si="30"/>
        <v>0</v>
      </c>
      <c r="H137" s="35">
        <v>77139.3</v>
      </c>
      <c r="I137" s="19">
        <f t="shared" si="32"/>
        <v>0</v>
      </c>
      <c r="J137" s="33">
        <v>0</v>
      </c>
      <c r="K137" s="28">
        <f t="shared" si="27"/>
        <v>0</v>
      </c>
      <c r="L137" s="18">
        <f t="shared" si="28"/>
        <v>0</v>
      </c>
      <c r="M137" s="79">
        <f t="shared" si="28"/>
        <v>269.07</v>
      </c>
      <c r="N137" s="71">
        <f t="shared" si="31"/>
        <v>0</v>
      </c>
      <c r="O137" s="77"/>
      <c r="Q137" s="45"/>
    </row>
    <row r="138" spans="1:17" ht="25.2" customHeight="1">
      <c r="A138" s="76">
        <v>18</v>
      </c>
      <c r="B138" s="138" t="s">
        <v>185</v>
      </c>
      <c r="C138" s="35">
        <v>113495.8</v>
      </c>
      <c r="D138" s="35">
        <v>113495.8</v>
      </c>
      <c r="E138" s="17">
        <f t="shared" si="29"/>
        <v>0</v>
      </c>
      <c r="F138" s="33">
        <v>272.3</v>
      </c>
      <c r="G138" s="78">
        <f t="shared" si="30"/>
        <v>0</v>
      </c>
      <c r="H138" s="35">
        <v>113495.8</v>
      </c>
      <c r="I138" s="19">
        <f t="shared" si="32"/>
        <v>0</v>
      </c>
      <c r="J138" s="33">
        <v>0</v>
      </c>
      <c r="K138" s="28">
        <f t="shared" si="27"/>
        <v>0</v>
      </c>
      <c r="L138" s="18">
        <f t="shared" si="28"/>
        <v>0</v>
      </c>
      <c r="M138" s="79">
        <f t="shared" si="28"/>
        <v>272.3</v>
      </c>
      <c r="N138" s="71">
        <f t="shared" si="31"/>
        <v>0</v>
      </c>
      <c r="O138" s="77"/>
      <c r="Q138" s="45"/>
    </row>
    <row r="139" spans="1:17" ht="18">
      <c r="A139" s="196" t="s">
        <v>28</v>
      </c>
      <c r="B139" s="197"/>
      <c r="C139" s="123"/>
      <c r="D139" s="123"/>
      <c r="E139" s="40">
        <f>SUM(E121:E138)</f>
        <v>11.669999999999987</v>
      </c>
      <c r="F139" s="40">
        <f>SUM(F121:F138)</f>
        <v>853.81</v>
      </c>
      <c r="G139" s="39"/>
      <c r="H139" s="39"/>
      <c r="I139" s="40">
        <f>SUM(I121:I138)</f>
        <v>293</v>
      </c>
      <c r="J139" s="40">
        <f>SUM(J121:J138)</f>
        <v>32</v>
      </c>
      <c r="K139" s="145"/>
      <c r="L139" s="146">
        <f>SUM(L121:L138)</f>
        <v>304.66999999999996</v>
      </c>
      <c r="M139" s="147">
        <f>SUM(M121:M138)</f>
        <v>885.81</v>
      </c>
      <c r="N139" s="34"/>
      <c r="O139" s="37"/>
      <c r="P139" s="72"/>
    </row>
    <row r="140" spans="1:17" ht="21.6" thickBot="1">
      <c r="A140" s="148"/>
      <c r="B140" s="149"/>
      <c r="C140" s="149"/>
      <c r="D140" s="149"/>
      <c r="E140" s="149" t="s">
        <v>139</v>
      </c>
      <c r="F140" s="150">
        <f>F19+F25+F34+F40+F47+G117+F139</f>
        <v>16541.13</v>
      </c>
      <c r="G140" s="149"/>
      <c r="H140" s="149"/>
      <c r="I140" s="151" t="s">
        <v>140</v>
      </c>
      <c r="J140" s="150">
        <f>J19+J25+J34+J40+J47+M117+J139</f>
        <v>14125.08</v>
      </c>
      <c r="K140" s="198" t="s">
        <v>141</v>
      </c>
      <c r="L140" s="198"/>
      <c r="M140" s="198"/>
      <c r="N140" s="198"/>
      <c r="O140" s="152"/>
    </row>
    <row r="141" spans="1:17" ht="15">
      <c r="B141" s="153"/>
      <c r="C141" s="152"/>
      <c r="D141" s="152"/>
      <c r="E141" s="152"/>
      <c r="F141" s="152"/>
      <c r="G141" s="152"/>
      <c r="H141" s="152"/>
      <c r="I141" s="152"/>
      <c r="J141" s="154"/>
      <c r="K141" s="155" t="s">
        <v>142</v>
      </c>
      <c r="L141" s="199">
        <f>N2</f>
        <v>46216</v>
      </c>
      <c r="M141" s="200"/>
      <c r="N141" s="156"/>
      <c r="O141" s="157">
        <f>M139-N147</f>
        <v>885.81</v>
      </c>
    </row>
    <row r="142" spans="1:17" ht="18">
      <c r="B142" s="158" t="s">
        <v>143</v>
      </c>
      <c r="C142" s="159">
        <f>F140</f>
        <v>16541.13</v>
      </c>
      <c r="D142" s="160"/>
      <c r="E142" s="160"/>
      <c r="F142" s="159"/>
      <c r="G142" s="160"/>
      <c r="H142" s="160"/>
      <c r="I142" s="160"/>
      <c r="J142" s="45"/>
      <c r="K142" s="188" t="s">
        <v>144</v>
      </c>
      <c r="L142" s="189"/>
      <c r="M142" s="190"/>
      <c r="N142" s="161">
        <f>P117</f>
        <v>20132.170000000002</v>
      </c>
      <c r="O142" s="152"/>
    </row>
    <row r="143" spans="1:17" ht="18">
      <c r="B143" s="158" t="s">
        <v>145</v>
      </c>
      <c r="C143" s="159">
        <f>J140</f>
        <v>14125.08</v>
      </c>
      <c r="D143" s="160"/>
      <c r="E143" s="160"/>
      <c r="F143" s="159"/>
      <c r="G143" s="159"/>
      <c r="H143" s="160"/>
      <c r="I143" s="160"/>
      <c r="J143" s="45"/>
      <c r="K143" s="188" t="s">
        <v>146</v>
      </c>
      <c r="L143" s="189"/>
      <c r="M143" s="190"/>
      <c r="N143" s="161">
        <f>M19</f>
        <v>6039.2199999999993</v>
      </c>
      <c r="O143" s="152"/>
    </row>
    <row r="144" spans="1:17" ht="18">
      <c r="B144" s="158" t="s">
        <v>28</v>
      </c>
      <c r="C144" s="159">
        <f>C142+C143</f>
        <v>30666.21</v>
      </c>
      <c r="D144" s="160"/>
      <c r="E144" s="160"/>
      <c r="F144" s="160"/>
      <c r="G144" s="159"/>
      <c r="H144" s="160"/>
      <c r="I144" s="160"/>
      <c r="K144" s="188" t="s">
        <v>147</v>
      </c>
      <c r="L144" s="189"/>
      <c r="M144" s="190"/>
      <c r="N144" s="161">
        <f>M34</f>
        <v>1509.85</v>
      </c>
    </row>
    <row r="145" spans="1:16" ht="18">
      <c r="C145" s="45"/>
      <c r="D145" s="45"/>
      <c r="E145" s="45"/>
      <c r="F145" s="45"/>
      <c r="G145" s="45"/>
      <c r="H145" s="160" t="s">
        <v>94</v>
      </c>
      <c r="I145" s="45"/>
      <c r="K145" s="188" t="s">
        <v>148</v>
      </c>
      <c r="L145" s="189"/>
      <c r="M145" s="190"/>
      <c r="N145" s="161">
        <f>M40</f>
        <v>601.02</v>
      </c>
    </row>
    <row r="146" spans="1:16" ht="25.2" customHeight="1">
      <c r="B146" s="162" t="s">
        <v>149</v>
      </c>
      <c r="C146" s="193"/>
      <c r="D146" s="193"/>
      <c r="E146" s="193"/>
      <c r="F146" s="193"/>
      <c r="G146" s="193"/>
      <c r="H146" s="193"/>
      <c r="I146" s="193"/>
      <c r="J146" s="193"/>
      <c r="K146" s="188" t="s">
        <v>150</v>
      </c>
      <c r="L146" s="189"/>
      <c r="M146" s="190"/>
      <c r="N146" s="161">
        <f>M47</f>
        <v>1066.51</v>
      </c>
    </row>
    <row r="147" spans="1:16" ht="18">
      <c r="C147" s="45"/>
      <c r="D147" s="45"/>
      <c r="E147" s="26"/>
      <c r="F147" s="26"/>
      <c r="G147" s="45"/>
      <c r="H147" s="160"/>
      <c r="I147" s="45"/>
      <c r="K147" s="188" t="s">
        <v>151</v>
      </c>
      <c r="L147" s="189"/>
      <c r="M147" s="190"/>
      <c r="N147" s="161">
        <f>M125+M126+M127+M128</f>
        <v>0</v>
      </c>
    </row>
    <row r="148" spans="1:16" ht="18">
      <c r="E148" s="38"/>
      <c r="F148" s="45"/>
      <c r="G148" s="45"/>
      <c r="H148" s="160"/>
      <c r="I148" s="45"/>
      <c r="K148" s="188" t="s">
        <v>152</v>
      </c>
      <c r="L148" s="189"/>
      <c r="M148" s="190"/>
      <c r="N148" s="161">
        <f>O141</f>
        <v>885.81</v>
      </c>
    </row>
    <row r="149" spans="1:16" ht="18.600000000000001" thickBot="1">
      <c r="C149" s="38"/>
      <c r="D149" s="38"/>
      <c r="G149" s="163"/>
      <c r="H149" s="160"/>
      <c r="K149" s="188" t="s">
        <v>153</v>
      </c>
      <c r="L149" s="189"/>
      <c r="M149" s="190"/>
      <c r="N149" s="164">
        <f>M25</f>
        <v>431.63</v>
      </c>
      <c r="P149" s="38"/>
    </row>
    <row r="150" spans="1:16" ht="16.8" thickBot="1">
      <c r="C150" s="38"/>
      <c r="D150" s="38"/>
      <c r="E150" s="38"/>
      <c r="F150" s="38"/>
      <c r="H150" s="38"/>
      <c r="K150" s="191" t="s">
        <v>154</v>
      </c>
      <c r="L150" s="192"/>
      <c r="M150" s="192"/>
      <c r="N150" s="165">
        <f>SUM(N142:N149)</f>
        <v>30666.21</v>
      </c>
    </row>
    <row r="151" spans="1:16">
      <c r="C151" s="38"/>
      <c r="D151" s="38"/>
      <c r="E151" s="159"/>
      <c r="F151" s="159"/>
      <c r="H151" s="38"/>
      <c r="I151" s="38"/>
    </row>
    <row r="152" spans="1:16">
      <c r="C152" s="38"/>
      <c r="D152" s="38"/>
      <c r="E152" s="38"/>
      <c r="F152" s="38"/>
      <c r="H152" s="160"/>
    </row>
    <row r="153" spans="1:16">
      <c r="A153" s="159"/>
      <c r="B153" s="159"/>
      <c r="C153" s="159"/>
      <c r="D153" s="159"/>
      <c r="E153" s="159"/>
      <c r="F153" s="159"/>
      <c r="G153" s="38"/>
      <c r="H153" s="38"/>
      <c r="N153" s="45"/>
    </row>
    <row r="154" spans="1:16">
      <c r="A154" s="159"/>
    </row>
  </sheetData>
  <mergeCells count="72">
    <mergeCell ref="K149:M149"/>
    <mergeCell ref="K150:M150"/>
    <mergeCell ref="K144:M144"/>
    <mergeCell ref="K145:M145"/>
    <mergeCell ref="C146:J146"/>
    <mergeCell ref="K146:M146"/>
    <mergeCell ref="K147:M147"/>
    <mergeCell ref="K148:M148"/>
    <mergeCell ref="K143:M143"/>
    <mergeCell ref="O49:O50"/>
    <mergeCell ref="P49:P50"/>
    <mergeCell ref="Q49:Q50"/>
    <mergeCell ref="R49:R50"/>
    <mergeCell ref="A118:L118"/>
    <mergeCell ref="A119:A120"/>
    <mergeCell ref="B119:B120"/>
    <mergeCell ref="C119:G119"/>
    <mergeCell ref="H119:K119"/>
    <mergeCell ref="M119:M120"/>
    <mergeCell ref="N119:N120"/>
    <mergeCell ref="A139:B139"/>
    <mergeCell ref="K140:N140"/>
    <mergeCell ref="L141:M141"/>
    <mergeCell ref="K142:M142"/>
    <mergeCell ref="M42:M43"/>
    <mergeCell ref="N42:N43"/>
    <mergeCell ref="A47:B47"/>
    <mergeCell ref="A48:L48"/>
    <mergeCell ref="A49:A50"/>
    <mergeCell ref="B49:B50"/>
    <mergeCell ref="C49:H49"/>
    <mergeCell ref="I49:N49"/>
    <mergeCell ref="A40:B40"/>
    <mergeCell ref="A41:L41"/>
    <mergeCell ref="A42:A43"/>
    <mergeCell ref="B42:B43"/>
    <mergeCell ref="C42:G42"/>
    <mergeCell ref="H42:K42"/>
    <mergeCell ref="M27:M28"/>
    <mergeCell ref="N27:N28"/>
    <mergeCell ref="A34:B34"/>
    <mergeCell ref="A35:L35"/>
    <mergeCell ref="A36:A37"/>
    <mergeCell ref="B36:B37"/>
    <mergeCell ref="C36:G36"/>
    <mergeCell ref="H36:K36"/>
    <mergeCell ref="M36:M37"/>
    <mergeCell ref="N36:N37"/>
    <mergeCell ref="A25:B25"/>
    <mergeCell ref="A26:L26"/>
    <mergeCell ref="A27:A28"/>
    <mergeCell ref="B27:B28"/>
    <mergeCell ref="C27:G27"/>
    <mergeCell ref="H27:K27"/>
    <mergeCell ref="O3:O4"/>
    <mergeCell ref="P3:P4"/>
    <mergeCell ref="A19:B19"/>
    <mergeCell ref="A20:L20"/>
    <mergeCell ref="A21:A22"/>
    <mergeCell ref="B21:B22"/>
    <mergeCell ref="C21:G21"/>
    <mergeCell ref="H21:K21"/>
    <mergeCell ref="M21:M22"/>
    <mergeCell ref="N21:N22"/>
    <mergeCell ref="A1:N1"/>
    <mergeCell ref="A2:L2"/>
    <mergeCell ref="A3:A4"/>
    <mergeCell ref="B3:B4"/>
    <mergeCell ref="C3:G3"/>
    <mergeCell ref="H3:L3"/>
    <mergeCell ref="M3:M4"/>
    <mergeCell ref="N3:N4"/>
  </mergeCells>
  <conditionalFormatting sqref="N7:N20 N23:N24 N29:N33 N38:N39 N44:N46">
    <cfRule type="cellIs" dxfId="27" priority="2" operator="greaterThan">
      <formula>40</formula>
    </cfRule>
  </conditionalFormatting>
  <conditionalFormatting sqref="Q51:Q117">
    <cfRule type="cellIs" dxfId="26" priority="1" operator="lessThan">
      <formula>0.5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2EAD7-7F99-43BC-AD8C-90381AC934B9}">
  <dimension ref="A1:AA154"/>
  <sheetViews>
    <sheetView zoomScale="74" zoomScaleNormal="74" workbookViewId="0">
      <pane ySplit="1" topLeftCell="A2" activePane="bottomLeft" state="frozen"/>
      <selection pane="bottomLeft" activeCell="R13" sqref="R13"/>
    </sheetView>
  </sheetViews>
  <sheetFormatPr defaultColWidth="9" defaultRowHeight="14.4"/>
  <cols>
    <col min="1" max="1" width="8.5546875" customWidth="1"/>
    <col min="2" max="2" width="29.44140625" bestFit="1" customWidth="1"/>
    <col min="3" max="3" width="11.6640625" customWidth="1"/>
    <col min="4" max="4" width="11.21875" customWidth="1"/>
    <col min="5" max="5" width="9.77734375" customWidth="1"/>
    <col min="6" max="6" width="13.6640625" customWidth="1"/>
    <col min="7" max="7" width="10" customWidth="1"/>
    <col min="8" max="8" width="9.77734375" customWidth="1"/>
    <col min="9" max="9" width="12.77734375" bestFit="1" customWidth="1"/>
    <col min="10" max="10" width="10.6640625" bestFit="1" customWidth="1"/>
    <col min="11" max="11" width="15.77734375" customWidth="1"/>
    <col min="12" max="12" width="10.77734375" customWidth="1"/>
    <col min="13" max="13" width="12.5546875" customWidth="1"/>
    <col min="14" max="14" width="17.88671875" customWidth="1"/>
    <col min="15" max="15" width="13.44140625" customWidth="1"/>
    <col min="16" max="16" width="17" customWidth="1"/>
    <col min="17" max="17" width="11.109375" bestFit="1" customWidth="1"/>
    <col min="19" max="19" width="9.21875" bestFit="1" customWidth="1"/>
    <col min="20" max="20" width="8.21875" bestFit="1" customWidth="1"/>
    <col min="21" max="22" width="11.21875" customWidth="1"/>
  </cols>
  <sheetData>
    <row r="1" spans="1:22" ht="18.600000000000001" thickBot="1">
      <c r="A1" s="249" t="s">
        <v>0</v>
      </c>
      <c r="B1" s="249"/>
      <c r="C1" s="249"/>
      <c r="D1" s="249"/>
      <c r="E1" s="249"/>
      <c r="F1" s="249"/>
      <c r="G1" s="249"/>
      <c r="H1" s="249"/>
      <c r="I1" s="249"/>
      <c r="J1" s="249"/>
      <c r="K1" s="249"/>
      <c r="L1" s="249"/>
      <c r="M1" s="249"/>
      <c r="N1" s="249"/>
      <c r="O1" s="1"/>
      <c r="V1" s="2"/>
    </row>
    <row r="2" spans="1:22" ht="19.8" customHeight="1" thickBot="1">
      <c r="A2" s="250" t="s">
        <v>1</v>
      </c>
      <c r="B2" s="251"/>
      <c r="C2" s="252"/>
      <c r="D2" s="252"/>
      <c r="E2" s="252"/>
      <c r="F2" s="252"/>
      <c r="G2" s="252"/>
      <c r="H2" s="252"/>
      <c r="I2" s="252"/>
      <c r="J2" s="252"/>
      <c r="K2" s="252"/>
      <c r="L2" s="251"/>
      <c r="M2" s="3" t="s">
        <v>2</v>
      </c>
      <c r="N2" s="4">
        <v>46217</v>
      </c>
      <c r="O2" s="1"/>
    </row>
    <row r="3" spans="1:22" ht="18" customHeight="1">
      <c r="A3" s="209" t="s">
        <v>3</v>
      </c>
      <c r="B3" s="211" t="s">
        <v>4</v>
      </c>
      <c r="C3" s="213" t="s">
        <v>5</v>
      </c>
      <c r="D3" s="214"/>
      <c r="E3" s="214"/>
      <c r="F3" s="214"/>
      <c r="G3" s="215"/>
      <c r="H3" s="253" t="s">
        <v>6</v>
      </c>
      <c r="I3" s="254"/>
      <c r="J3" s="254"/>
      <c r="K3" s="254"/>
      <c r="L3" s="255"/>
      <c r="M3" s="219" t="s">
        <v>7</v>
      </c>
      <c r="N3" s="194" t="s">
        <v>8</v>
      </c>
      <c r="O3" s="243" t="s">
        <v>9</v>
      </c>
      <c r="P3" s="222" t="s">
        <v>10</v>
      </c>
    </row>
    <row r="4" spans="1:22" ht="22.8" customHeight="1">
      <c r="A4" s="247"/>
      <c r="B4" s="248"/>
      <c r="C4" s="6" t="s">
        <v>11</v>
      </c>
      <c r="D4" s="6" t="s">
        <v>12</v>
      </c>
      <c r="E4" s="6" t="s">
        <v>13</v>
      </c>
      <c r="F4" s="6" t="s">
        <v>14</v>
      </c>
      <c r="G4" s="6" t="s">
        <v>8</v>
      </c>
      <c r="H4" s="6" t="s">
        <v>12</v>
      </c>
      <c r="I4" s="6" t="s">
        <v>13</v>
      </c>
      <c r="J4" s="6" t="s">
        <v>14</v>
      </c>
      <c r="K4" s="7" t="s">
        <v>8</v>
      </c>
      <c r="L4" s="8" t="s">
        <v>15</v>
      </c>
      <c r="M4" s="236"/>
      <c r="N4" s="237"/>
      <c r="O4" s="248"/>
      <c r="P4" s="243"/>
    </row>
    <row r="5" spans="1:22" ht="22.8" customHeight="1">
      <c r="A5" s="5">
        <v>1</v>
      </c>
      <c r="B5" s="9" t="s">
        <v>175</v>
      </c>
      <c r="C5" s="2">
        <v>32011.599999999999</v>
      </c>
      <c r="D5" s="2">
        <v>32021.8</v>
      </c>
      <c r="E5" s="2">
        <f>D5-C5</f>
        <v>10.200000000000728</v>
      </c>
      <c r="F5" s="2">
        <v>314</v>
      </c>
      <c r="G5" s="10">
        <f>IFERROR(F5/E5,0)</f>
        <v>30.784313725488001</v>
      </c>
      <c r="H5" s="2">
        <v>32029.4</v>
      </c>
      <c r="I5" s="167">
        <f>H5-D5</f>
        <v>7.6000000000021828</v>
      </c>
      <c r="J5" s="2">
        <v>132.82</v>
      </c>
      <c r="K5" s="11">
        <f>IFERROR(J5/I5,0)</f>
        <v>17.476315789468664</v>
      </c>
      <c r="L5" s="12">
        <f>E5+I5</f>
        <v>17.80000000000291</v>
      </c>
      <c r="M5" s="13">
        <f>F5+J5</f>
        <v>446.82</v>
      </c>
      <c r="N5" s="14">
        <f>IFERROR(M5/L5,0)</f>
        <v>25.10224719100713</v>
      </c>
      <c r="O5" s="2">
        <v>229</v>
      </c>
      <c r="P5" s="5"/>
    </row>
    <row r="6" spans="1:22" ht="22.8" customHeight="1">
      <c r="A6" s="81">
        <v>2</v>
      </c>
      <c r="B6" s="16" t="s">
        <v>170</v>
      </c>
      <c r="C6" s="49">
        <v>33843.5</v>
      </c>
      <c r="D6" s="49">
        <v>33855.5</v>
      </c>
      <c r="E6" s="2">
        <f>D6-C6</f>
        <v>12</v>
      </c>
      <c r="F6" s="49">
        <v>405.11</v>
      </c>
      <c r="G6" s="10">
        <f>IFERROR(F6/E6,0)</f>
        <v>33.759166666666665</v>
      </c>
      <c r="H6" s="49">
        <v>33864</v>
      </c>
      <c r="I6" s="167">
        <f>H6-D6</f>
        <v>8.5</v>
      </c>
      <c r="J6" s="49">
        <v>299.85000000000002</v>
      </c>
      <c r="K6" s="11">
        <f>IFERROR(J6/I6,0)</f>
        <v>35.276470588235298</v>
      </c>
      <c r="L6" s="169">
        <v>0</v>
      </c>
      <c r="M6" s="13">
        <f>F6+J6</f>
        <v>704.96</v>
      </c>
      <c r="N6" s="14">
        <f>IFERROR(M6/L6,0)</f>
        <v>0</v>
      </c>
      <c r="O6" s="49">
        <v>245</v>
      </c>
      <c r="P6" s="81"/>
    </row>
    <row r="7" spans="1:22" ht="24" customHeight="1">
      <c r="A7" s="5">
        <v>3</v>
      </c>
      <c r="B7" s="16" t="s">
        <v>17</v>
      </c>
      <c r="C7" s="17">
        <v>32493.3</v>
      </c>
      <c r="D7" s="17">
        <v>32493.3</v>
      </c>
      <c r="E7" s="17">
        <f t="shared" ref="E7:E18" si="0">D7-C7</f>
        <v>0</v>
      </c>
      <c r="F7" s="18">
        <v>0</v>
      </c>
      <c r="G7" s="10">
        <f>IFERROR(F7/E7,0)</f>
        <v>0</v>
      </c>
      <c r="H7" s="17">
        <v>32493.3</v>
      </c>
      <c r="I7" s="19">
        <f t="shared" ref="I7:I14" si="1">H7-D7</f>
        <v>0</v>
      </c>
      <c r="J7" s="20">
        <v>0</v>
      </c>
      <c r="K7" s="21">
        <f>IFERROR(J7/I7,0)</f>
        <v>0</v>
      </c>
      <c r="L7" s="18">
        <f>E7+I7</f>
        <v>0</v>
      </c>
      <c r="M7" s="22">
        <f>F7+J7</f>
        <v>0</v>
      </c>
      <c r="N7" s="23">
        <f>IFERROR(M7/L7,0)</f>
        <v>0</v>
      </c>
      <c r="O7" s="24">
        <v>0</v>
      </c>
      <c r="P7" s="25"/>
      <c r="Q7" s="26"/>
    </row>
    <row r="8" spans="1:22" ht="25.8" customHeight="1">
      <c r="A8" s="81">
        <v>4</v>
      </c>
      <c r="B8" s="16" t="s">
        <v>18</v>
      </c>
      <c r="C8" s="17">
        <v>24685.8</v>
      </c>
      <c r="D8" s="17">
        <v>24697.9</v>
      </c>
      <c r="E8" s="17">
        <f t="shared" si="0"/>
        <v>12.100000000002183</v>
      </c>
      <c r="F8" s="18">
        <v>381.77</v>
      </c>
      <c r="G8" s="10">
        <f t="shared" ref="G8:G13" si="2">IFERROR(F8/E8,0)</f>
        <v>31.551239669415793</v>
      </c>
      <c r="H8" s="17">
        <v>24706.2</v>
      </c>
      <c r="I8" s="19">
        <f t="shared" si="1"/>
        <v>8.2999999999992724</v>
      </c>
      <c r="J8" s="20">
        <v>221.67</v>
      </c>
      <c r="K8" s="28">
        <f t="shared" ref="K8:K14" si="3">IFERROR(J8/I8,0)</f>
        <v>26.707228915664992</v>
      </c>
      <c r="L8" s="18">
        <f t="shared" ref="L8:M17" si="4">E8+I8</f>
        <v>20.400000000001455</v>
      </c>
      <c r="M8" s="22">
        <f t="shared" si="4"/>
        <v>603.43999999999994</v>
      </c>
      <c r="N8" s="23">
        <f t="shared" ref="N8:N18" si="5">IFERROR(M8/L8,0)</f>
        <v>29.580392156860633</v>
      </c>
      <c r="O8" s="29">
        <v>230</v>
      </c>
      <c r="P8" s="30"/>
      <c r="Q8" s="26"/>
      <c r="S8" s="26"/>
    </row>
    <row r="9" spans="1:22" ht="25.8" customHeight="1">
      <c r="A9" s="5">
        <v>5</v>
      </c>
      <c r="B9" s="31" t="s">
        <v>19</v>
      </c>
      <c r="C9" s="17">
        <v>32584</v>
      </c>
      <c r="D9" s="17">
        <v>32595.4</v>
      </c>
      <c r="E9" s="17">
        <f t="shared" si="0"/>
        <v>11.400000000001455</v>
      </c>
      <c r="F9" s="32">
        <v>241.43</v>
      </c>
      <c r="G9" s="10">
        <f t="shared" si="2"/>
        <v>21.178070175435895</v>
      </c>
      <c r="H9" s="17">
        <v>32604.6</v>
      </c>
      <c r="I9" s="19">
        <f t="shared" si="1"/>
        <v>9.1999999999970896</v>
      </c>
      <c r="J9" s="33">
        <v>348.15</v>
      </c>
      <c r="K9" s="28">
        <f t="shared" si="3"/>
        <v>37.842391304359793</v>
      </c>
      <c r="L9" s="18">
        <f t="shared" si="4"/>
        <v>20.599999999998545</v>
      </c>
      <c r="M9" s="22">
        <f t="shared" si="4"/>
        <v>589.57999999999993</v>
      </c>
      <c r="N9" s="23">
        <f t="shared" si="5"/>
        <v>28.620388349516581</v>
      </c>
      <c r="O9" s="29">
        <v>204</v>
      </c>
      <c r="P9" s="30"/>
      <c r="Q9" s="26"/>
      <c r="S9" s="26"/>
    </row>
    <row r="10" spans="1:22" ht="25.8" customHeight="1">
      <c r="A10" s="81">
        <v>6</v>
      </c>
      <c r="B10" s="16" t="s">
        <v>20</v>
      </c>
      <c r="C10" s="17">
        <v>33565.599999999999</v>
      </c>
      <c r="D10" s="17">
        <v>33575.9</v>
      </c>
      <c r="E10" s="17">
        <f>D10-C10</f>
        <v>10.30000000000291</v>
      </c>
      <c r="F10" s="34">
        <v>391</v>
      </c>
      <c r="G10" s="10">
        <f>IFERROR(F10/E10,0)</f>
        <v>37.961165048532962</v>
      </c>
      <c r="H10" s="17">
        <v>33583.300000000003</v>
      </c>
      <c r="I10" s="19">
        <f>H10-D10</f>
        <v>7.4000000000014552</v>
      </c>
      <c r="J10" s="33">
        <v>308.66000000000003</v>
      </c>
      <c r="K10" s="28">
        <f>IFERROR(J10/I10,0)</f>
        <v>41.710810810802613</v>
      </c>
      <c r="L10" s="18">
        <f>E10+I10</f>
        <v>17.700000000004366</v>
      </c>
      <c r="M10" s="22">
        <f>F10+J10</f>
        <v>699.66000000000008</v>
      </c>
      <c r="N10" s="23">
        <f>IFERROR(M10/L10,0)</f>
        <v>39.52881355931229</v>
      </c>
      <c r="O10" s="29">
        <v>208</v>
      </c>
      <c r="P10" s="30"/>
      <c r="Q10" s="26"/>
      <c r="S10" s="26"/>
    </row>
    <row r="11" spans="1:22" ht="22.8" customHeight="1">
      <c r="A11" s="5">
        <v>7</v>
      </c>
      <c r="B11" s="16" t="s">
        <v>21</v>
      </c>
      <c r="C11" s="17">
        <v>28067.9</v>
      </c>
      <c r="D11" s="17">
        <v>28080.9</v>
      </c>
      <c r="E11" s="17">
        <f t="shared" si="0"/>
        <v>13</v>
      </c>
      <c r="F11" s="32">
        <v>362.12</v>
      </c>
      <c r="G11" s="10">
        <f t="shared" si="2"/>
        <v>27.855384615384615</v>
      </c>
      <c r="H11" s="17">
        <v>28089.599999999999</v>
      </c>
      <c r="I11" s="19">
        <f t="shared" si="1"/>
        <v>8.6999999999970896</v>
      </c>
      <c r="J11" s="20">
        <v>258.24</v>
      </c>
      <c r="K11" s="28">
        <f t="shared" si="3"/>
        <v>29.682758620699587</v>
      </c>
      <c r="L11" s="18">
        <f t="shared" si="4"/>
        <v>21.69999999999709</v>
      </c>
      <c r="M11" s="22">
        <f t="shared" si="4"/>
        <v>620.36</v>
      </c>
      <c r="N11" s="23">
        <f t="shared" si="5"/>
        <v>28.58801843318356</v>
      </c>
      <c r="O11" s="29">
        <v>240</v>
      </c>
      <c r="P11" s="30"/>
      <c r="Q11" s="26"/>
      <c r="S11" s="26"/>
    </row>
    <row r="12" spans="1:22" ht="22.8" customHeight="1">
      <c r="A12" s="81">
        <v>8</v>
      </c>
      <c r="B12" s="31" t="s">
        <v>22</v>
      </c>
      <c r="C12" s="35">
        <v>27448.3</v>
      </c>
      <c r="D12" s="35">
        <v>27460.7</v>
      </c>
      <c r="E12" s="17">
        <f t="shared" si="0"/>
        <v>12.400000000001455</v>
      </c>
      <c r="F12" s="32">
        <v>377.94</v>
      </c>
      <c r="G12" s="10">
        <f t="shared" si="2"/>
        <v>30.47903225806094</v>
      </c>
      <c r="H12" s="35">
        <v>27470.6</v>
      </c>
      <c r="I12" s="19">
        <f t="shared" si="1"/>
        <v>9.8999999999978172</v>
      </c>
      <c r="J12" s="33">
        <v>278.19</v>
      </c>
      <c r="K12" s="28">
        <f t="shared" si="3"/>
        <v>28.100000000006194</v>
      </c>
      <c r="L12" s="18">
        <f t="shared" si="4"/>
        <v>22.299999999999272</v>
      </c>
      <c r="M12" s="22">
        <f t="shared" si="4"/>
        <v>656.13</v>
      </c>
      <c r="N12" s="23">
        <f t="shared" si="5"/>
        <v>29.42286995515791</v>
      </c>
      <c r="O12" s="29">
        <v>253</v>
      </c>
      <c r="P12" s="30"/>
      <c r="Q12" s="26"/>
      <c r="S12" s="26"/>
    </row>
    <row r="13" spans="1:22" ht="24" customHeight="1">
      <c r="A13" s="5">
        <v>9</v>
      </c>
      <c r="B13" s="31" t="s">
        <v>23</v>
      </c>
      <c r="C13" s="17">
        <v>22591.21</v>
      </c>
      <c r="D13" s="17">
        <v>22601.8</v>
      </c>
      <c r="E13" s="17">
        <f t="shared" si="0"/>
        <v>10.590000000000146</v>
      </c>
      <c r="F13" s="34">
        <v>336</v>
      </c>
      <c r="G13" s="10">
        <f t="shared" si="2"/>
        <v>31.728045325778602</v>
      </c>
      <c r="H13" s="17">
        <v>22609.21</v>
      </c>
      <c r="I13" s="19">
        <f t="shared" si="1"/>
        <v>7.4099999999998545</v>
      </c>
      <c r="J13" s="20">
        <v>361.72</v>
      </c>
      <c r="K13" s="28">
        <f t="shared" si="3"/>
        <v>48.815114709852516</v>
      </c>
      <c r="L13" s="18">
        <f t="shared" si="4"/>
        <v>18</v>
      </c>
      <c r="M13" s="22">
        <f t="shared" si="4"/>
        <v>697.72</v>
      </c>
      <c r="N13" s="23">
        <f t="shared" si="5"/>
        <v>38.762222222222221</v>
      </c>
      <c r="O13" s="29">
        <v>300</v>
      </c>
      <c r="P13" s="36"/>
      <c r="Q13" s="26"/>
      <c r="S13" s="26"/>
    </row>
    <row r="14" spans="1:22" ht="24" customHeight="1">
      <c r="A14" s="81">
        <v>10</v>
      </c>
      <c r="B14" s="31" t="s">
        <v>24</v>
      </c>
      <c r="C14" s="17">
        <v>22562.22</v>
      </c>
      <c r="D14" s="17">
        <v>22573.17</v>
      </c>
      <c r="E14" s="17">
        <f t="shared" si="0"/>
        <v>10.94999999999709</v>
      </c>
      <c r="F14" s="32">
        <v>322</v>
      </c>
      <c r="G14" s="10">
        <f>IFERROR(F14/E14,0)</f>
        <v>29.406392694071744</v>
      </c>
      <c r="H14" s="17">
        <v>22580.560000000001</v>
      </c>
      <c r="I14" s="19">
        <f t="shared" si="1"/>
        <v>7.3900000000030559</v>
      </c>
      <c r="J14" s="20">
        <v>244.19</v>
      </c>
      <c r="K14" s="28">
        <f t="shared" si="3"/>
        <v>33.043301759120304</v>
      </c>
      <c r="L14" s="18">
        <f t="shared" si="4"/>
        <v>18.340000000000146</v>
      </c>
      <c r="M14" s="22">
        <f t="shared" si="4"/>
        <v>566.19000000000005</v>
      </c>
      <c r="N14" s="23">
        <f t="shared" si="5"/>
        <v>30.871864776444689</v>
      </c>
      <c r="O14" s="29">
        <v>277</v>
      </c>
      <c r="P14" s="37"/>
      <c r="Q14" s="26"/>
      <c r="S14" s="26"/>
    </row>
    <row r="15" spans="1:22" ht="24" customHeight="1">
      <c r="A15" s="5">
        <v>11</v>
      </c>
      <c r="B15" s="31" t="s">
        <v>25</v>
      </c>
      <c r="C15" s="17">
        <v>20048.939999999999</v>
      </c>
      <c r="D15" s="17">
        <v>20059.29</v>
      </c>
      <c r="E15" s="17">
        <f t="shared" si="0"/>
        <v>10.350000000002183</v>
      </c>
      <c r="F15" s="32">
        <v>524.41999999999996</v>
      </c>
      <c r="G15" s="10">
        <f>IFERROR(F15/E15,0)</f>
        <v>50.668599033805734</v>
      </c>
      <c r="H15" s="17">
        <v>20069.259999999998</v>
      </c>
      <c r="I15" s="19">
        <f>H15-D15</f>
        <v>9.9699999999975262</v>
      </c>
      <c r="J15" s="20">
        <v>487.57</v>
      </c>
      <c r="K15" s="28">
        <f>IFERROR(J15/I15,0)</f>
        <v>48.903711133412337</v>
      </c>
      <c r="L15" s="18">
        <f>E15+I15</f>
        <v>20.319999999999709</v>
      </c>
      <c r="M15" s="22">
        <f t="shared" si="4"/>
        <v>1011.99</v>
      </c>
      <c r="N15" s="23">
        <f t="shared" si="5"/>
        <v>49.802657480315673</v>
      </c>
      <c r="O15" s="29">
        <v>318</v>
      </c>
      <c r="P15" s="37"/>
      <c r="Q15" s="26"/>
      <c r="S15" s="26"/>
      <c r="T15" s="38"/>
    </row>
    <row r="16" spans="1:22" ht="24" customHeight="1">
      <c r="A16" s="81">
        <v>12</v>
      </c>
      <c r="B16" s="31" t="s">
        <v>181</v>
      </c>
      <c r="C16" s="17">
        <v>10170.780000000001</v>
      </c>
      <c r="D16" s="17">
        <v>10181.879999999999</v>
      </c>
      <c r="E16" s="17">
        <f t="shared" si="0"/>
        <v>11.099999999998545</v>
      </c>
      <c r="F16" s="32">
        <v>278.95999999999998</v>
      </c>
      <c r="G16" s="10">
        <f>IFERROR(F16/E16,0)</f>
        <v>25.131531531534826</v>
      </c>
      <c r="H16" s="17">
        <v>10186.030000000001</v>
      </c>
      <c r="I16" s="19">
        <f>H16-D16</f>
        <v>4.1500000000014552</v>
      </c>
      <c r="J16" s="20">
        <v>101.15</v>
      </c>
      <c r="K16" s="28">
        <f>IFERROR(J16/I16,0)</f>
        <v>24.373493975895069</v>
      </c>
      <c r="L16" s="18">
        <f>E16+I16</f>
        <v>15.25</v>
      </c>
      <c r="M16" s="22">
        <f t="shared" si="4"/>
        <v>380.11</v>
      </c>
      <c r="N16" s="23">
        <f t="shared" si="5"/>
        <v>24.925245901639347</v>
      </c>
      <c r="O16" s="29">
        <v>0</v>
      </c>
      <c r="P16" s="37"/>
      <c r="Q16" s="26"/>
      <c r="S16" s="26"/>
      <c r="T16" s="38"/>
    </row>
    <row r="17" spans="1:20" ht="24" customHeight="1">
      <c r="A17" s="5">
        <v>13</v>
      </c>
      <c r="B17" s="31" t="s">
        <v>27</v>
      </c>
      <c r="C17" s="17">
        <v>18250.099999999999</v>
      </c>
      <c r="D17" s="17">
        <v>18250.099999999999</v>
      </c>
      <c r="E17" s="17">
        <f t="shared" si="0"/>
        <v>0</v>
      </c>
      <c r="F17" s="18">
        <v>0</v>
      </c>
      <c r="G17" s="10">
        <f>IFERROR(F17/E17,0)</f>
        <v>0</v>
      </c>
      <c r="H17" s="17">
        <v>18255.400000000001</v>
      </c>
      <c r="I17" s="19">
        <f t="shared" ref="I17" si="6">H17-D17</f>
        <v>5.3000000000029104</v>
      </c>
      <c r="J17" s="20">
        <v>112.96</v>
      </c>
      <c r="K17" s="28">
        <f t="shared" ref="K17" si="7">IFERROR(J17/I17,0)</f>
        <v>21.313207547158108</v>
      </c>
      <c r="L17" s="18">
        <f t="shared" ref="L17" si="8">E17+I17</f>
        <v>5.3000000000029104</v>
      </c>
      <c r="M17" s="22">
        <f t="shared" si="4"/>
        <v>112.96</v>
      </c>
      <c r="N17" s="23">
        <f t="shared" si="5"/>
        <v>21.313207547158108</v>
      </c>
      <c r="O17" s="29">
        <v>0</v>
      </c>
      <c r="P17" s="172"/>
      <c r="Q17" s="26"/>
      <c r="S17" s="26"/>
      <c r="T17" s="38"/>
    </row>
    <row r="18" spans="1:20" ht="24" customHeight="1">
      <c r="A18" s="81">
        <v>14</v>
      </c>
      <c r="B18" s="31" t="s">
        <v>26</v>
      </c>
      <c r="C18" s="17">
        <v>15231.7</v>
      </c>
      <c r="D18" s="17">
        <v>15231.7</v>
      </c>
      <c r="E18" s="17">
        <f t="shared" si="0"/>
        <v>0</v>
      </c>
      <c r="F18" s="32">
        <v>0</v>
      </c>
      <c r="G18" s="10">
        <f>IFERROR(F18/E18,0)</f>
        <v>0</v>
      </c>
      <c r="H18" s="17">
        <v>15231.7</v>
      </c>
      <c r="I18" s="19">
        <f>H18-D18</f>
        <v>0</v>
      </c>
      <c r="J18" s="20">
        <v>0</v>
      </c>
      <c r="K18" s="28">
        <f>IFERROR(J18/I18,0)</f>
        <v>0</v>
      </c>
      <c r="L18" s="18">
        <f>E18+I18</f>
        <v>0</v>
      </c>
      <c r="M18" s="22">
        <f>F18+J18</f>
        <v>0</v>
      </c>
      <c r="N18" s="23">
        <f t="shared" si="5"/>
        <v>0</v>
      </c>
      <c r="O18" s="29">
        <v>0</v>
      </c>
      <c r="P18" s="37"/>
      <c r="Q18" s="26"/>
      <c r="S18" s="26"/>
      <c r="T18" s="38"/>
    </row>
    <row r="19" spans="1:20" ht="24" customHeight="1">
      <c r="A19" s="196" t="s">
        <v>28</v>
      </c>
      <c r="B19" s="197"/>
      <c r="C19" s="39"/>
      <c r="D19" s="39"/>
      <c r="E19" s="40">
        <f>SUM(E7:E18)</f>
        <v>102.19000000000597</v>
      </c>
      <c r="F19" s="41">
        <f>SUM(F5:F18)</f>
        <v>3934.7500000000005</v>
      </c>
      <c r="G19" s="39"/>
      <c r="H19" s="39"/>
      <c r="I19" s="40">
        <f>SUM(I7:I18)</f>
        <v>77.719999999997526</v>
      </c>
      <c r="J19" s="41">
        <f>SUM(J5:J18)</f>
        <v>3155.1700000000005</v>
      </c>
      <c r="K19" s="28">
        <f>IFERROR(J19/I19,0)</f>
        <v>40.596628924345097</v>
      </c>
      <c r="L19" s="42">
        <f>SUM(L7:L18)</f>
        <v>179.91000000000349</v>
      </c>
      <c r="M19" s="43">
        <f>SUM(M5:M18)</f>
        <v>7089.92</v>
      </c>
      <c r="N19" s="23">
        <f>IFERROR(M19/L19,0)</f>
        <v>39.40814851870303</v>
      </c>
      <c r="O19" s="44">
        <f>SUM(O5:O18)</f>
        <v>2504</v>
      </c>
      <c r="P19" s="45"/>
      <c r="S19" s="26"/>
    </row>
    <row r="20" spans="1:20" ht="18" customHeight="1" thickBot="1">
      <c r="A20" s="206" t="s">
        <v>29</v>
      </c>
      <c r="B20" s="207"/>
      <c r="C20" s="207"/>
      <c r="D20" s="207"/>
      <c r="E20" s="207"/>
      <c r="F20" s="207"/>
      <c r="G20" s="207"/>
      <c r="H20" s="207"/>
      <c r="I20" s="207"/>
      <c r="J20" s="207"/>
      <c r="K20" s="207"/>
      <c r="L20" s="208"/>
      <c r="M20" s="46"/>
      <c r="N20" s="47"/>
      <c r="O20" s="37"/>
    </row>
    <row r="21" spans="1:20" ht="22.8" customHeight="1">
      <c r="A21" s="209" t="s">
        <v>3</v>
      </c>
      <c r="B21" s="211" t="s">
        <v>4</v>
      </c>
      <c r="C21" s="234" t="s">
        <v>5</v>
      </c>
      <c r="D21" s="234"/>
      <c r="E21" s="234"/>
      <c r="F21" s="234"/>
      <c r="G21" s="234"/>
      <c r="H21" s="235" t="s">
        <v>6</v>
      </c>
      <c r="I21" s="235"/>
      <c r="J21" s="235"/>
      <c r="K21" s="235"/>
      <c r="L21" s="48"/>
      <c r="M21" s="219" t="s">
        <v>7</v>
      </c>
      <c r="N21" s="194" t="s">
        <v>8</v>
      </c>
      <c r="O21" s="37"/>
    </row>
    <row r="22" spans="1:20" s="51" customFormat="1" ht="24" customHeight="1" thickBot="1">
      <c r="A22" s="210"/>
      <c r="B22" s="212"/>
      <c r="C22" s="49" t="s">
        <v>11</v>
      </c>
      <c r="D22" s="49" t="s">
        <v>12</v>
      </c>
      <c r="E22" s="49" t="s">
        <v>13</v>
      </c>
      <c r="F22" s="2" t="s">
        <v>14</v>
      </c>
      <c r="G22" s="2" t="s">
        <v>8</v>
      </c>
      <c r="H22" s="49" t="s">
        <v>12</v>
      </c>
      <c r="I22" s="49" t="s">
        <v>13</v>
      </c>
      <c r="J22" s="49" t="s">
        <v>14</v>
      </c>
      <c r="K22" s="7" t="s">
        <v>8</v>
      </c>
      <c r="L22" s="50" t="s">
        <v>15</v>
      </c>
      <c r="M22" s="220"/>
      <c r="N22" s="195"/>
      <c r="O22" s="37"/>
      <c r="Q22"/>
      <c r="R22"/>
      <c r="S22"/>
      <c r="T22"/>
    </row>
    <row r="23" spans="1:20" s="51" customFormat="1" ht="24" customHeight="1">
      <c r="A23" s="27">
        <v>1</v>
      </c>
      <c r="B23" s="52" t="s">
        <v>30</v>
      </c>
      <c r="C23" s="6">
        <v>18844.5</v>
      </c>
      <c r="D23" s="6">
        <v>18844.5</v>
      </c>
      <c r="E23" s="53">
        <f>D23-C23</f>
        <v>0</v>
      </c>
      <c r="F23" s="54">
        <v>0</v>
      </c>
      <c r="G23" s="55">
        <f>IFERROR(F23/E23,0)</f>
        <v>0</v>
      </c>
      <c r="H23" s="6">
        <v>18860.099999999999</v>
      </c>
      <c r="I23" s="56">
        <f>H23-D23</f>
        <v>15.599999999998545</v>
      </c>
      <c r="J23" s="54">
        <v>169</v>
      </c>
      <c r="K23" s="57">
        <f>IFERROR(J23/I23,0)</f>
        <v>10.833333333334345</v>
      </c>
      <c r="L23" s="58">
        <f>E23+I23</f>
        <v>15.599999999998545</v>
      </c>
      <c r="M23" s="59">
        <f t="shared" ref="M23:M24" si="9">F23+J23</f>
        <v>169</v>
      </c>
      <c r="N23" s="60">
        <f>IFERROR(M23/L23,0)</f>
        <v>10.833333333334345</v>
      </c>
      <c r="O23" s="61"/>
      <c r="Q23"/>
      <c r="R23"/>
      <c r="S23"/>
      <c r="T23"/>
    </row>
    <row r="24" spans="1:20" ht="24" customHeight="1">
      <c r="A24" s="62">
        <v>2</v>
      </c>
      <c r="B24" s="52" t="s">
        <v>31</v>
      </c>
      <c r="C24" s="63">
        <v>11245.9</v>
      </c>
      <c r="D24" s="63">
        <v>11252.3</v>
      </c>
      <c r="E24" s="53">
        <f>D24-C24</f>
        <v>6.3999999999996362</v>
      </c>
      <c r="F24" s="54">
        <v>100</v>
      </c>
      <c r="G24" s="55">
        <f>IFERROR(F24/E24,0)</f>
        <v>15.625000000000888</v>
      </c>
      <c r="H24" s="63">
        <v>11257.6</v>
      </c>
      <c r="I24" s="64">
        <f>H24-D24</f>
        <v>5.3000000000010914</v>
      </c>
      <c r="J24" s="54">
        <v>101.95</v>
      </c>
      <c r="K24" s="57">
        <f>IFERROR(J24/I24,0)</f>
        <v>19.235849056599815</v>
      </c>
      <c r="L24" s="58">
        <f>E24+I24</f>
        <v>11.700000000000728</v>
      </c>
      <c r="M24" s="59">
        <f t="shared" si="9"/>
        <v>201.95</v>
      </c>
      <c r="N24" s="60">
        <f>IFERROR(M24/L24,0)</f>
        <v>17.260683760682685</v>
      </c>
      <c r="O24" s="65"/>
    </row>
    <row r="25" spans="1:20" ht="24" customHeight="1" thickBot="1">
      <c r="A25" s="238" t="s">
        <v>28</v>
      </c>
      <c r="B25" s="239"/>
      <c r="C25" s="66"/>
      <c r="D25" s="66"/>
      <c r="E25" s="67">
        <f>SUM(E23:E24)</f>
        <v>6.3999999999996362</v>
      </c>
      <c r="F25" s="67">
        <f>SUM(F23:F24)</f>
        <v>100</v>
      </c>
      <c r="G25" s="68"/>
      <c r="H25" s="68"/>
      <c r="I25" s="67">
        <f>SUM(I23:I24)</f>
        <v>20.899999999999636</v>
      </c>
      <c r="J25" s="67">
        <f>SUM(J23:J24)</f>
        <v>270.95</v>
      </c>
      <c r="K25" s="69">
        <f>SUM(K23:K24)</f>
        <v>30.069182389934159</v>
      </c>
      <c r="L25" s="70">
        <f>SUM(L23:L24)</f>
        <v>27.299999999999272</v>
      </c>
      <c r="M25" s="43">
        <f>SUM(M23:M24)</f>
        <v>370.95</v>
      </c>
      <c r="N25" s="71"/>
      <c r="O25" s="37"/>
      <c r="P25" s="72"/>
    </row>
    <row r="26" spans="1:20" ht="18" customHeight="1" thickBot="1">
      <c r="A26" s="245" t="s">
        <v>32</v>
      </c>
      <c r="B26" s="246"/>
      <c r="C26" s="226"/>
      <c r="D26" s="226"/>
      <c r="E26" s="226"/>
      <c r="F26" s="226"/>
      <c r="G26" s="226"/>
      <c r="H26" s="226"/>
      <c r="I26" s="226"/>
      <c r="J26" s="226"/>
      <c r="K26" s="226"/>
      <c r="L26" s="246"/>
      <c r="M26" s="46"/>
      <c r="N26" s="47"/>
      <c r="O26" s="37"/>
    </row>
    <row r="27" spans="1:20" ht="22.8" customHeight="1">
      <c r="A27" s="209" t="s">
        <v>3</v>
      </c>
      <c r="B27" s="211" t="s">
        <v>4</v>
      </c>
      <c r="C27" s="234" t="s">
        <v>5</v>
      </c>
      <c r="D27" s="234"/>
      <c r="E27" s="234"/>
      <c r="F27" s="234"/>
      <c r="G27" s="234"/>
      <c r="H27" s="235" t="s">
        <v>6</v>
      </c>
      <c r="I27" s="235"/>
      <c r="J27" s="235"/>
      <c r="K27" s="235"/>
      <c r="L27" s="48"/>
      <c r="M27" s="219" t="s">
        <v>7</v>
      </c>
      <c r="N27" s="194" t="s">
        <v>8</v>
      </c>
      <c r="O27" s="37"/>
      <c r="S27" s="51"/>
    </row>
    <row r="28" spans="1:20" ht="24" customHeight="1">
      <c r="A28" s="247"/>
      <c r="B28" s="248"/>
      <c r="C28" s="6" t="s">
        <v>11</v>
      </c>
      <c r="D28" s="6" t="s">
        <v>12</v>
      </c>
      <c r="E28" s="6" t="s">
        <v>13</v>
      </c>
      <c r="F28" s="6" t="s">
        <v>14</v>
      </c>
      <c r="G28" s="6" t="s">
        <v>8</v>
      </c>
      <c r="H28" s="6" t="s">
        <v>12</v>
      </c>
      <c r="I28" s="6" t="s">
        <v>13</v>
      </c>
      <c r="J28" s="6" t="s">
        <v>14</v>
      </c>
      <c r="K28" s="7" t="s">
        <v>8</v>
      </c>
      <c r="L28" s="73" t="s">
        <v>15</v>
      </c>
      <c r="M28" s="236"/>
      <c r="N28" s="237"/>
      <c r="O28" s="61"/>
      <c r="P28" s="74"/>
      <c r="S28" s="51"/>
      <c r="T28" s="75"/>
    </row>
    <row r="29" spans="1:20" ht="24" customHeight="1">
      <c r="A29" s="76">
        <v>1</v>
      </c>
      <c r="B29" s="31" t="s">
        <v>33</v>
      </c>
      <c r="C29" s="35">
        <v>21626.7</v>
      </c>
      <c r="D29" s="35">
        <v>21635.8</v>
      </c>
      <c r="E29" s="35">
        <f>D29-C29</f>
        <v>9.0999999999985448</v>
      </c>
      <c r="F29" s="33">
        <v>121.07</v>
      </c>
      <c r="G29" s="10">
        <f t="shared" ref="G29:G33" si="10">IFERROR(F29/E29,0)</f>
        <v>13.304395604397731</v>
      </c>
      <c r="H29" s="35">
        <v>21648.1</v>
      </c>
      <c r="I29" s="56">
        <f>H29-D29</f>
        <v>12.299999999999272</v>
      </c>
      <c r="J29" s="33">
        <v>232.45</v>
      </c>
      <c r="K29" s="28">
        <f t="shared" ref="K29:K33" si="11">IFERROR(J29/I29,0)</f>
        <v>18.898373983740953</v>
      </c>
      <c r="L29" s="84">
        <f t="shared" ref="L29:M33" si="12">E29+I29</f>
        <v>21.399999999997817</v>
      </c>
      <c r="M29" s="79">
        <f t="shared" si="12"/>
        <v>353.52</v>
      </c>
      <c r="N29" s="34">
        <f>IFERROR(M29/L29,0)</f>
        <v>16.519626168225983</v>
      </c>
      <c r="O29" s="37"/>
    </row>
    <row r="30" spans="1:20" ht="24" customHeight="1">
      <c r="A30" s="76">
        <v>2</v>
      </c>
      <c r="B30" s="31" t="s">
        <v>34</v>
      </c>
      <c r="C30" s="35">
        <v>21111.200000000001</v>
      </c>
      <c r="D30" s="35">
        <v>21119.3</v>
      </c>
      <c r="E30" s="35">
        <f>D30-C30</f>
        <v>8.0999999999985448</v>
      </c>
      <c r="F30" s="33">
        <v>127</v>
      </c>
      <c r="G30" s="10">
        <f t="shared" si="10"/>
        <v>15.67901234568183</v>
      </c>
      <c r="H30" s="35">
        <v>21126.2</v>
      </c>
      <c r="I30" s="56">
        <f>H30-D30</f>
        <v>6.9000000000014552</v>
      </c>
      <c r="J30" s="33">
        <v>124.65</v>
      </c>
      <c r="K30" s="28">
        <f>IFERROR(J30/I30,0)</f>
        <v>18.065217391300539</v>
      </c>
      <c r="L30" s="18">
        <f t="shared" si="12"/>
        <v>15</v>
      </c>
      <c r="M30" s="22">
        <f t="shared" si="12"/>
        <v>251.65</v>
      </c>
      <c r="N30" s="23">
        <f>IFERROR(M30/L30,0)</f>
        <v>16.776666666666667</v>
      </c>
      <c r="O30" s="37"/>
    </row>
    <row r="31" spans="1:20" ht="24" customHeight="1">
      <c r="A31" s="76">
        <v>3</v>
      </c>
      <c r="B31" s="31" t="s">
        <v>35</v>
      </c>
      <c r="C31" s="35">
        <v>8947.1</v>
      </c>
      <c r="D31" s="35">
        <v>8955.6</v>
      </c>
      <c r="E31" s="17">
        <f t="shared" ref="E31:E33" si="13">D31-C31</f>
        <v>8.5</v>
      </c>
      <c r="F31" s="33">
        <v>119.84</v>
      </c>
      <c r="G31" s="10">
        <f t="shared" si="10"/>
        <v>14.098823529411765</v>
      </c>
      <c r="H31" s="35">
        <v>8958.7999999999993</v>
      </c>
      <c r="I31" s="19">
        <f>H31-D31</f>
        <v>3.1999999999989086</v>
      </c>
      <c r="J31" s="33">
        <v>66.069999999999993</v>
      </c>
      <c r="K31" s="28">
        <f t="shared" si="11"/>
        <v>20.646875000007039</v>
      </c>
      <c r="L31" s="18">
        <f t="shared" si="12"/>
        <v>11.699999999998909</v>
      </c>
      <c r="M31" s="22">
        <f t="shared" si="12"/>
        <v>185.91</v>
      </c>
      <c r="N31" s="23">
        <f>IFERROR(M31/L31,0)</f>
        <v>15.889743589745072</v>
      </c>
      <c r="O31" s="77"/>
    </row>
    <row r="32" spans="1:20" ht="24.6" customHeight="1">
      <c r="A32" s="76">
        <v>4</v>
      </c>
      <c r="B32" s="31" t="s">
        <v>36</v>
      </c>
      <c r="C32" s="35">
        <v>3412.8</v>
      </c>
      <c r="D32" s="35">
        <v>3426.4</v>
      </c>
      <c r="E32" s="17">
        <f t="shared" si="13"/>
        <v>13.599999999999909</v>
      </c>
      <c r="F32" s="33">
        <v>379.01</v>
      </c>
      <c r="G32" s="78">
        <f t="shared" si="10"/>
        <v>27.868382352941364</v>
      </c>
      <c r="H32" s="35">
        <v>3433</v>
      </c>
      <c r="I32" s="19">
        <f t="shared" ref="I32:I33" si="14">H32-D32</f>
        <v>6.5999999999999091</v>
      </c>
      <c r="J32" s="33">
        <v>193.5</v>
      </c>
      <c r="K32" s="28">
        <f t="shared" si="11"/>
        <v>29.318181818182222</v>
      </c>
      <c r="L32" s="18">
        <f t="shared" si="12"/>
        <v>20.199999999999818</v>
      </c>
      <c r="M32" s="79">
        <f t="shared" si="12"/>
        <v>572.51</v>
      </c>
      <c r="N32" s="23">
        <f>IFERROR(M32/L32,0)</f>
        <v>28.342079207921046</v>
      </c>
      <c r="O32" s="80"/>
    </row>
    <row r="33" spans="1:19" ht="24.6" customHeight="1">
      <c r="A33" s="76">
        <v>5</v>
      </c>
      <c r="B33" s="31" t="s">
        <v>37</v>
      </c>
      <c r="C33" s="35">
        <v>739</v>
      </c>
      <c r="D33" s="35">
        <v>747.1</v>
      </c>
      <c r="E33" s="17">
        <f t="shared" si="13"/>
        <v>8.1000000000000227</v>
      </c>
      <c r="F33" s="33">
        <v>267.02</v>
      </c>
      <c r="G33" s="78">
        <f t="shared" si="10"/>
        <v>32.965432098765341</v>
      </c>
      <c r="H33" s="35">
        <v>755</v>
      </c>
      <c r="I33" s="19">
        <f t="shared" si="14"/>
        <v>7.8999999999999773</v>
      </c>
      <c r="J33" s="33">
        <v>223.2</v>
      </c>
      <c r="K33" s="28">
        <f t="shared" si="11"/>
        <v>28.253164556962105</v>
      </c>
      <c r="L33" s="18">
        <f t="shared" si="12"/>
        <v>16</v>
      </c>
      <c r="M33" s="79">
        <f t="shared" si="12"/>
        <v>490.21999999999997</v>
      </c>
      <c r="N33" s="23">
        <f>IFERROR(M33/L33,0)</f>
        <v>30.638749999999998</v>
      </c>
      <c r="O33" s="80"/>
    </row>
    <row r="34" spans="1:19" ht="22.8" customHeight="1" thickBot="1">
      <c r="A34" s="238" t="s">
        <v>28</v>
      </c>
      <c r="B34" s="239"/>
      <c r="C34" s="66"/>
      <c r="D34" s="66"/>
      <c r="E34" s="67">
        <f>SUM(E29:E33)</f>
        <v>47.399999999997021</v>
      </c>
      <c r="F34" s="67">
        <f>SUM(F29:F33)</f>
        <v>1013.9399999999999</v>
      </c>
      <c r="G34" s="68"/>
      <c r="H34" s="68"/>
      <c r="I34" s="67">
        <f>SUM(I29:I33)</f>
        <v>36.899999999999523</v>
      </c>
      <c r="J34" s="67">
        <f>SUM(J29:J33)</f>
        <v>839.87000000000012</v>
      </c>
      <c r="K34" s="69">
        <f>SUM(K29:K33)</f>
        <v>115.18181275019286</v>
      </c>
      <c r="L34" s="70">
        <f>SUM(L29:L33)</f>
        <v>84.299999999996544</v>
      </c>
      <c r="M34" s="43">
        <f>SUM(M29:M33)</f>
        <v>1853.81</v>
      </c>
      <c r="N34" s="71">
        <f>IFERROR(M34/K34,0)</f>
        <v>16.094641642952404</v>
      </c>
      <c r="O34" s="37"/>
      <c r="P34" s="72"/>
      <c r="S34" s="51"/>
    </row>
    <row r="35" spans="1:19" ht="24" customHeight="1">
      <c r="A35" s="240" t="s">
        <v>38</v>
      </c>
      <c r="B35" s="241"/>
      <c r="C35" s="241"/>
      <c r="D35" s="241"/>
      <c r="E35" s="241"/>
      <c r="F35" s="241"/>
      <c r="G35" s="241"/>
      <c r="H35" s="241"/>
      <c r="I35" s="241"/>
      <c r="J35" s="241"/>
      <c r="K35" s="241"/>
      <c r="L35" s="242"/>
      <c r="M35" s="46"/>
      <c r="N35" s="47"/>
      <c r="O35" s="61"/>
      <c r="S35" s="51"/>
    </row>
    <row r="36" spans="1:19" ht="24" customHeight="1">
      <c r="A36" s="243" t="s">
        <v>3</v>
      </c>
      <c r="B36" s="243" t="s">
        <v>4</v>
      </c>
      <c r="C36" s="213" t="s">
        <v>5</v>
      </c>
      <c r="D36" s="214"/>
      <c r="E36" s="214"/>
      <c r="F36" s="214"/>
      <c r="G36" s="215"/>
      <c r="H36" s="216" t="s">
        <v>6</v>
      </c>
      <c r="I36" s="217"/>
      <c r="J36" s="217"/>
      <c r="K36" s="218"/>
      <c r="L36" s="5"/>
      <c r="M36" s="221" t="s">
        <v>7</v>
      </c>
      <c r="N36" s="222" t="s">
        <v>8</v>
      </c>
      <c r="O36" s="37"/>
    </row>
    <row r="37" spans="1:19" ht="24" customHeight="1">
      <c r="A37" s="244"/>
      <c r="B37" s="244"/>
      <c r="C37" s="2" t="s">
        <v>11</v>
      </c>
      <c r="D37" s="2" t="s">
        <v>12</v>
      </c>
      <c r="E37" s="2" t="s">
        <v>13</v>
      </c>
      <c r="F37" s="2" t="s">
        <v>14</v>
      </c>
      <c r="G37" s="2" t="s">
        <v>8</v>
      </c>
      <c r="H37" s="2" t="s">
        <v>12</v>
      </c>
      <c r="I37" s="2" t="s">
        <v>13</v>
      </c>
      <c r="J37" s="2" t="s">
        <v>14</v>
      </c>
      <c r="K37" s="82" t="s">
        <v>8</v>
      </c>
      <c r="L37" s="12" t="s">
        <v>15</v>
      </c>
      <c r="M37" s="221"/>
      <c r="N37" s="222"/>
      <c r="O37" s="37"/>
    </row>
    <row r="38" spans="1:19" ht="24" customHeight="1">
      <c r="A38" s="76">
        <v>1</v>
      </c>
      <c r="B38" s="31" t="s">
        <v>39</v>
      </c>
      <c r="C38" s="83">
        <v>16576.8</v>
      </c>
      <c r="D38" s="83">
        <v>16584.7</v>
      </c>
      <c r="E38" s="35">
        <f>D38-C38</f>
        <v>7.9000000000014552</v>
      </c>
      <c r="F38" s="33">
        <v>100.27</v>
      </c>
      <c r="G38" s="78">
        <f t="shared" ref="G38:G39" si="15">IFERROR(F38/E38,0)</f>
        <v>12.692405063288801</v>
      </c>
      <c r="H38" s="83">
        <v>16593.5</v>
      </c>
      <c r="I38" s="56">
        <f>H38-D38</f>
        <v>8.7999999999992724</v>
      </c>
      <c r="J38" s="33">
        <v>148.31</v>
      </c>
      <c r="K38" s="28">
        <f>IFERROR(J38/I38,0)</f>
        <v>16.853409090910485</v>
      </c>
      <c r="L38" s="84">
        <f t="shared" ref="L38:L39" si="16">E38+I38</f>
        <v>16.700000000000728</v>
      </c>
      <c r="M38" s="79">
        <f>F38+J38</f>
        <v>248.57999999999998</v>
      </c>
      <c r="N38" s="34">
        <f>IFERROR(M38/L38,0)</f>
        <v>14.885029940119111</v>
      </c>
      <c r="O38" s="37"/>
    </row>
    <row r="39" spans="1:19" ht="27" customHeight="1">
      <c r="A39" s="76">
        <v>2</v>
      </c>
      <c r="B39" s="31" t="s">
        <v>40</v>
      </c>
      <c r="C39" s="35">
        <v>4439.5</v>
      </c>
      <c r="D39" s="35">
        <v>4446.3</v>
      </c>
      <c r="E39" s="17">
        <f>D39-C39</f>
        <v>6.8000000000001819</v>
      </c>
      <c r="F39" s="33">
        <v>175.78</v>
      </c>
      <c r="G39" s="10">
        <f t="shared" si="15"/>
        <v>25.849999999999309</v>
      </c>
      <c r="H39" s="35">
        <v>4451.2</v>
      </c>
      <c r="I39" s="19">
        <f>H39-D39</f>
        <v>4.8999999999996362</v>
      </c>
      <c r="J39" s="33">
        <v>62.7</v>
      </c>
      <c r="K39" s="28">
        <f>IFERROR(J39/I39,0)</f>
        <v>12.795918367347889</v>
      </c>
      <c r="L39" s="18">
        <f t="shared" si="16"/>
        <v>11.699999999999818</v>
      </c>
      <c r="M39" s="22">
        <f>F39+J39</f>
        <v>238.48000000000002</v>
      </c>
      <c r="N39" s="23">
        <f>IFERROR(M39/L39,0)</f>
        <v>20.382905982906301</v>
      </c>
      <c r="O39" s="37"/>
      <c r="S39" s="51"/>
    </row>
    <row r="40" spans="1:19" ht="22.8" customHeight="1" thickBot="1">
      <c r="A40" s="196" t="s">
        <v>28</v>
      </c>
      <c r="B40" s="233"/>
      <c r="C40" s="68"/>
      <c r="D40" s="66"/>
      <c r="E40" s="67">
        <f>SUM(E38:E39)</f>
        <v>14.700000000001637</v>
      </c>
      <c r="F40" s="67">
        <f>SUM(F38:F39:F39)</f>
        <v>276.05</v>
      </c>
      <c r="G40" s="68"/>
      <c r="H40" s="68"/>
      <c r="I40" s="67">
        <f>SUM(I38:I39)</f>
        <v>13.699999999998909</v>
      </c>
      <c r="J40" s="67">
        <f>SUM(J38:J39)</f>
        <v>211.01</v>
      </c>
      <c r="K40" s="69">
        <f>SUM(K38:K39)</f>
        <v>29.649327458258377</v>
      </c>
      <c r="L40" s="70">
        <f>SUM(L38:L39)</f>
        <v>28.400000000000546</v>
      </c>
      <c r="M40" s="43">
        <f>SUM(M38:M39)</f>
        <v>487.06</v>
      </c>
      <c r="N40" s="71">
        <f>IFERROR(M40/K40,0)</f>
        <v>16.427354066823419</v>
      </c>
      <c r="O40" s="37"/>
      <c r="P40" s="72"/>
      <c r="S40" s="51"/>
    </row>
    <row r="41" spans="1:19" ht="24" customHeight="1">
      <c r="A41" s="225" t="s">
        <v>41</v>
      </c>
      <c r="B41" s="226"/>
      <c r="C41" s="226"/>
      <c r="D41" s="226"/>
      <c r="E41" s="226"/>
      <c r="F41" s="226"/>
      <c r="G41" s="226"/>
      <c r="H41" s="226"/>
      <c r="I41" s="226"/>
      <c r="J41" s="226"/>
      <c r="K41" s="226"/>
      <c r="L41" s="226"/>
      <c r="M41" s="46"/>
      <c r="N41" s="47"/>
      <c r="O41" s="61"/>
    </row>
    <row r="42" spans="1:19" ht="24" customHeight="1">
      <c r="A42" s="222" t="s">
        <v>3</v>
      </c>
      <c r="B42" s="222" t="s">
        <v>4</v>
      </c>
      <c r="C42" s="234" t="s">
        <v>5</v>
      </c>
      <c r="D42" s="234"/>
      <c r="E42" s="234"/>
      <c r="F42" s="234"/>
      <c r="G42" s="234"/>
      <c r="H42" s="235" t="s">
        <v>6</v>
      </c>
      <c r="I42" s="235"/>
      <c r="J42" s="235"/>
      <c r="K42" s="235"/>
      <c r="L42" s="5"/>
      <c r="M42" s="221" t="s">
        <v>7</v>
      </c>
      <c r="N42" s="222" t="s">
        <v>8</v>
      </c>
      <c r="O42" s="37"/>
    </row>
    <row r="43" spans="1:19" ht="25.8" customHeight="1">
      <c r="A43" s="222"/>
      <c r="B43" s="222"/>
      <c r="C43" s="2" t="s">
        <v>11</v>
      </c>
      <c r="D43" s="2" t="s">
        <v>12</v>
      </c>
      <c r="E43" s="2" t="s">
        <v>13</v>
      </c>
      <c r="F43" s="2" t="s">
        <v>14</v>
      </c>
      <c r="G43" s="2" t="s">
        <v>8</v>
      </c>
      <c r="H43" s="2" t="s">
        <v>12</v>
      </c>
      <c r="I43" s="2" t="s">
        <v>13</v>
      </c>
      <c r="J43" s="2" t="s">
        <v>14</v>
      </c>
      <c r="K43" s="82" t="s">
        <v>8</v>
      </c>
      <c r="L43" s="12" t="s">
        <v>15</v>
      </c>
      <c r="M43" s="221"/>
      <c r="N43" s="222"/>
      <c r="O43" s="37"/>
    </row>
    <row r="44" spans="1:19" ht="25.8" customHeight="1">
      <c r="A44" s="5">
        <v>1</v>
      </c>
      <c r="B44" s="85" t="s">
        <v>186</v>
      </c>
      <c r="C44" s="2">
        <v>0</v>
      </c>
      <c r="D44" s="2">
        <v>0</v>
      </c>
      <c r="E44" s="20">
        <f>D44-C44</f>
        <v>0</v>
      </c>
      <c r="F44" s="2">
        <v>0</v>
      </c>
      <c r="G44" s="10">
        <f t="shared" ref="G44:G46" si="17">IFERROR(F44/E44,0)</f>
        <v>0</v>
      </c>
      <c r="H44" s="2">
        <v>0</v>
      </c>
      <c r="I44" s="86">
        <f>H44-D44</f>
        <v>0</v>
      </c>
      <c r="J44" s="2">
        <v>389.41</v>
      </c>
      <c r="K44" s="28">
        <f>IFERROR(J44/I44,0)</f>
        <v>0</v>
      </c>
      <c r="L44" s="18">
        <f>E44+I44</f>
        <v>0</v>
      </c>
      <c r="M44" s="22">
        <f>F44+J44</f>
        <v>389.41</v>
      </c>
      <c r="N44" s="23">
        <f>IFERROR(M44/L44,0)</f>
        <v>0</v>
      </c>
      <c r="O44" s="37"/>
    </row>
    <row r="45" spans="1:19" ht="24.6" customHeight="1">
      <c r="A45" s="76">
        <v>2</v>
      </c>
      <c r="B45" s="85" t="s">
        <v>42</v>
      </c>
      <c r="C45" s="33">
        <v>8654.9</v>
      </c>
      <c r="D45" s="33">
        <v>8654.9</v>
      </c>
      <c r="E45" s="20">
        <f>D45-C45</f>
        <v>0</v>
      </c>
      <c r="F45" s="33">
        <v>0</v>
      </c>
      <c r="G45" s="10">
        <f t="shared" si="17"/>
        <v>0</v>
      </c>
      <c r="H45" s="33">
        <v>8665.4</v>
      </c>
      <c r="I45" s="86">
        <f>H45-D45</f>
        <v>10.5</v>
      </c>
      <c r="J45" s="33">
        <v>354.3</v>
      </c>
      <c r="K45" s="28">
        <f>IFERROR(J45/I45,0)</f>
        <v>33.742857142857147</v>
      </c>
      <c r="L45" s="18">
        <f>E45+I45</f>
        <v>10.5</v>
      </c>
      <c r="M45" s="22">
        <f>F45+J45</f>
        <v>354.3</v>
      </c>
      <c r="N45" s="23">
        <f>IFERROR(M45/L45,0)</f>
        <v>33.742857142857147</v>
      </c>
      <c r="O45" s="87"/>
      <c r="S45" s="51"/>
    </row>
    <row r="46" spans="1:19" ht="22.8" customHeight="1">
      <c r="A46" s="76">
        <v>3</v>
      </c>
      <c r="B46" s="85" t="s">
        <v>43</v>
      </c>
      <c r="C46" s="33">
        <v>1620.6</v>
      </c>
      <c r="D46" s="33">
        <v>1620.6</v>
      </c>
      <c r="E46" s="20">
        <f>D46-C46</f>
        <v>0</v>
      </c>
      <c r="F46" s="33">
        <v>0</v>
      </c>
      <c r="G46" s="10">
        <f t="shared" si="17"/>
        <v>0</v>
      </c>
      <c r="H46" s="33">
        <v>1620.6</v>
      </c>
      <c r="I46" s="86">
        <f>H46-D46</f>
        <v>0</v>
      </c>
      <c r="J46" s="33">
        <v>0</v>
      </c>
      <c r="K46" s="28">
        <f>IFERROR(J46/I46,0)</f>
        <v>0</v>
      </c>
      <c r="L46" s="18">
        <f>E46+I46</f>
        <v>0</v>
      </c>
      <c r="M46" s="22">
        <f t="shared" ref="M46" si="18">F46+J46</f>
        <v>0</v>
      </c>
      <c r="N46" s="23">
        <f>IFERROR(M46/L46,0)</f>
        <v>0</v>
      </c>
      <c r="O46" s="87"/>
      <c r="P46" s="88"/>
      <c r="Q46" s="89"/>
    </row>
    <row r="47" spans="1:19" ht="24" customHeight="1" thickBot="1">
      <c r="A47" s="223" t="s">
        <v>28</v>
      </c>
      <c r="B47" s="224"/>
      <c r="C47" s="90"/>
      <c r="D47" s="90"/>
      <c r="E47" s="91">
        <f>SUM(E45:E46)</f>
        <v>0</v>
      </c>
      <c r="F47" s="91">
        <f>SUM(F45:F46)</f>
        <v>0</v>
      </c>
      <c r="G47" s="92"/>
      <c r="H47" s="92"/>
      <c r="I47" s="91">
        <f>SUM(I44:I46)</f>
        <v>10.5</v>
      </c>
      <c r="J47" s="91">
        <f>SUM(J44:J46)</f>
        <v>743.71</v>
      </c>
      <c r="K47" s="93">
        <f>SUM(K44:K46)</f>
        <v>33.742857142857147</v>
      </c>
      <c r="L47" s="94">
        <f>SUM(L44:L46)</f>
        <v>10.5</v>
      </c>
      <c r="M47" s="95">
        <f>SUM(M44:M46)</f>
        <v>743.71</v>
      </c>
      <c r="N47" s="96">
        <f>M47/L47</f>
        <v>70.829523809523806</v>
      </c>
      <c r="O47" s="37"/>
      <c r="P47" s="97"/>
      <c r="Q47" s="89"/>
    </row>
    <row r="48" spans="1:19" ht="24" customHeight="1">
      <c r="A48" s="225" t="s">
        <v>44</v>
      </c>
      <c r="B48" s="226"/>
      <c r="C48" s="226"/>
      <c r="D48" s="226"/>
      <c r="E48" s="226"/>
      <c r="F48" s="226"/>
      <c r="G48" s="226"/>
      <c r="H48" s="226"/>
      <c r="I48" s="226"/>
      <c r="J48" s="226"/>
      <c r="K48" s="226"/>
      <c r="L48" s="226"/>
      <c r="M48" s="98"/>
      <c r="N48" s="99"/>
      <c r="O48" s="37"/>
      <c r="P48" s="100"/>
      <c r="Q48" s="100"/>
    </row>
    <row r="49" spans="1:27" ht="24" customHeight="1">
      <c r="A49" s="222" t="s">
        <v>3</v>
      </c>
      <c r="B49" s="222" t="s">
        <v>4</v>
      </c>
      <c r="C49" s="227" t="s">
        <v>5</v>
      </c>
      <c r="D49" s="228"/>
      <c r="E49" s="228"/>
      <c r="F49" s="228"/>
      <c r="G49" s="228"/>
      <c r="H49" s="229"/>
      <c r="I49" s="230" t="s">
        <v>6</v>
      </c>
      <c r="J49" s="231"/>
      <c r="K49" s="231"/>
      <c r="L49" s="231"/>
      <c r="M49" s="231"/>
      <c r="N49" s="232"/>
      <c r="O49" s="201" t="s">
        <v>45</v>
      </c>
      <c r="P49" s="203" t="s">
        <v>46</v>
      </c>
      <c r="Q49" s="203" t="s">
        <v>47</v>
      </c>
      <c r="R49" s="205" t="s">
        <v>48</v>
      </c>
      <c r="Z49" s="101"/>
    </row>
    <row r="50" spans="1:27" ht="33" customHeight="1">
      <c r="A50" s="222"/>
      <c r="B50" s="222"/>
      <c r="C50" s="2" t="s">
        <v>49</v>
      </c>
      <c r="D50" s="2" t="s">
        <v>50</v>
      </c>
      <c r="E50" s="2" t="s">
        <v>51</v>
      </c>
      <c r="F50" s="102" t="s">
        <v>11</v>
      </c>
      <c r="G50" s="2" t="s">
        <v>14</v>
      </c>
      <c r="H50" s="2" t="s">
        <v>8</v>
      </c>
      <c r="I50" s="2" t="s">
        <v>50</v>
      </c>
      <c r="J50" s="2" t="s">
        <v>45</v>
      </c>
      <c r="K50" s="102" t="s">
        <v>12</v>
      </c>
      <c r="L50" s="102" t="s">
        <v>15</v>
      </c>
      <c r="M50" s="2" t="s">
        <v>14</v>
      </c>
      <c r="N50" s="82" t="s">
        <v>8</v>
      </c>
      <c r="O50" s="202"/>
      <c r="P50" s="204"/>
      <c r="Q50" s="204"/>
      <c r="R50" s="205"/>
    </row>
    <row r="51" spans="1:27" ht="21" customHeight="1">
      <c r="A51" s="81">
        <v>1</v>
      </c>
      <c r="B51" s="103" t="s">
        <v>52</v>
      </c>
      <c r="C51" s="2">
        <v>279387.59999999998</v>
      </c>
      <c r="D51" s="2">
        <v>279460</v>
      </c>
      <c r="E51" s="104">
        <f t="shared" ref="E51:E116" si="19">D51-C51</f>
        <v>72.400000000023283</v>
      </c>
      <c r="F51" s="105">
        <v>22117.27</v>
      </c>
      <c r="G51" s="49">
        <v>107</v>
      </c>
      <c r="H51" s="10">
        <f t="shared" ref="H51:H116" si="20">IFERROR(E51/G51,0)</f>
        <v>0.6766355140189092</v>
      </c>
      <c r="I51" s="2">
        <v>279555.59999999998</v>
      </c>
      <c r="J51" s="106">
        <f t="shared" ref="J51:J116" si="21">I51-D51</f>
        <v>95.599999999976717</v>
      </c>
      <c r="K51" s="105">
        <v>22132.13</v>
      </c>
      <c r="L51" s="107">
        <f t="shared" ref="L51:L116" si="22">K51-F51</f>
        <v>14.860000000000582</v>
      </c>
      <c r="M51" s="2">
        <v>129</v>
      </c>
      <c r="N51" s="28">
        <f t="shared" ref="N51:N116" si="23">IFERROR(J51/M51,0)</f>
        <v>0.74108527131764901</v>
      </c>
      <c r="O51" s="84">
        <f t="shared" ref="O51:O116" si="24">J51+E51</f>
        <v>168</v>
      </c>
      <c r="P51" s="79">
        <f t="shared" ref="P51:P116" si="25">G51+M51</f>
        <v>236</v>
      </c>
      <c r="Q51" s="34">
        <f t="shared" ref="Q51:Q116" si="26">IFERROR(O51/P51,0)</f>
        <v>0.71186440677966101</v>
      </c>
      <c r="R51" s="108">
        <v>19</v>
      </c>
    </row>
    <row r="52" spans="1:27" ht="21" customHeight="1">
      <c r="A52" s="81">
        <v>2</v>
      </c>
      <c r="B52" s="103" t="s">
        <v>155</v>
      </c>
      <c r="C52" s="2">
        <v>302091</v>
      </c>
      <c r="D52" s="2">
        <v>302142</v>
      </c>
      <c r="E52" s="104">
        <f t="shared" si="19"/>
        <v>51</v>
      </c>
      <c r="F52" s="105">
        <v>30532</v>
      </c>
      <c r="G52" s="49">
        <v>84.27</v>
      </c>
      <c r="H52" s="10">
        <f t="shared" si="20"/>
        <v>0.6051975792096832</v>
      </c>
      <c r="I52" s="2">
        <v>302190</v>
      </c>
      <c r="J52" s="106">
        <f t="shared" si="21"/>
        <v>48</v>
      </c>
      <c r="K52" s="105">
        <v>30547</v>
      </c>
      <c r="L52" s="107">
        <f t="shared" si="22"/>
        <v>15</v>
      </c>
      <c r="M52" s="2">
        <v>82</v>
      </c>
      <c r="N52" s="28">
        <f t="shared" si="23"/>
        <v>0.58536585365853655</v>
      </c>
      <c r="O52" s="84">
        <f t="shared" si="24"/>
        <v>99</v>
      </c>
      <c r="P52" s="79">
        <f t="shared" si="25"/>
        <v>166.26999999999998</v>
      </c>
      <c r="Q52" s="34">
        <f t="shared" si="26"/>
        <v>0.59541709268057985</v>
      </c>
      <c r="R52" s="108">
        <v>67</v>
      </c>
    </row>
    <row r="53" spans="1:27" ht="21" customHeight="1">
      <c r="A53" s="81">
        <v>3</v>
      </c>
      <c r="B53" s="103" t="s">
        <v>171</v>
      </c>
      <c r="C53" s="2">
        <v>311178</v>
      </c>
      <c r="D53" s="2">
        <v>311241</v>
      </c>
      <c r="E53" s="104">
        <f t="shared" si="19"/>
        <v>63</v>
      </c>
      <c r="F53" s="105">
        <v>31089</v>
      </c>
      <c r="G53" s="49">
        <v>120.54</v>
      </c>
      <c r="H53" s="10">
        <f t="shared" si="20"/>
        <v>0.5226480836236933</v>
      </c>
      <c r="I53" s="2">
        <v>311278</v>
      </c>
      <c r="J53" s="106">
        <f t="shared" si="21"/>
        <v>37</v>
      </c>
      <c r="K53" s="105">
        <v>31107</v>
      </c>
      <c r="L53" s="107">
        <f t="shared" si="22"/>
        <v>18</v>
      </c>
      <c r="M53" s="2">
        <v>71</v>
      </c>
      <c r="N53" s="28">
        <f t="shared" si="23"/>
        <v>0.52112676056338025</v>
      </c>
      <c r="O53" s="84">
        <f t="shared" si="24"/>
        <v>100</v>
      </c>
      <c r="P53" s="79">
        <f t="shared" si="25"/>
        <v>191.54000000000002</v>
      </c>
      <c r="Q53" s="34">
        <f t="shared" si="26"/>
        <v>0.52208415996658653</v>
      </c>
      <c r="R53" s="108">
        <v>44</v>
      </c>
    </row>
    <row r="54" spans="1:27" ht="21" customHeight="1">
      <c r="A54" s="81">
        <v>4</v>
      </c>
      <c r="B54" s="103" t="s">
        <v>156</v>
      </c>
      <c r="C54" s="2">
        <v>262085</v>
      </c>
      <c r="D54" s="2">
        <v>262085</v>
      </c>
      <c r="E54" s="104">
        <f t="shared" si="19"/>
        <v>0</v>
      </c>
      <c r="F54" s="105">
        <v>27776</v>
      </c>
      <c r="G54" s="49">
        <v>0</v>
      </c>
      <c r="H54" s="10">
        <f t="shared" si="20"/>
        <v>0</v>
      </c>
      <c r="I54" s="2">
        <v>262129</v>
      </c>
      <c r="J54" s="106">
        <f t="shared" si="21"/>
        <v>44</v>
      </c>
      <c r="K54" s="105">
        <v>27780</v>
      </c>
      <c r="L54" s="107">
        <f t="shared" si="22"/>
        <v>4</v>
      </c>
      <c r="M54" s="2">
        <v>76</v>
      </c>
      <c r="N54" s="28">
        <f t="shared" si="23"/>
        <v>0.57894736842105265</v>
      </c>
      <c r="O54" s="84">
        <f t="shared" si="24"/>
        <v>44</v>
      </c>
      <c r="P54" s="79">
        <f t="shared" si="25"/>
        <v>76</v>
      </c>
      <c r="Q54" s="34">
        <f t="shared" si="26"/>
        <v>0.57894736842105265</v>
      </c>
      <c r="R54" s="108">
        <v>45</v>
      </c>
    </row>
    <row r="55" spans="1:27" ht="21" customHeight="1">
      <c r="A55" s="81">
        <v>5</v>
      </c>
      <c r="B55" s="103" t="s">
        <v>157</v>
      </c>
      <c r="C55" s="2">
        <v>277103</v>
      </c>
      <c r="D55" s="2">
        <v>277144</v>
      </c>
      <c r="E55" s="104">
        <f t="shared" si="19"/>
        <v>41</v>
      </c>
      <c r="F55" s="105">
        <v>28112</v>
      </c>
      <c r="G55" s="49">
        <v>65</v>
      </c>
      <c r="H55" s="10">
        <f t="shared" si="20"/>
        <v>0.63076923076923075</v>
      </c>
      <c r="I55" s="2">
        <v>277278</v>
      </c>
      <c r="J55" s="106">
        <f t="shared" si="21"/>
        <v>134</v>
      </c>
      <c r="K55" s="105">
        <v>28124</v>
      </c>
      <c r="L55" s="107">
        <f t="shared" si="22"/>
        <v>12</v>
      </c>
      <c r="M55" s="2">
        <v>140</v>
      </c>
      <c r="N55" s="28">
        <f t="shared" si="23"/>
        <v>0.95714285714285718</v>
      </c>
      <c r="O55" s="84">
        <f t="shared" si="24"/>
        <v>175</v>
      </c>
      <c r="P55" s="79">
        <f t="shared" si="25"/>
        <v>205</v>
      </c>
      <c r="Q55" s="34">
        <f t="shared" si="26"/>
        <v>0.85365853658536583</v>
      </c>
      <c r="R55" s="108">
        <v>21</v>
      </c>
    </row>
    <row r="56" spans="1:27" ht="21" customHeight="1">
      <c r="A56" s="81">
        <v>6</v>
      </c>
      <c r="B56" s="103" t="s">
        <v>172</v>
      </c>
      <c r="C56" s="2">
        <v>266622</v>
      </c>
      <c r="D56" s="2">
        <v>266780</v>
      </c>
      <c r="E56" s="104">
        <f t="shared" si="19"/>
        <v>158</v>
      </c>
      <c r="F56" s="105">
        <v>26395</v>
      </c>
      <c r="G56" s="49">
        <v>232</v>
      </c>
      <c r="H56" s="10">
        <f t="shared" si="20"/>
        <v>0.68103448275862066</v>
      </c>
      <c r="I56" s="2">
        <v>266890</v>
      </c>
      <c r="J56" s="106">
        <f t="shared" si="21"/>
        <v>110</v>
      </c>
      <c r="K56" s="105">
        <v>26415</v>
      </c>
      <c r="L56" s="107">
        <f t="shared" si="22"/>
        <v>20</v>
      </c>
      <c r="M56" s="2">
        <v>156</v>
      </c>
      <c r="N56" s="28">
        <f t="shared" si="23"/>
        <v>0.70512820512820518</v>
      </c>
      <c r="O56" s="84">
        <f t="shared" si="24"/>
        <v>268</v>
      </c>
      <c r="P56" s="79">
        <f t="shared" si="25"/>
        <v>388</v>
      </c>
      <c r="Q56" s="34">
        <f t="shared" si="26"/>
        <v>0.69072164948453607</v>
      </c>
      <c r="R56" s="108">
        <v>27</v>
      </c>
    </row>
    <row r="57" spans="1:27" ht="21" customHeight="1">
      <c r="A57" s="81">
        <v>7</v>
      </c>
      <c r="B57" s="103" t="s">
        <v>173</v>
      </c>
      <c r="C57" s="2">
        <v>295788</v>
      </c>
      <c r="D57" s="2">
        <v>295838</v>
      </c>
      <c r="E57" s="104">
        <f t="shared" si="19"/>
        <v>50</v>
      </c>
      <c r="F57" s="105">
        <v>28778</v>
      </c>
      <c r="G57" s="49">
        <v>71</v>
      </c>
      <c r="H57" s="10">
        <f t="shared" si="20"/>
        <v>0.70422535211267601</v>
      </c>
      <c r="I57" s="2">
        <v>295838</v>
      </c>
      <c r="J57" s="106">
        <f t="shared" si="21"/>
        <v>0</v>
      </c>
      <c r="K57" s="105">
        <v>28783</v>
      </c>
      <c r="L57" s="107">
        <f t="shared" si="22"/>
        <v>5</v>
      </c>
      <c r="M57" s="2">
        <v>0</v>
      </c>
      <c r="N57" s="28">
        <f t="shared" si="23"/>
        <v>0</v>
      </c>
      <c r="O57" s="84">
        <f t="shared" si="24"/>
        <v>50</v>
      </c>
      <c r="P57" s="79">
        <f t="shared" si="25"/>
        <v>71</v>
      </c>
      <c r="Q57" s="34">
        <f t="shared" si="26"/>
        <v>0.70422535211267601</v>
      </c>
      <c r="R57" s="108">
        <v>11</v>
      </c>
    </row>
    <row r="58" spans="1:27" ht="24" customHeight="1">
      <c r="A58" s="81">
        <v>8</v>
      </c>
      <c r="B58" s="31" t="s">
        <v>53</v>
      </c>
      <c r="C58" s="35">
        <v>334458.40000000002</v>
      </c>
      <c r="D58" s="35">
        <v>334512.90000000002</v>
      </c>
      <c r="E58" s="104">
        <f t="shared" si="19"/>
        <v>54.5</v>
      </c>
      <c r="F58" s="110">
        <v>29864</v>
      </c>
      <c r="G58" s="111">
        <v>98.12</v>
      </c>
      <c r="H58" s="10">
        <f t="shared" si="20"/>
        <v>0.55544231553200163</v>
      </c>
      <c r="I58" s="35">
        <v>334587.7</v>
      </c>
      <c r="J58" s="106">
        <f t="shared" si="21"/>
        <v>74.799999999988358</v>
      </c>
      <c r="K58" s="110">
        <v>29878.48</v>
      </c>
      <c r="L58" s="107">
        <f t="shared" si="22"/>
        <v>14.479999999999563</v>
      </c>
      <c r="M58" s="112">
        <v>138</v>
      </c>
      <c r="N58" s="28">
        <f t="shared" si="23"/>
        <v>0.54202898550716205</v>
      </c>
      <c r="O58" s="84">
        <f t="shared" si="24"/>
        <v>129.29999999998836</v>
      </c>
      <c r="P58" s="79">
        <f t="shared" si="25"/>
        <v>236.12</v>
      </c>
      <c r="Q58" s="34">
        <f t="shared" si="26"/>
        <v>0.54760291377260861</v>
      </c>
      <c r="R58" s="1">
        <v>43</v>
      </c>
    </row>
    <row r="59" spans="1:27" ht="24" customHeight="1">
      <c r="A59" s="81">
        <v>9</v>
      </c>
      <c r="B59" s="31" t="s">
        <v>54</v>
      </c>
      <c r="C59" s="104">
        <v>293069.2</v>
      </c>
      <c r="D59" s="104">
        <v>293181.59999999998</v>
      </c>
      <c r="E59" s="104">
        <f t="shared" si="19"/>
        <v>112.39999999996508</v>
      </c>
      <c r="F59" s="110">
        <v>28076</v>
      </c>
      <c r="G59" s="111">
        <v>181.15</v>
      </c>
      <c r="H59" s="10">
        <f t="shared" si="20"/>
        <v>0.62048026497358577</v>
      </c>
      <c r="I59" s="104">
        <v>293289.5</v>
      </c>
      <c r="J59" s="106">
        <f>I59-D59</f>
        <v>107.90000000002328</v>
      </c>
      <c r="K59" s="110">
        <v>28098.54</v>
      </c>
      <c r="L59" s="107">
        <f t="shared" si="22"/>
        <v>22.540000000000873</v>
      </c>
      <c r="M59" s="111">
        <v>195</v>
      </c>
      <c r="N59" s="28">
        <f t="shared" si="23"/>
        <v>0.55333333333345269</v>
      </c>
      <c r="O59" s="84">
        <f t="shared" si="24"/>
        <v>220.29999999998836</v>
      </c>
      <c r="P59" s="79">
        <f t="shared" si="25"/>
        <v>376.15</v>
      </c>
      <c r="Q59" s="34">
        <f t="shared" si="26"/>
        <v>0.58567061012890698</v>
      </c>
      <c r="R59" s="1">
        <v>50</v>
      </c>
      <c r="AA59" s="101"/>
    </row>
    <row r="60" spans="1:27" ht="24" customHeight="1">
      <c r="A60" s="81">
        <v>10</v>
      </c>
      <c r="B60" s="31" t="s">
        <v>55</v>
      </c>
      <c r="C60" s="104">
        <v>298907.40000000002</v>
      </c>
      <c r="D60" s="104">
        <v>298907.40000000002</v>
      </c>
      <c r="E60" s="104">
        <f t="shared" si="19"/>
        <v>0</v>
      </c>
      <c r="F60" s="110">
        <v>27086</v>
      </c>
      <c r="G60" s="111">
        <v>0</v>
      </c>
      <c r="H60" s="10">
        <f t="shared" si="20"/>
        <v>0</v>
      </c>
      <c r="I60" s="104">
        <v>298907.40000000002</v>
      </c>
      <c r="J60" s="106">
        <f>I60-D60</f>
        <v>0</v>
      </c>
      <c r="K60" s="110">
        <v>27086</v>
      </c>
      <c r="L60" s="107">
        <f t="shared" si="22"/>
        <v>0</v>
      </c>
      <c r="M60" s="111">
        <v>0</v>
      </c>
      <c r="N60" s="28">
        <f t="shared" si="23"/>
        <v>0</v>
      </c>
      <c r="O60" s="84">
        <f t="shared" si="24"/>
        <v>0</v>
      </c>
      <c r="P60" s="79">
        <f t="shared" si="25"/>
        <v>0</v>
      </c>
      <c r="Q60" s="34">
        <f t="shared" si="26"/>
        <v>0</v>
      </c>
      <c r="R60" s="1">
        <v>0</v>
      </c>
      <c r="AA60" s="101"/>
    </row>
    <row r="61" spans="1:27" ht="24" customHeight="1">
      <c r="A61" s="81">
        <v>11</v>
      </c>
      <c r="B61" s="31" t="s">
        <v>56</v>
      </c>
      <c r="C61" s="104">
        <v>341050.9</v>
      </c>
      <c r="D61" s="104">
        <v>341146</v>
      </c>
      <c r="E61" s="104">
        <f t="shared" si="19"/>
        <v>95.099999999976717</v>
      </c>
      <c r="F61" s="110">
        <v>26946.07</v>
      </c>
      <c r="G61" s="111">
        <v>160</v>
      </c>
      <c r="H61" s="10">
        <f t="shared" si="20"/>
        <v>0.59437499999985444</v>
      </c>
      <c r="I61" s="104">
        <v>341236.8</v>
      </c>
      <c r="J61" s="106">
        <f>I61-D61</f>
        <v>90.799999999988358</v>
      </c>
      <c r="K61" s="110">
        <v>26966.39</v>
      </c>
      <c r="L61" s="107">
        <f t="shared" si="22"/>
        <v>20.319999999999709</v>
      </c>
      <c r="M61" s="111">
        <v>134</v>
      </c>
      <c r="N61" s="28">
        <f t="shared" si="23"/>
        <v>0.67761194029842053</v>
      </c>
      <c r="O61" s="84">
        <f t="shared" si="24"/>
        <v>185.89999999996508</v>
      </c>
      <c r="P61" s="79">
        <f t="shared" si="25"/>
        <v>294</v>
      </c>
      <c r="Q61" s="34">
        <f t="shared" si="26"/>
        <v>0.63231292516994919</v>
      </c>
      <c r="R61" s="1">
        <v>41</v>
      </c>
      <c r="AA61" s="101"/>
    </row>
    <row r="62" spans="1:27" ht="24" customHeight="1">
      <c r="A62" s="81">
        <v>12</v>
      </c>
      <c r="B62" s="31" t="s">
        <v>57</v>
      </c>
      <c r="C62" s="104">
        <v>344181.7</v>
      </c>
      <c r="D62" s="104">
        <v>344284.9</v>
      </c>
      <c r="E62" s="104">
        <f t="shared" si="19"/>
        <v>103.20000000001164</v>
      </c>
      <c r="F62" s="110">
        <v>26762.5</v>
      </c>
      <c r="G62" s="111">
        <v>120</v>
      </c>
      <c r="H62" s="10">
        <f t="shared" si="20"/>
        <v>0.86000000000009702</v>
      </c>
      <c r="I62" s="104">
        <v>344348.6</v>
      </c>
      <c r="J62" s="106">
        <f>I62-D62</f>
        <v>63.699999999953434</v>
      </c>
      <c r="K62" s="110">
        <v>26776.16</v>
      </c>
      <c r="L62" s="107">
        <f t="shared" si="22"/>
        <v>13.659999999999854</v>
      </c>
      <c r="M62" s="111">
        <v>66</v>
      </c>
      <c r="N62" s="28">
        <f t="shared" si="23"/>
        <v>0.96515151515080966</v>
      </c>
      <c r="O62" s="84">
        <f t="shared" si="24"/>
        <v>166.89999999996508</v>
      </c>
      <c r="P62" s="79">
        <f t="shared" si="25"/>
        <v>186</v>
      </c>
      <c r="Q62" s="34">
        <f t="shared" si="26"/>
        <v>0.89731182795680153</v>
      </c>
      <c r="R62" s="1">
        <v>58</v>
      </c>
      <c r="AA62" s="101"/>
    </row>
    <row r="63" spans="1:27" ht="24" customHeight="1">
      <c r="A63" s="81">
        <v>13</v>
      </c>
      <c r="B63" s="31" t="s">
        <v>58</v>
      </c>
      <c r="C63" s="35">
        <v>300770.7</v>
      </c>
      <c r="D63" s="35">
        <v>300884.8</v>
      </c>
      <c r="E63" s="104">
        <f t="shared" si="19"/>
        <v>114.09999999997672</v>
      </c>
      <c r="F63" s="110">
        <v>26728.38</v>
      </c>
      <c r="G63" s="111">
        <v>172</v>
      </c>
      <c r="H63" s="10">
        <f t="shared" si="20"/>
        <v>0.6633720930231205</v>
      </c>
      <c r="I63" s="35">
        <v>300964</v>
      </c>
      <c r="J63" s="106">
        <f t="shared" si="21"/>
        <v>79.200000000011642</v>
      </c>
      <c r="K63" s="110">
        <v>26746.13</v>
      </c>
      <c r="L63" s="107">
        <f t="shared" si="22"/>
        <v>17.75</v>
      </c>
      <c r="M63" s="112">
        <v>110</v>
      </c>
      <c r="N63" s="28">
        <f>IFERROR(J63/M63,0)</f>
        <v>0.72000000000010578</v>
      </c>
      <c r="O63" s="84">
        <f t="shared" si="24"/>
        <v>193.29999999998836</v>
      </c>
      <c r="P63" s="79">
        <f t="shared" si="25"/>
        <v>282</v>
      </c>
      <c r="Q63" s="34">
        <f t="shared" si="26"/>
        <v>0.68546099290776019</v>
      </c>
      <c r="R63" s="1">
        <v>25</v>
      </c>
      <c r="U63" s="113"/>
    </row>
    <row r="64" spans="1:27" ht="24" customHeight="1">
      <c r="A64" s="81">
        <v>14</v>
      </c>
      <c r="B64" s="31" t="s">
        <v>59</v>
      </c>
      <c r="C64" s="35">
        <v>273008.09999999998</v>
      </c>
      <c r="D64" s="35">
        <v>273084.79999999999</v>
      </c>
      <c r="E64" s="104">
        <f t="shared" si="19"/>
        <v>76.700000000011642</v>
      </c>
      <c r="F64" s="110">
        <v>25514.31</v>
      </c>
      <c r="G64" s="111">
        <v>143</v>
      </c>
      <c r="H64" s="10">
        <f t="shared" si="20"/>
        <v>0.53636363636371776</v>
      </c>
      <c r="I64" s="35">
        <v>273168.2</v>
      </c>
      <c r="J64" s="106">
        <f>I64-D64</f>
        <v>83.400000000023283</v>
      </c>
      <c r="K64" s="110">
        <v>25531.17</v>
      </c>
      <c r="L64" s="107">
        <f t="shared" si="22"/>
        <v>16.859999999996944</v>
      </c>
      <c r="M64" s="111">
        <v>125</v>
      </c>
      <c r="N64" s="28">
        <f>IFERROR(J64/M64,0)</f>
        <v>0.66720000000018631</v>
      </c>
      <c r="O64" s="84">
        <f t="shared" si="24"/>
        <v>160.10000000003492</v>
      </c>
      <c r="P64" s="79">
        <f t="shared" si="25"/>
        <v>268</v>
      </c>
      <c r="Q64" s="34">
        <f t="shared" si="26"/>
        <v>0.5973880597016229</v>
      </c>
      <c r="R64" s="1">
        <v>34</v>
      </c>
      <c r="X64" t="s">
        <v>60</v>
      </c>
    </row>
    <row r="65" spans="1:18" ht="24" customHeight="1">
      <c r="A65" s="81">
        <v>15</v>
      </c>
      <c r="B65" s="31" t="s">
        <v>61</v>
      </c>
      <c r="C65" s="104">
        <v>286124</v>
      </c>
      <c r="D65" s="104">
        <v>286124</v>
      </c>
      <c r="E65" s="104">
        <f t="shared" si="19"/>
        <v>0</v>
      </c>
      <c r="F65" s="110">
        <v>26698</v>
      </c>
      <c r="G65" s="111">
        <v>0</v>
      </c>
      <c r="H65" s="10">
        <f t="shared" si="20"/>
        <v>0</v>
      </c>
      <c r="I65" s="104">
        <v>286179.8</v>
      </c>
      <c r="J65" s="106">
        <f>I65-D65</f>
        <v>55.799999999988358</v>
      </c>
      <c r="K65" s="110">
        <v>26707.21</v>
      </c>
      <c r="L65" s="107">
        <f t="shared" si="22"/>
        <v>9.2099999999991269</v>
      </c>
      <c r="M65" s="112">
        <v>106</v>
      </c>
      <c r="N65" s="28">
        <f t="shared" si="23"/>
        <v>0.52641509433951283</v>
      </c>
      <c r="O65" s="84">
        <f t="shared" si="24"/>
        <v>55.799999999988358</v>
      </c>
      <c r="P65" s="79">
        <f t="shared" si="25"/>
        <v>106</v>
      </c>
      <c r="Q65" s="34">
        <f t="shared" si="26"/>
        <v>0.52641509433951283</v>
      </c>
      <c r="R65" s="1">
        <v>48</v>
      </c>
    </row>
    <row r="66" spans="1:18" ht="24" customHeight="1">
      <c r="A66" s="81">
        <v>16</v>
      </c>
      <c r="B66" s="31" t="s">
        <v>62</v>
      </c>
      <c r="C66" s="35">
        <v>304324.09999999998</v>
      </c>
      <c r="D66" s="35">
        <v>304451.3</v>
      </c>
      <c r="E66" s="104">
        <f t="shared" si="19"/>
        <v>127.20000000001164</v>
      </c>
      <c r="F66" s="110">
        <v>27378.22</v>
      </c>
      <c r="G66" s="111">
        <v>208</v>
      </c>
      <c r="H66" s="10">
        <f t="shared" si="20"/>
        <v>0.61153846153851754</v>
      </c>
      <c r="I66" s="35">
        <v>304534.5</v>
      </c>
      <c r="J66" s="106">
        <f t="shared" si="21"/>
        <v>83.200000000011642</v>
      </c>
      <c r="K66" s="110">
        <v>27396.53</v>
      </c>
      <c r="L66" s="107">
        <f t="shared" si="22"/>
        <v>18.309999999997672</v>
      </c>
      <c r="M66" s="112">
        <v>145</v>
      </c>
      <c r="N66" s="28">
        <f t="shared" si="23"/>
        <v>0.5737931034483561</v>
      </c>
      <c r="O66" s="84">
        <f t="shared" si="24"/>
        <v>210.40000000002328</v>
      </c>
      <c r="P66" s="79">
        <f t="shared" si="25"/>
        <v>353</v>
      </c>
      <c r="Q66" s="34">
        <f t="shared" si="26"/>
        <v>0.59603399433434356</v>
      </c>
      <c r="R66" s="1">
        <v>46</v>
      </c>
    </row>
    <row r="67" spans="1:18" ht="24" customHeight="1">
      <c r="A67" s="81">
        <v>17</v>
      </c>
      <c r="B67" s="31" t="s">
        <v>158</v>
      </c>
      <c r="C67" s="17">
        <v>275379</v>
      </c>
      <c r="D67" s="17">
        <v>275559</v>
      </c>
      <c r="E67" s="104">
        <f t="shared" si="19"/>
        <v>180</v>
      </c>
      <c r="F67" s="110">
        <v>25116</v>
      </c>
      <c r="G67" s="111">
        <v>242</v>
      </c>
      <c r="H67" s="10">
        <f t="shared" si="20"/>
        <v>0.74380165289256195</v>
      </c>
      <c r="I67" s="17">
        <v>275636</v>
      </c>
      <c r="J67" s="106">
        <f t="shared" si="21"/>
        <v>77</v>
      </c>
      <c r="K67" s="110">
        <v>25137</v>
      </c>
      <c r="L67" s="107">
        <f t="shared" si="22"/>
        <v>21</v>
      </c>
      <c r="M67" s="111">
        <v>114</v>
      </c>
      <c r="N67" s="28">
        <f t="shared" si="23"/>
        <v>0.67543859649122806</v>
      </c>
      <c r="O67" s="84">
        <f t="shared" si="24"/>
        <v>257</v>
      </c>
      <c r="P67" s="79">
        <f t="shared" si="25"/>
        <v>356</v>
      </c>
      <c r="Q67" s="34">
        <f t="shared" si="26"/>
        <v>0.7219101123595506</v>
      </c>
      <c r="R67" s="1">
        <v>36</v>
      </c>
    </row>
    <row r="68" spans="1:18" ht="24" customHeight="1">
      <c r="A68" s="81">
        <v>18</v>
      </c>
      <c r="B68" s="31" t="s">
        <v>159</v>
      </c>
      <c r="C68" s="17">
        <v>278730</v>
      </c>
      <c r="D68" s="17">
        <v>278873</v>
      </c>
      <c r="E68" s="104">
        <f t="shared" si="19"/>
        <v>143</v>
      </c>
      <c r="F68" s="110">
        <v>25977</v>
      </c>
      <c r="G68" s="111">
        <v>187</v>
      </c>
      <c r="H68" s="10">
        <f t="shared" si="20"/>
        <v>0.76470588235294112</v>
      </c>
      <c r="I68" s="17">
        <v>278992</v>
      </c>
      <c r="J68" s="106">
        <f t="shared" si="21"/>
        <v>119</v>
      </c>
      <c r="K68" s="110">
        <v>25995</v>
      </c>
      <c r="L68" s="107">
        <f t="shared" si="22"/>
        <v>18</v>
      </c>
      <c r="M68" s="111">
        <v>170</v>
      </c>
      <c r="N68" s="28">
        <f t="shared" si="23"/>
        <v>0.7</v>
      </c>
      <c r="O68" s="84">
        <f t="shared" si="24"/>
        <v>262</v>
      </c>
      <c r="P68" s="79">
        <f t="shared" si="25"/>
        <v>357</v>
      </c>
      <c r="Q68" s="34">
        <f t="shared" si="26"/>
        <v>0.73389355742296913</v>
      </c>
      <c r="R68" s="1">
        <v>34</v>
      </c>
    </row>
    <row r="69" spans="1:18" ht="24" customHeight="1">
      <c r="A69" s="81">
        <v>19</v>
      </c>
      <c r="B69" s="31" t="s">
        <v>160</v>
      </c>
      <c r="C69" s="17">
        <v>305805</v>
      </c>
      <c r="D69" s="17">
        <v>305959</v>
      </c>
      <c r="E69" s="104">
        <f t="shared" si="19"/>
        <v>154</v>
      </c>
      <c r="F69" s="110">
        <v>25160</v>
      </c>
      <c r="G69" s="111">
        <v>203</v>
      </c>
      <c r="H69" s="10">
        <f t="shared" si="20"/>
        <v>0.75862068965517238</v>
      </c>
      <c r="I69" s="17">
        <v>306071</v>
      </c>
      <c r="J69" s="106">
        <f t="shared" si="21"/>
        <v>112</v>
      </c>
      <c r="K69" s="110">
        <v>25180</v>
      </c>
      <c r="L69" s="107">
        <f t="shared" si="22"/>
        <v>20</v>
      </c>
      <c r="M69" s="111">
        <v>161</v>
      </c>
      <c r="N69" s="28">
        <f t="shared" si="23"/>
        <v>0.69565217391304346</v>
      </c>
      <c r="O69" s="84">
        <f t="shared" si="24"/>
        <v>266</v>
      </c>
      <c r="P69" s="79">
        <f t="shared" si="25"/>
        <v>364</v>
      </c>
      <c r="Q69" s="34">
        <f t="shared" si="26"/>
        <v>0.73076923076923073</v>
      </c>
      <c r="R69" s="1">
        <v>40</v>
      </c>
    </row>
    <row r="70" spans="1:18" ht="24" customHeight="1">
      <c r="A70" s="81">
        <v>20</v>
      </c>
      <c r="B70" s="31" t="s">
        <v>161</v>
      </c>
      <c r="C70" s="17">
        <v>305127</v>
      </c>
      <c r="D70" s="17">
        <v>305206</v>
      </c>
      <c r="E70" s="104">
        <f t="shared" si="19"/>
        <v>79</v>
      </c>
      <c r="F70" s="110">
        <v>25486</v>
      </c>
      <c r="G70" s="116">
        <v>150.97999999999999</v>
      </c>
      <c r="H70" s="10">
        <f t="shared" si="20"/>
        <v>0.52324811233275936</v>
      </c>
      <c r="I70" s="17">
        <v>305286</v>
      </c>
      <c r="J70" s="106">
        <f t="shared" si="21"/>
        <v>80</v>
      </c>
      <c r="K70" s="110">
        <v>25507</v>
      </c>
      <c r="L70" s="107">
        <f t="shared" si="22"/>
        <v>21</v>
      </c>
      <c r="M70" s="111">
        <v>138</v>
      </c>
      <c r="N70" s="28">
        <f t="shared" si="23"/>
        <v>0.57971014492753625</v>
      </c>
      <c r="O70" s="84">
        <f t="shared" si="24"/>
        <v>159</v>
      </c>
      <c r="P70" s="79">
        <f t="shared" si="25"/>
        <v>288.98</v>
      </c>
      <c r="Q70" s="34">
        <f t="shared" si="26"/>
        <v>0.55021108727247559</v>
      </c>
      <c r="R70" s="1">
        <v>59</v>
      </c>
    </row>
    <row r="71" spans="1:18" ht="24" customHeight="1">
      <c r="A71" s="81">
        <v>21</v>
      </c>
      <c r="B71" s="31" t="s">
        <v>162</v>
      </c>
      <c r="C71" s="17">
        <v>321867</v>
      </c>
      <c r="D71" s="17">
        <v>321941</v>
      </c>
      <c r="E71" s="104">
        <f t="shared" si="19"/>
        <v>74</v>
      </c>
      <c r="F71" s="110">
        <v>26685</v>
      </c>
      <c r="G71" s="111">
        <v>124.48</v>
      </c>
      <c r="H71" s="10">
        <f t="shared" si="20"/>
        <v>0.59447300771208222</v>
      </c>
      <c r="I71" s="17">
        <v>322005</v>
      </c>
      <c r="J71" s="106">
        <f t="shared" si="21"/>
        <v>64</v>
      </c>
      <c r="K71" s="110">
        <v>26708</v>
      </c>
      <c r="L71" s="107">
        <f t="shared" si="22"/>
        <v>23</v>
      </c>
      <c r="M71" s="111">
        <v>97</v>
      </c>
      <c r="N71" s="28">
        <f t="shared" si="23"/>
        <v>0.65979381443298968</v>
      </c>
      <c r="O71" s="84">
        <f t="shared" si="24"/>
        <v>138</v>
      </c>
      <c r="P71" s="79">
        <f t="shared" si="25"/>
        <v>221.48000000000002</v>
      </c>
      <c r="Q71" s="34">
        <f t="shared" si="26"/>
        <v>0.62308109084341701</v>
      </c>
      <c r="R71" s="1">
        <v>62</v>
      </c>
    </row>
    <row r="72" spans="1:18" ht="24" customHeight="1">
      <c r="A72" s="81">
        <v>22</v>
      </c>
      <c r="B72" s="31" t="s">
        <v>68</v>
      </c>
      <c r="C72" s="17">
        <v>277190.40000000002</v>
      </c>
      <c r="D72" s="17">
        <v>277286.8</v>
      </c>
      <c r="E72" s="104">
        <f t="shared" si="19"/>
        <v>96.399999999965075</v>
      </c>
      <c r="F72" s="110">
        <v>22505</v>
      </c>
      <c r="G72" s="111">
        <v>195</v>
      </c>
      <c r="H72" s="10">
        <f t="shared" si="20"/>
        <v>0.49435897435879528</v>
      </c>
      <c r="I72" s="17">
        <v>277410.40000000002</v>
      </c>
      <c r="J72" s="106">
        <f t="shared" si="21"/>
        <v>123.60000000003492</v>
      </c>
      <c r="K72" s="110">
        <v>22526</v>
      </c>
      <c r="L72" s="107">
        <f t="shared" si="22"/>
        <v>21</v>
      </c>
      <c r="M72" s="112">
        <v>200</v>
      </c>
      <c r="N72" s="28">
        <f t="shared" si="23"/>
        <v>0.61800000000017463</v>
      </c>
      <c r="O72" s="84">
        <f t="shared" si="24"/>
        <v>220</v>
      </c>
      <c r="P72" s="79">
        <f t="shared" si="25"/>
        <v>395</v>
      </c>
      <c r="Q72" s="34">
        <f t="shared" si="26"/>
        <v>0.55696202531645567</v>
      </c>
      <c r="R72" s="1">
        <v>32</v>
      </c>
    </row>
    <row r="73" spans="1:18" ht="24" customHeight="1">
      <c r="A73" s="81">
        <v>23</v>
      </c>
      <c r="B73" s="31" t="s">
        <v>69</v>
      </c>
      <c r="C73" s="17">
        <v>259187.3</v>
      </c>
      <c r="D73" s="17">
        <v>259322.3</v>
      </c>
      <c r="E73" s="104">
        <f t="shared" si="19"/>
        <v>135</v>
      </c>
      <c r="F73" s="110">
        <v>19866</v>
      </c>
      <c r="G73" s="111">
        <v>193</v>
      </c>
      <c r="H73" s="10">
        <f t="shared" si="20"/>
        <v>0.69948186528497414</v>
      </c>
      <c r="I73" s="17">
        <v>259424.9</v>
      </c>
      <c r="J73" s="106">
        <f t="shared" si="21"/>
        <v>102.60000000000582</v>
      </c>
      <c r="K73" s="110">
        <v>19884</v>
      </c>
      <c r="L73" s="107">
        <f t="shared" si="22"/>
        <v>18</v>
      </c>
      <c r="M73" s="112">
        <v>147</v>
      </c>
      <c r="N73" s="28">
        <f t="shared" si="23"/>
        <v>0.69795918367350895</v>
      </c>
      <c r="O73" s="84">
        <f t="shared" si="24"/>
        <v>237.60000000000582</v>
      </c>
      <c r="P73" s="79">
        <f t="shared" si="25"/>
        <v>340</v>
      </c>
      <c r="Q73" s="34">
        <f t="shared" si="26"/>
        <v>0.69882352941178183</v>
      </c>
      <c r="R73" s="1">
        <v>34</v>
      </c>
    </row>
    <row r="74" spans="1:18" ht="24" customHeight="1">
      <c r="A74" s="81">
        <v>24</v>
      </c>
      <c r="B74" s="31" t="s">
        <v>70</v>
      </c>
      <c r="C74" s="104">
        <v>303645.3</v>
      </c>
      <c r="D74" s="104">
        <v>303793</v>
      </c>
      <c r="E74" s="104">
        <f t="shared" si="19"/>
        <v>147.70000000001164</v>
      </c>
      <c r="F74" s="110">
        <v>5049</v>
      </c>
      <c r="G74" s="111">
        <v>199</v>
      </c>
      <c r="H74" s="10">
        <f t="shared" si="20"/>
        <v>0.74221105527644038</v>
      </c>
      <c r="I74" s="104">
        <v>303917.3</v>
      </c>
      <c r="J74" s="106">
        <f t="shared" si="21"/>
        <v>124.29999999998836</v>
      </c>
      <c r="K74" s="110">
        <v>5068</v>
      </c>
      <c r="L74" s="107">
        <f t="shared" si="22"/>
        <v>19</v>
      </c>
      <c r="M74" s="111">
        <v>193</v>
      </c>
      <c r="N74" s="28">
        <f t="shared" si="23"/>
        <v>0.6440414507771417</v>
      </c>
      <c r="O74" s="84">
        <f t="shared" si="24"/>
        <v>272</v>
      </c>
      <c r="P74" s="79">
        <f t="shared" si="25"/>
        <v>392</v>
      </c>
      <c r="Q74" s="34">
        <f t="shared" si="26"/>
        <v>0.69387755102040816</v>
      </c>
      <c r="R74" s="1">
        <v>32</v>
      </c>
    </row>
    <row r="75" spans="1:18" ht="24" customHeight="1">
      <c r="A75" s="81">
        <v>25</v>
      </c>
      <c r="B75" s="31" t="s">
        <v>71</v>
      </c>
      <c r="C75" s="35">
        <v>313672.2</v>
      </c>
      <c r="D75" s="35">
        <v>313844.5</v>
      </c>
      <c r="E75" s="104">
        <f t="shared" si="19"/>
        <v>172.29999999998836</v>
      </c>
      <c r="F75" s="110">
        <v>22946</v>
      </c>
      <c r="G75" s="111">
        <v>227</v>
      </c>
      <c r="H75" s="10">
        <f t="shared" si="20"/>
        <v>0.75903083700435403</v>
      </c>
      <c r="I75" s="35">
        <v>313977.8</v>
      </c>
      <c r="J75" s="106">
        <f t="shared" si="21"/>
        <v>133.29999999998836</v>
      </c>
      <c r="K75" s="110">
        <v>22972</v>
      </c>
      <c r="L75" s="107">
        <f t="shared" si="22"/>
        <v>26</v>
      </c>
      <c r="M75" s="111">
        <v>192</v>
      </c>
      <c r="N75" s="28">
        <f>IFERROR(J75/M75,0)</f>
        <v>0.69427083333327266</v>
      </c>
      <c r="O75" s="84">
        <f t="shared" si="24"/>
        <v>305.59999999997672</v>
      </c>
      <c r="P75" s="79">
        <f>G75+M75</f>
        <v>419</v>
      </c>
      <c r="Q75" s="34">
        <f t="shared" si="26"/>
        <v>0.72935560859182991</v>
      </c>
      <c r="R75" s="1">
        <v>35</v>
      </c>
    </row>
    <row r="76" spans="1:18" ht="24" customHeight="1">
      <c r="A76" s="81">
        <v>26</v>
      </c>
      <c r="B76" s="31" t="s">
        <v>72</v>
      </c>
      <c r="C76" s="35">
        <v>284425.8</v>
      </c>
      <c r="D76" s="35">
        <v>284531.5</v>
      </c>
      <c r="E76" s="104">
        <f t="shared" si="19"/>
        <v>105.70000000001164</v>
      </c>
      <c r="F76" s="110">
        <v>20571</v>
      </c>
      <c r="G76" s="111">
        <v>164.1</v>
      </c>
      <c r="H76" s="10">
        <f t="shared" si="20"/>
        <v>0.64411943936631111</v>
      </c>
      <c r="I76" s="35">
        <v>284616.2</v>
      </c>
      <c r="J76" s="106">
        <f t="shared" si="21"/>
        <v>84.700000000011642</v>
      </c>
      <c r="K76" s="110">
        <v>20591</v>
      </c>
      <c r="L76" s="107">
        <f t="shared" si="22"/>
        <v>20</v>
      </c>
      <c r="M76" s="112">
        <v>140</v>
      </c>
      <c r="N76" s="28">
        <f t="shared" si="23"/>
        <v>0.60500000000008314</v>
      </c>
      <c r="O76" s="84">
        <f t="shared" si="24"/>
        <v>190.40000000002328</v>
      </c>
      <c r="P76" s="79">
        <f t="shared" si="25"/>
        <v>304.10000000000002</v>
      </c>
      <c r="Q76" s="34">
        <f t="shared" si="26"/>
        <v>0.62610983229208572</v>
      </c>
      <c r="R76" s="1">
        <v>49</v>
      </c>
    </row>
    <row r="77" spans="1:18" ht="24" customHeight="1">
      <c r="A77" s="81">
        <v>27</v>
      </c>
      <c r="B77" s="31" t="s">
        <v>73</v>
      </c>
      <c r="C77" s="104">
        <v>312608.5</v>
      </c>
      <c r="D77" s="104">
        <v>312729.59999999998</v>
      </c>
      <c r="E77" s="104">
        <f t="shared" si="19"/>
        <v>121.09999999997672</v>
      </c>
      <c r="F77" s="110">
        <v>22698</v>
      </c>
      <c r="G77" s="111">
        <v>179.16</v>
      </c>
      <c r="H77" s="10">
        <f t="shared" si="20"/>
        <v>0.67593212770694755</v>
      </c>
      <c r="I77" s="104">
        <v>312826.3</v>
      </c>
      <c r="J77" s="106">
        <f t="shared" si="21"/>
        <v>96.700000000011642</v>
      </c>
      <c r="K77" s="110">
        <v>22719</v>
      </c>
      <c r="L77" s="107">
        <f t="shared" si="22"/>
        <v>21</v>
      </c>
      <c r="M77" s="112">
        <v>158</v>
      </c>
      <c r="N77" s="28">
        <f t="shared" si="23"/>
        <v>0.61202531645576985</v>
      </c>
      <c r="O77" s="84">
        <f t="shared" si="24"/>
        <v>217.79999999998836</v>
      </c>
      <c r="P77" s="79">
        <f t="shared" si="25"/>
        <v>337.15999999999997</v>
      </c>
      <c r="Q77" s="34">
        <f t="shared" si="26"/>
        <v>0.64598410250322813</v>
      </c>
      <c r="R77" s="1">
        <v>45</v>
      </c>
    </row>
    <row r="78" spans="1:18" ht="24" customHeight="1">
      <c r="A78" s="81">
        <v>28</v>
      </c>
      <c r="B78" s="31" t="s">
        <v>74</v>
      </c>
      <c r="C78" s="35">
        <v>282753</v>
      </c>
      <c r="D78" s="35">
        <v>282892.40000000002</v>
      </c>
      <c r="E78" s="104">
        <f t="shared" si="19"/>
        <v>139.40000000002328</v>
      </c>
      <c r="F78" s="110">
        <v>4217</v>
      </c>
      <c r="G78" s="111">
        <v>221</v>
      </c>
      <c r="H78" s="10">
        <f t="shared" si="20"/>
        <v>0.63076923076933611</v>
      </c>
      <c r="I78" s="35">
        <v>283028.90000000002</v>
      </c>
      <c r="J78" s="106">
        <f t="shared" si="21"/>
        <v>136.5</v>
      </c>
      <c r="K78" s="110">
        <v>4238</v>
      </c>
      <c r="L78" s="107">
        <f>K78-F78</f>
        <v>21</v>
      </c>
      <c r="M78" s="111">
        <v>210</v>
      </c>
      <c r="N78" s="28">
        <f t="shared" si="23"/>
        <v>0.65</v>
      </c>
      <c r="O78" s="84">
        <f t="shared" si="24"/>
        <v>275.90000000002328</v>
      </c>
      <c r="P78" s="79">
        <f t="shared" si="25"/>
        <v>431</v>
      </c>
      <c r="Q78" s="34">
        <f t="shared" si="26"/>
        <v>0.64013921113694494</v>
      </c>
      <c r="R78" s="1">
        <v>47</v>
      </c>
    </row>
    <row r="79" spans="1:18" ht="24" customHeight="1">
      <c r="A79" s="81">
        <v>29</v>
      </c>
      <c r="B79" s="31" t="s">
        <v>75</v>
      </c>
      <c r="C79" s="104">
        <v>300631.8</v>
      </c>
      <c r="D79" s="104">
        <v>300758.2</v>
      </c>
      <c r="E79" s="104">
        <f t="shared" si="19"/>
        <v>126.40000000002328</v>
      </c>
      <c r="F79" s="110">
        <v>21642</v>
      </c>
      <c r="G79" s="111">
        <v>175</v>
      </c>
      <c r="H79" s="10">
        <f t="shared" si="20"/>
        <v>0.72228571428584731</v>
      </c>
      <c r="I79" s="104">
        <v>300894.8</v>
      </c>
      <c r="J79" s="106">
        <f t="shared" si="21"/>
        <v>136.59999999997672</v>
      </c>
      <c r="K79" s="110">
        <v>21664</v>
      </c>
      <c r="L79" s="107">
        <f t="shared" si="22"/>
        <v>22</v>
      </c>
      <c r="M79" s="112">
        <v>189</v>
      </c>
      <c r="N79" s="28">
        <f t="shared" si="23"/>
        <v>0.72275132275119958</v>
      </c>
      <c r="O79" s="84">
        <f t="shared" si="24"/>
        <v>263</v>
      </c>
      <c r="P79" s="79">
        <f t="shared" si="25"/>
        <v>364</v>
      </c>
      <c r="Q79" s="34">
        <f t="shared" si="26"/>
        <v>0.72252747252747251</v>
      </c>
      <c r="R79" s="1">
        <v>44</v>
      </c>
    </row>
    <row r="80" spans="1:18" ht="24" customHeight="1">
      <c r="A80" s="81">
        <v>30</v>
      </c>
      <c r="B80" s="31" t="s">
        <v>76</v>
      </c>
      <c r="C80" s="104">
        <v>265343.2</v>
      </c>
      <c r="D80" s="104">
        <v>265486.59999999998</v>
      </c>
      <c r="E80" s="104">
        <f t="shared" si="19"/>
        <v>143.39999999996508</v>
      </c>
      <c r="F80" s="110">
        <v>19592</v>
      </c>
      <c r="G80" s="111">
        <v>207</v>
      </c>
      <c r="H80" s="10">
        <f t="shared" si="20"/>
        <v>0.69275362318823708</v>
      </c>
      <c r="I80" s="104">
        <v>265565.59999999998</v>
      </c>
      <c r="J80" s="106">
        <f t="shared" si="21"/>
        <v>79</v>
      </c>
      <c r="K80" s="110">
        <v>19611</v>
      </c>
      <c r="L80" s="107">
        <f t="shared" si="22"/>
        <v>19</v>
      </c>
      <c r="M80" s="111">
        <v>105</v>
      </c>
      <c r="N80" s="28">
        <f t="shared" si="23"/>
        <v>0.75238095238095237</v>
      </c>
      <c r="O80" s="84">
        <f t="shared" si="24"/>
        <v>222.39999999996508</v>
      </c>
      <c r="P80" s="79">
        <f t="shared" si="25"/>
        <v>312</v>
      </c>
      <c r="Q80" s="34">
        <f t="shared" si="26"/>
        <v>0.71282051282040093</v>
      </c>
      <c r="R80" s="1">
        <v>62</v>
      </c>
    </row>
    <row r="81" spans="1:18" ht="24" customHeight="1">
      <c r="A81" s="81">
        <v>31</v>
      </c>
      <c r="B81" s="31" t="s">
        <v>77</v>
      </c>
      <c r="C81" s="83">
        <v>263236.40000000002</v>
      </c>
      <c r="D81" s="83">
        <v>263357.3</v>
      </c>
      <c r="E81" s="104">
        <f t="shared" si="19"/>
        <v>120.89999999996508</v>
      </c>
      <c r="F81" s="110">
        <v>19281</v>
      </c>
      <c r="G81" s="111">
        <v>201</v>
      </c>
      <c r="H81" s="10">
        <f t="shared" si="20"/>
        <v>0.60149253731325913</v>
      </c>
      <c r="I81" s="83">
        <v>263409.3</v>
      </c>
      <c r="J81" s="106">
        <f t="shared" si="21"/>
        <v>52</v>
      </c>
      <c r="K81" s="110">
        <v>19297</v>
      </c>
      <c r="L81" s="107">
        <f>K81-F81</f>
        <v>16</v>
      </c>
      <c r="M81" s="111">
        <v>75</v>
      </c>
      <c r="N81" s="28">
        <f t="shared" si="23"/>
        <v>0.69333333333333336</v>
      </c>
      <c r="O81" s="84">
        <f t="shared" si="24"/>
        <v>172.89999999996508</v>
      </c>
      <c r="P81" s="79">
        <f t="shared" si="25"/>
        <v>276</v>
      </c>
      <c r="Q81" s="34">
        <f t="shared" si="26"/>
        <v>0.6264492753621923</v>
      </c>
      <c r="R81" s="1">
        <v>23</v>
      </c>
    </row>
    <row r="82" spans="1:18" ht="24" customHeight="1">
      <c r="A82" s="81">
        <v>32</v>
      </c>
      <c r="B82" s="31" t="s">
        <v>78</v>
      </c>
      <c r="C82" s="104">
        <v>289320.3</v>
      </c>
      <c r="D82" s="104">
        <v>289395.3</v>
      </c>
      <c r="E82" s="104">
        <f t="shared" si="19"/>
        <v>75</v>
      </c>
      <c r="F82" s="110">
        <v>20884</v>
      </c>
      <c r="G82" s="111">
        <v>98.86</v>
      </c>
      <c r="H82" s="10">
        <f t="shared" si="20"/>
        <v>0.75864859397127249</v>
      </c>
      <c r="I82" s="104">
        <v>289433.8</v>
      </c>
      <c r="J82" s="106">
        <f t="shared" si="21"/>
        <v>38.5</v>
      </c>
      <c r="K82" s="110">
        <v>20897</v>
      </c>
      <c r="L82" s="107">
        <f t="shared" si="22"/>
        <v>13</v>
      </c>
      <c r="M82" s="111">
        <v>74</v>
      </c>
      <c r="N82" s="28">
        <f t="shared" si="23"/>
        <v>0.52027027027027029</v>
      </c>
      <c r="O82" s="84">
        <f t="shared" si="24"/>
        <v>113.5</v>
      </c>
      <c r="P82" s="79">
        <f t="shared" si="25"/>
        <v>172.86</v>
      </c>
      <c r="Q82" s="34">
        <f t="shared" si="26"/>
        <v>0.65660071734351488</v>
      </c>
      <c r="R82" s="1">
        <v>36</v>
      </c>
    </row>
    <row r="83" spans="1:18" ht="24" customHeight="1">
      <c r="A83" s="81">
        <v>33</v>
      </c>
      <c r="B83" s="31" t="s">
        <v>79</v>
      </c>
      <c r="C83" s="104">
        <v>303903.5</v>
      </c>
      <c r="D83" s="104">
        <v>304019.09999999998</v>
      </c>
      <c r="E83" s="104">
        <f t="shared" si="19"/>
        <v>115.59999999997672</v>
      </c>
      <c r="F83" s="110">
        <v>21620</v>
      </c>
      <c r="G83" s="111">
        <v>167.88</v>
      </c>
      <c r="H83" s="10">
        <f t="shared" si="20"/>
        <v>0.68858708601368068</v>
      </c>
      <c r="I83" s="104">
        <v>304105.40000000002</v>
      </c>
      <c r="J83" s="106">
        <f t="shared" si="21"/>
        <v>86.300000000046566</v>
      </c>
      <c r="K83" s="110">
        <v>21639</v>
      </c>
      <c r="L83" s="107">
        <f t="shared" si="22"/>
        <v>19</v>
      </c>
      <c r="M83" s="111">
        <v>143</v>
      </c>
      <c r="N83" s="28">
        <f t="shared" si="23"/>
        <v>0.60349650349682915</v>
      </c>
      <c r="O83" s="84">
        <f t="shared" si="24"/>
        <v>201.90000000002328</v>
      </c>
      <c r="P83" s="79">
        <f t="shared" si="25"/>
        <v>310.88</v>
      </c>
      <c r="Q83" s="34">
        <f t="shared" si="26"/>
        <v>0.64944673185802648</v>
      </c>
      <c r="R83" s="1">
        <v>51</v>
      </c>
    </row>
    <row r="84" spans="1:18" ht="24" customHeight="1">
      <c r="A84" s="81">
        <v>34</v>
      </c>
      <c r="B84" s="31" t="s">
        <v>163</v>
      </c>
      <c r="C84" s="104">
        <v>244853.4</v>
      </c>
      <c r="D84" s="104">
        <v>244997.4</v>
      </c>
      <c r="E84" s="104">
        <f t="shared" si="19"/>
        <v>144</v>
      </c>
      <c r="F84" s="110">
        <v>18289</v>
      </c>
      <c r="G84" s="111">
        <v>198</v>
      </c>
      <c r="H84" s="10">
        <f t="shared" si="20"/>
        <v>0.72727272727272729</v>
      </c>
      <c r="I84" s="104">
        <v>245151.4</v>
      </c>
      <c r="J84" s="106">
        <f t="shared" si="21"/>
        <v>154</v>
      </c>
      <c r="K84" s="110">
        <v>18309</v>
      </c>
      <c r="L84" s="107">
        <f t="shared" si="22"/>
        <v>20</v>
      </c>
      <c r="M84" s="111">
        <v>187</v>
      </c>
      <c r="N84" s="28">
        <f t="shared" si="23"/>
        <v>0.82352941176470584</v>
      </c>
      <c r="O84" s="84">
        <f t="shared" si="24"/>
        <v>298</v>
      </c>
      <c r="P84" s="79">
        <f t="shared" si="25"/>
        <v>385</v>
      </c>
      <c r="Q84" s="34">
        <f t="shared" si="26"/>
        <v>0.77402597402597406</v>
      </c>
      <c r="R84" s="1">
        <v>36</v>
      </c>
    </row>
    <row r="85" spans="1:18" ht="24" customHeight="1">
      <c r="A85" s="81">
        <v>35</v>
      </c>
      <c r="B85" s="31" t="s">
        <v>164</v>
      </c>
      <c r="C85" s="104">
        <v>244505.2</v>
      </c>
      <c r="D85" s="104">
        <v>244611.8</v>
      </c>
      <c r="E85" s="104">
        <f t="shared" si="19"/>
        <v>106.59999999997672</v>
      </c>
      <c r="F85" s="110">
        <v>18266</v>
      </c>
      <c r="G85" s="111">
        <v>158</v>
      </c>
      <c r="H85" s="10">
        <f t="shared" si="20"/>
        <v>0.67468354430365007</v>
      </c>
      <c r="I85" s="104">
        <v>244764</v>
      </c>
      <c r="J85" s="106">
        <f t="shared" si="21"/>
        <v>152.20000000001164</v>
      </c>
      <c r="K85" s="110">
        <v>18288</v>
      </c>
      <c r="L85" s="107">
        <f t="shared" si="22"/>
        <v>22</v>
      </c>
      <c r="M85" s="111">
        <v>207</v>
      </c>
      <c r="N85" s="28">
        <f t="shared" si="23"/>
        <v>0.73526570048314799</v>
      </c>
      <c r="O85" s="84">
        <f t="shared" si="24"/>
        <v>258.79999999998836</v>
      </c>
      <c r="P85" s="79">
        <f t="shared" si="25"/>
        <v>365</v>
      </c>
      <c r="Q85" s="34">
        <f t="shared" si="26"/>
        <v>0.70904109589037911</v>
      </c>
      <c r="R85" s="1">
        <v>53</v>
      </c>
    </row>
    <row r="86" spans="1:18" ht="24" customHeight="1">
      <c r="A86" s="81">
        <v>36</v>
      </c>
      <c r="B86" s="31" t="s">
        <v>165</v>
      </c>
      <c r="C86" s="104">
        <v>251286.9</v>
      </c>
      <c r="D86" s="104">
        <v>251393.9</v>
      </c>
      <c r="E86" s="104">
        <f t="shared" si="19"/>
        <v>107</v>
      </c>
      <c r="F86" s="110">
        <v>17901</v>
      </c>
      <c r="G86" s="111">
        <v>134.29</v>
      </c>
      <c r="H86" s="10">
        <f t="shared" si="20"/>
        <v>0.7967830813910195</v>
      </c>
      <c r="I86" s="104">
        <v>251446.3</v>
      </c>
      <c r="J86" s="106">
        <f t="shared" si="21"/>
        <v>52.399999999994179</v>
      </c>
      <c r="K86" s="110">
        <v>17918</v>
      </c>
      <c r="L86" s="107">
        <f t="shared" si="22"/>
        <v>17</v>
      </c>
      <c r="M86" s="112">
        <v>71.680000000000007</v>
      </c>
      <c r="N86" s="28">
        <f t="shared" si="23"/>
        <v>0.73102678571420443</v>
      </c>
      <c r="O86" s="84">
        <f t="shared" si="24"/>
        <v>159.39999999999418</v>
      </c>
      <c r="P86" s="79">
        <f t="shared" si="25"/>
        <v>205.97</v>
      </c>
      <c r="Q86" s="34">
        <f t="shared" si="26"/>
        <v>0.77389911152106705</v>
      </c>
      <c r="R86" s="1">
        <v>62</v>
      </c>
    </row>
    <row r="87" spans="1:18" ht="24" customHeight="1">
      <c r="A87" s="81">
        <v>37</v>
      </c>
      <c r="B87" s="31" t="s">
        <v>83</v>
      </c>
      <c r="C87" s="104">
        <v>259697.7</v>
      </c>
      <c r="D87" s="104">
        <v>259867.6</v>
      </c>
      <c r="E87" s="104">
        <f t="shared" si="19"/>
        <v>169.89999999999418</v>
      </c>
      <c r="F87" s="110">
        <v>18423</v>
      </c>
      <c r="G87" s="111">
        <v>240</v>
      </c>
      <c r="H87" s="10">
        <f t="shared" si="20"/>
        <v>0.70791666666664244</v>
      </c>
      <c r="I87" s="104">
        <v>259964.5</v>
      </c>
      <c r="J87" s="106">
        <f t="shared" si="21"/>
        <v>96.899999999994179</v>
      </c>
      <c r="K87" s="110">
        <v>18448</v>
      </c>
      <c r="L87" s="107">
        <f t="shared" si="22"/>
        <v>25</v>
      </c>
      <c r="M87" s="112">
        <v>129</v>
      </c>
      <c r="N87" s="28">
        <f t="shared" si="23"/>
        <v>0.75116279069762926</v>
      </c>
      <c r="O87" s="84">
        <f t="shared" si="24"/>
        <v>266.79999999998836</v>
      </c>
      <c r="P87" s="79">
        <f t="shared" si="25"/>
        <v>369</v>
      </c>
      <c r="Q87" s="34">
        <f t="shared" si="26"/>
        <v>0.72303523035227202</v>
      </c>
      <c r="R87" s="1">
        <v>42</v>
      </c>
    </row>
    <row r="88" spans="1:18" ht="24" customHeight="1">
      <c r="A88" s="81">
        <v>38</v>
      </c>
      <c r="B88" s="31" t="s">
        <v>84</v>
      </c>
      <c r="C88" s="104">
        <v>271298.59999999998</v>
      </c>
      <c r="D88" s="104">
        <v>271453.59999999998</v>
      </c>
      <c r="E88" s="104">
        <f t="shared" si="19"/>
        <v>155</v>
      </c>
      <c r="F88" s="110">
        <v>17795</v>
      </c>
      <c r="G88" s="111">
        <v>224</v>
      </c>
      <c r="H88" s="10">
        <f t="shared" si="20"/>
        <v>0.6919642857142857</v>
      </c>
      <c r="I88" s="104">
        <v>271584.90000000002</v>
      </c>
      <c r="J88" s="106">
        <f t="shared" si="21"/>
        <v>131.30000000004657</v>
      </c>
      <c r="K88" s="110">
        <v>17815</v>
      </c>
      <c r="L88" s="107">
        <f t="shared" si="22"/>
        <v>20</v>
      </c>
      <c r="M88" s="112">
        <v>177</v>
      </c>
      <c r="N88" s="28">
        <f t="shared" si="23"/>
        <v>0.74180790960478282</v>
      </c>
      <c r="O88" s="84">
        <f t="shared" si="24"/>
        <v>286.30000000004657</v>
      </c>
      <c r="P88" s="79">
        <f t="shared" si="25"/>
        <v>401</v>
      </c>
      <c r="Q88" s="34">
        <f t="shared" si="26"/>
        <v>0.71396508728191166</v>
      </c>
      <c r="R88" s="1">
        <v>35</v>
      </c>
    </row>
    <row r="89" spans="1:18" ht="24" customHeight="1">
      <c r="A89" s="81">
        <v>39</v>
      </c>
      <c r="B89" s="31" t="s">
        <v>85</v>
      </c>
      <c r="C89" s="35">
        <v>279346.7</v>
      </c>
      <c r="D89" s="35">
        <v>279466.5</v>
      </c>
      <c r="E89" s="104">
        <f t="shared" si="19"/>
        <v>119.79999999998836</v>
      </c>
      <c r="F89" s="110">
        <v>19718</v>
      </c>
      <c r="G89" s="111">
        <v>177</v>
      </c>
      <c r="H89" s="10">
        <f t="shared" si="20"/>
        <v>0.67683615819202458</v>
      </c>
      <c r="I89" s="35">
        <v>279569.7</v>
      </c>
      <c r="J89" s="106">
        <f t="shared" si="21"/>
        <v>103.20000000001164</v>
      </c>
      <c r="K89" s="110">
        <v>19742</v>
      </c>
      <c r="L89" s="107">
        <f t="shared" si="22"/>
        <v>24</v>
      </c>
      <c r="M89" s="112">
        <v>147</v>
      </c>
      <c r="N89" s="28">
        <f t="shared" si="23"/>
        <v>0.70204081632660975</v>
      </c>
      <c r="O89" s="84">
        <f t="shared" si="24"/>
        <v>223</v>
      </c>
      <c r="P89" s="79">
        <f t="shared" si="25"/>
        <v>324</v>
      </c>
      <c r="Q89" s="34">
        <f t="shared" si="26"/>
        <v>0.68827160493827155</v>
      </c>
      <c r="R89" s="1">
        <v>36</v>
      </c>
    </row>
    <row r="90" spans="1:18" ht="24" customHeight="1">
      <c r="A90" s="81">
        <v>40</v>
      </c>
      <c r="B90" s="31" t="s">
        <v>86</v>
      </c>
      <c r="C90" s="104">
        <v>250030.3</v>
      </c>
      <c r="D90" s="104">
        <v>250194.3</v>
      </c>
      <c r="E90" s="104">
        <f t="shared" si="19"/>
        <v>164</v>
      </c>
      <c r="F90" s="110">
        <v>17767</v>
      </c>
      <c r="G90" s="111">
        <v>243</v>
      </c>
      <c r="H90" s="10">
        <f t="shared" si="20"/>
        <v>0.67489711934156382</v>
      </c>
      <c r="I90" s="104">
        <v>250311.6</v>
      </c>
      <c r="J90" s="106">
        <f t="shared" si="21"/>
        <v>117.30000000001746</v>
      </c>
      <c r="K90" s="110">
        <v>17788</v>
      </c>
      <c r="L90" s="107">
        <f t="shared" si="22"/>
        <v>21</v>
      </c>
      <c r="M90" s="112">
        <v>166</v>
      </c>
      <c r="N90" s="28">
        <f t="shared" si="23"/>
        <v>0.70662650602420163</v>
      </c>
      <c r="O90" s="84">
        <f t="shared" si="24"/>
        <v>281.30000000001746</v>
      </c>
      <c r="P90" s="79">
        <f t="shared" si="25"/>
        <v>409</v>
      </c>
      <c r="Q90" s="34">
        <f t="shared" si="26"/>
        <v>0.68777506112473707</v>
      </c>
      <c r="R90" s="1">
        <v>41</v>
      </c>
    </row>
    <row r="91" spans="1:18" ht="24" customHeight="1">
      <c r="A91" s="81">
        <v>41</v>
      </c>
      <c r="B91" s="31" t="s">
        <v>87</v>
      </c>
      <c r="C91" s="104">
        <v>278902.3</v>
      </c>
      <c r="D91" s="104">
        <v>279004.2</v>
      </c>
      <c r="E91" s="104">
        <f t="shared" si="19"/>
        <v>101.90000000002328</v>
      </c>
      <c r="F91" s="110">
        <v>19265</v>
      </c>
      <c r="G91" s="111">
        <v>140</v>
      </c>
      <c r="H91" s="10">
        <f t="shared" si="20"/>
        <v>0.72785714285730918</v>
      </c>
      <c r="I91" s="104">
        <v>279122.40000000002</v>
      </c>
      <c r="J91" s="106">
        <f t="shared" si="21"/>
        <v>118.20000000001164</v>
      </c>
      <c r="K91" s="110">
        <v>19287</v>
      </c>
      <c r="L91" s="107">
        <f t="shared" si="22"/>
        <v>22</v>
      </c>
      <c r="M91" s="111">
        <v>154</v>
      </c>
      <c r="N91" s="28">
        <f t="shared" si="23"/>
        <v>0.76753246753254312</v>
      </c>
      <c r="O91" s="84">
        <f t="shared" si="24"/>
        <v>220.10000000003492</v>
      </c>
      <c r="P91" s="79">
        <f t="shared" si="25"/>
        <v>294</v>
      </c>
      <c r="Q91" s="34">
        <f t="shared" si="26"/>
        <v>0.74863945578243174</v>
      </c>
      <c r="R91" s="1">
        <v>35</v>
      </c>
    </row>
    <row r="92" spans="1:18" ht="24" customHeight="1">
      <c r="A92" s="81">
        <v>42</v>
      </c>
      <c r="B92" s="31" t="s">
        <v>88</v>
      </c>
      <c r="C92" s="104">
        <v>274875</v>
      </c>
      <c r="D92" s="104">
        <v>274983.90000000002</v>
      </c>
      <c r="E92" s="104">
        <f t="shared" si="19"/>
        <v>108.90000000002328</v>
      </c>
      <c r="F92" s="110">
        <v>18660</v>
      </c>
      <c r="G92" s="111">
        <v>160</v>
      </c>
      <c r="H92" s="10">
        <f t="shared" si="20"/>
        <v>0.68062500000014547</v>
      </c>
      <c r="I92" s="104">
        <v>275096.7</v>
      </c>
      <c r="J92" s="106">
        <f t="shared" si="21"/>
        <v>112.79999999998836</v>
      </c>
      <c r="K92" s="110">
        <v>18681</v>
      </c>
      <c r="L92" s="107">
        <f t="shared" si="22"/>
        <v>21</v>
      </c>
      <c r="M92" s="111">
        <v>154</v>
      </c>
      <c r="N92" s="28">
        <f t="shared" si="23"/>
        <v>0.73246753246745688</v>
      </c>
      <c r="O92" s="84">
        <f t="shared" si="24"/>
        <v>221.70000000001164</v>
      </c>
      <c r="P92" s="79">
        <f t="shared" si="25"/>
        <v>314</v>
      </c>
      <c r="Q92" s="34">
        <f t="shared" si="26"/>
        <v>0.70605095541404983</v>
      </c>
      <c r="R92" s="1">
        <v>35</v>
      </c>
    </row>
    <row r="93" spans="1:18" ht="24" customHeight="1">
      <c r="A93" s="81">
        <v>43</v>
      </c>
      <c r="B93" s="31" t="s">
        <v>89</v>
      </c>
      <c r="C93" s="35">
        <v>267237.7</v>
      </c>
      <c r="D93" s="35">
        <v>267368</v>
      </c>
      <c r="E93" s="104">
        <f t="shared" si="19"/>
        <v>130.29999999998836</v>
      </c>
      <c r="F93" s="110">
        <v>18315</v>
      </c>
      <c r="G93" s="111">
        <v>163.47999999999999</v>
      </c>
      <c r="H93" s="10">
        <f t="shared" si="20"/>
        <v>0.79703939319787354</v>
      </c>
      <c r="I93" s="35">
        <v>267446.5</v>
      </c>
      <c r="J93" s="106">
        <f t="shared" si="21"/>
        <v>78.5</v>
      </c>
      <c r="K93" s="110">
        <v>18334</v>
      </c>
      <c r="L93" s="107">
        <f t="shared" si="22"/>
        <v>19</v>
      </c>
      <c r="M93" s="111">
        <v>106</v>
      </c>
      <c r="N93" s="28">
        <f t="shared" si="23"/>
        <v>0.74056603773584906</v>
      </c>
      <c r="O93" s="84">
        <f t="shared" si="24"/>
        <v>208.79999999998836</v>
      </c>
      <c r="P93" s="79">
        <f t="shared" si="25"/>
        <v>269.48</v>
      </c>
      <c r="Q93" s="34">
        <f t="shared" si="26"/>
        <v>0.77482559002519058</v>
      </c>
      <c r="R93" s="1">
        <v>52</v>
      </c>
    </row>
    <row r="94" spans="1:18" ht="24" customHeight="1">
      <c r="A94" s="81">
        <v>44</v>
      </c>
      <c r="B94" s="31" t="s">
        <v>90</v>
      </c>
      <c r="C94" s="104">
        <v>244641.2</v>
      </c>
      <c r="D94" s="104">
        <v>244804.5</v>
      </c>
      <c r="E94" s="104">
        <f t="shared" si="19"/>
        <v>163.29999999998836</v>
      </c>
      <c r="F94" s="110">
        <v>17640</v>
      </c>
      <c r="G94" s="111">
        <v>248</v>
      </c>
      <c r="H94" s="10">
        <f>IFERROR(E94/G94,0)</f>
        <v>0.65846774193543689</v>
      </c>
      <c r="I94" s="104">
        <v>244905.1</v>
      </c>
      <c r="J94" s="106">
        <f t="shared" si="21"/>
        <v>100.60000000000582</v>
      </c>
      <c r="K94" s="110">
        <v>17660</v>
      </c>
      <c r="L94" s="107">
        <f t="shared" si="22"/>
        <v>20</v>
      </c>
      <c r="M94" s="111">
        <v>151</v>
      </c>
      <c r="N94" s="28">
        <f t="shared" si="23"/>
        <v>0.66622516556295241</v>
      </c>
      <c r="O94" s="84">
        <f t="shared" si="24"/>
        <v>263.89999999999418</v>
      </c>
      <c r="P94" s="79">
        <f t="shared" si="25"/>
        <v>399</v>
      </c>
      <c r="Q94" s="34">
        <f t="shared" si="26"/>
        <v>0.66140350877191523</v>
      </c>
      <c r="R94" s="1">
        <v>42</v>
      </c>
    </row>
    <row r="95" spans="1:18" ht="24" customHeight="1">
      <c r="A95" s="81">
        <v>45</v>
      </c>
      <c r="B95" s="31" t="s">
        <v>91</v>
      </c>
      <c r="C95" s="104">
        <v>254153.9</v>
      </c>
      <c r="D95" s="104">
        <v>254153.9</v>
      </c>
      <c r="E95" s="104">
        <f t="shared" si="19"/>
        <v>0</v>
      </c>
      <c r="F95" s="110">
        <v>17731</v>
      </c>
      <c r="G95" s="111">
        <v>0</v>
      </c>
      <c r="H95" s="10">
        <f t="shared" si="20"/>
        <v>0</v>
      </c>
      <c r="I95" s="104">
        <v>254153.9</v>
      </c>
      <c r="J95" s="106">
        <f t="shared" si="21"/>
        <v>0</v>
      </c>
      <c r="K95" s="110">
        <v>17731</v>
      </c>
      <c r="L95" s="107">
        <f t="shared" si="22"/>
        <v>0</v>
      </c>
      <c r="M95" s="111">
        <v>0</v>
      </c>
      <c r="N95" s="28">
        <f t="shared" si="23"/>
        <v>0</v>
      </c>
      <c r="O95" s="84">
        <f t="shared" si="24"/>
        <v>0</v>
      </c>
      <c r="P95" s="79">
        <f t="shared" si="25"/>
        <v>0</v>
      </c>
      <c r="Q95" s="34">
        <f t="shared" si="26"/>
        <v>0</v>
      </c>
      <c r="R95" s="1">
        <v>0</v>
      </c>
    </row>
    <row r="96" spans="1:18" ht="24" customHeight="1">
      <c r="A96" s="81">
        <v>46</v>
      </c>
      <c r="B96" s="31" t="s">
        <v>92</v>
      </c>
      <c r="C96" s="35">
        <v>238658.1</v>
      </c>
      <c r="D96" s="35">
        <v>238831.9</v>
      </c>
      <c r="E96" s="104">
        <f>D96-C96</f>
        <v>173.79999999998836</v>
      </c>
      <c r="F96" s="110">
        <v>17289</v>
      </c>
      <c r="G96" s="111">
        <v>225</v>
      </c>
      <c r="H96" s="10">
        <f t="shared" si="20"/>
        <v>0.77244444444439275</v>
      </c>
      <c r="I96" s="35">
        <v>238973.6</v>
      </c>
      <c r="J96" s="106">
        <f>I96-D96</f>
        <v>141.70000000001164</v>
      </c>
      <c r="K96" s="110">
        <v>17311</v>
      </c>
      <c r="L96" s="107">
        <f t="shared" si="22"/>
        <v>22</v>
      </c>
      <c r="M96" s="111">
        <v>186</v>
      </c>
      <c r="N96" s="28">
        <f t="shared" si="23"/>
        <v>0.76182795698930994</v>
      </c>
      <c r="O96" s="84">
        <f t="shared" si="24"/>
        <v>315.5</v>
      </c>
      <c r="P96" s="79">
        <f>G96+M96</f>
        <v>411</v>
      </c>
      <c r="Q96" s="34">
        <f t="shared" si="26"/>
        <v>0.76763990267639903</v>
      </c>
      <c r="R96" s="1">
        <v>33</v>
      </c>
    </row>
    <row r="97" spans="1:19" ht="24" customHeight="1">
      <c r="A97" s="81">
        <v>47</v>
      </c>
      <c r="B97" s="31" t="s">
        <v>93</v>
      </c>
      <c r="C97" s="104">
        <v>247064.4</v>
      </c>
      <c r="D97" s="104">
        <v>247237.6</v>
      </c>
      <c r="E97" s="104">
        <f>D97-C97</f>
        <v>173.20000000001164</v>
      </c>
      <c r="F97" s="110">
        <v>16761</v>
      </c>
      <c r="G97" s="111">
        <v>221</v>
      </c>
      <c r="H97" s="10">
        <f t="shared" si="20"/>
        <v>0.78371040723987173</v>
      </c>
      <c r="I97" s="104">
        <v>247402.2</v>
      </c>
      <c r="J97" s="106">
        <f>I97-D97</f>
        <v>164.60000000000582</v>
      </c>
      <c r="K97" s="110">
        <v>16782</v>
      </c>
      <c r="L97" s="107">
        <f t="shared" si="22"/>
        <v>21</v>
      </c>
      <c r="M97" s="111">
        <v>211</v>
      </c>
      <c r="N97" s="28">
        <f t="shared" si="23"/>
        <v>0.78009478672988541</v>
      </c>
      <c r="O97" s="84">
        <f t="shared" si="24"/>
        <v>337.80000000001746</v>
      </c>
      <c r="P97" s="79">
        <f t="shared" si="25"/>
        <v>432</v>
      </c>
      <c r="Q97" s="34">
        <f t="shared" si="26"/>
        <v>0.78194444444448485</v>
      </c>
      <c r="R97" s="1">
        <v>35</v>
      </c>
      <c r="S97" t="s">
        <v>94</v>
      </c>
    </row>
    <row r="98" spans="1:19" ht="24" customHeight="1">
      <c r="A98" s="81">
        <v>48</v>
      </c>
      <c r="B98" s="31" t="s">
        <v>95</v>
      </c>
      <c r="C98" s="104">
        <v>244224</v>
      </c>
      <c r="D98" s="104">
        <v>244358.39999999999</v>
      </c>
      <c r="E98" s="104">
        <f t="shared" si="19"/>
        <v>134.39999999999418</v>
      </c>
      <c r="F98" s="110">
        <v>18205</v>
      </c>
      <c r="G98" s="111">
        <v>196</v>
      </c>
      <c r="H98" s="10">
        <f t="shared" si="20"/>
        <v>0.68571428571425597</v>
      </c>
      <c r="I98" s="104">
        <v>244466</v>
      </c>
      <c r="J98" s="106">
        <f t="shared" si="21"/>
        <v>107.60000000000582</v>
      </c>
      <c r="K98" s="110">
        <v>18222</v>
      </c>
      <c r="L98" s="107">
        <f t="shared" si="22"/>
        <v>17</v>
      </c>
      <c r="M98" s="111">
        <v>146</v>
      </c>
      <c r="N98" s="28">
        <f t="shared" si="23"/>
        <v>0.73698630136990284</v>
      </c>
      <c r="O98" s="84">
        <f t="shared" si="24"/>
        <v>242</v>
      </c>
      <c r="P98" s="79">
        <f t="shared" si="25"/>
        <v>342</v>
      </c>
      <c r="Q98" s="34">
        <f t="shared" si="26"/>
        <v>0.70760233918128657</v>
      </c>
      <c r="R98" s="1">
        <v>36</v>
      </c>
    </row>
    <row r="99" spans="1:19" ht="24" customHeight="1">
      <c r="A99" s="81">
        <v>49</v>
      </c>
      <c r="B99" s="31" t="s">
        <v>96</v>
      </c>
      <c r="C99" s="35">
        <v>248749.5</v>
      </c>
      <c r="D99" s="35">
        <v>248880.1</v>
      </c>
      <c r="E99" s="104">
        <f t="shared" si="19"/>
        <v>130.60000000000582</v>
      </c>
      <c r="F99" s="110">
        <v>17886</v>
      </c>
      <c r="G99" s="111">
        <v>175</v>
      </c>
      <c r="H99" s="10">
        <f>IFERROR(E99/G99,0)</f>
        <v>0.74628571428574753</v>
      </c>
      <c r="I99" s="35">
        <v>249013.9</v>
      </c>
      <c r="J99" s="106">
        <f t="shared" si="21"/>
        <v>133.79999999998836</v>
      </c>
      <c r="K99" s="110">
        <v>17904</v>
      </c>
      <c r="L99" s="107">
        <f t="shared" si="22"/>
        <v>18</v>
      </c>
      <c r="M99" s="111">
        <v>189</v>
      </c>
      <c r="N99" s="28">
        <f t="shared" si="23"/>
        <v>0.70793650793644636</v>
      </c>
      <c r="O99" s="84">
        <f t="shared" si="24"/>
        <v>264.39999999999418</v>
      </c>
      <c r="P99" s="79">
        <f t="shared" si="25"/>
        <v>364</v>
      </c>
      <c r="Q99" s="34">
        <f t="shared" si="26"/>
        <v>0.72637362637361036</v>
      </c>
      <c r="R99" s="1">
        <v>23</v>
      </c>
    </row>
    <row r="100" spans="1:19" ht="24" customHeight="1">
      <c r="A100" s="81">
        <v>50</v>
      </c>
      <c r="B100" s="31" t="s">
        <v>97</v>
      </c>
      <c r="C100" s="104">
        <v>237393.3</v>
      </c>
      <c r="D100" s="104">
        <v>237573.8</v>
      </c>
      <c r="E100" s="104">
        <f t="shared" si="19"/>
        <v>180.5</v>
      </c>
      <c r="F100" s="110">
        <v>16398</v>
      </c>
      <c r="G100" s="111">
        <v>251</v>
      </c>
      <c r="H100" s="10">
        <f t="shared" si="20"/>
        <v>0.71912350597609564</v>
      </c>
      <c r="I100" s="104">
        <v>237697</v>
      </c>
      <c r="J100" s="106">
        <f t="shared" si="21"/>
        <v>123.20000000001164</v>
      </c>
      <c r="K100" s="110">
        <v>16417</v>
      </c>
      <c r="L100" s="107">
        <f t="shared" si="22"/>
        <v>19</v>
      </c>
      <c r="M100" s="111">
        <v>159</v>
      </c>
      <c r="N100" s="28">
        <f t="shared" si="23"/>
        <v>0.7748427672956707</v>
      </c>
      <c r="O100" s="84">
        <f t="shared" si="24"/>
        <v>303.70000000001164</v>
      </c>
      <c r="P100" s="79">
        <f t="shared" si="25"/>
        <v>410</v>
      </c>
      <c r="Q100" s="34">
        <f t="shared" si="26"/>
        <v>0.74073170731710158</v>
      </c>
      <c r="R100" s="1">
        <v>40</v>
      </c>
    </row>
    <row r="101" spans="1:19" ht="24" customHeight="1">
      <c r="A101" s="81">
        <v>51</v>
      </c>
      <c r="B101" s="121" t="s">
        <v>166</v>
      </c>
      <c r="C101" s="104">
        <v>205431</v>
      </c>
      <c r="D101" s="104">
        <v>205603</v>
      </c>
      <c r="E101" s="118">
        <f t="shared" si="19"/>
        <v>172</v>
      </c>
      <c r="F101" s="110">
        <v>17485</v>
      </c>
      <c r="G101" s="111">
        <v>222</v>
      </c>
      <c r="H101" s="55">
        <f t="shared" si="20"/>
        <v>0.77477477477477474</v>
      </c>
      <c r="I101" s="104">
        <v>205735</v>
      </c>
      <c r="J101" s="119">
        <f t="shared" si="21"/>
        <v>132</v>
      </c>
      <c r="K101" s="110">
        <v>17506</v>
      </c>
      <c r="L101" s="120">
        <f t="shared" si="22"/>
        <v>21</v>
      </c>
      <c r="M101" s="111">
        <v>160</v>
      </c>
      <c r="N101" s="28">
        <f t="shared" si="23"/>
        <v>0.82499999999999996</v>
      </c>
      <c r="O101" s="58">
        <f t="shared" si="24"/>
        <v>304</v>
      </c>
      <c r="P101" s="79">
        <f t="shared" si="25"/>
        <v>382</v>
      </c>
      <c r="Q101" s="34">
        <f t="shared" si="26"/>
        <v>0.79581151832460728</v>
      </c>
      <c r="R101" s="1">
        <v>51</v>
      </c>
    </row>
    <row r="102" spans="1:19" ht="24" customHeight="1">
      <c r="A102" s="81">
        <v>52</v>
      </c>
      <c r="B102" s="121" t="s">
        <v>167</v>
      </c>
      <c r="C102" s="104">
        <v>186406</v>
      </c>
      <c r="D102" s="104">
        <v>186406</v>
      </c>
      <c r="E102" s="118">
        <f t="shared" si="19"/>
        <v>0</v>
      </c>
      <c r="F102" s="110">
        <v>16317</v>
      </c>
      <c r="G102" s="111">
        <v>0</v>
      </c>
      <c r="H102" s="55">
        <f t="shared" si="20"/>
        <v>0</v>
      </c>
      <c r="I102" s="104">
        <v>186406</v>
      </c>
      <c r="J102" s="119">
        <f t="shared" si="21"/>
        <v>0</v>
      </c>
      <c r="K102" s="110">
        <v>16317</v>
      </c>
      <c r="L102" s="120">
        <f t="shared" si="22"/>
        <v>0</v>
      </c>
      <c r="M102" s="111">
        <v>0</v>
      </c>
      <c r="N102" s="28">
        <f t="shared" si="23"/>
        <v>0</v>
      </c>
      <c r="O102" s="58">
        <f t="shared" si="24"/>
        <v>0</v>
      </c>
      <c r="P102" s="79">
        <f t="shared" si="25"/>
        <v>0</v>
      </c>
      <c r="Q102" s="34">
        <f t="shared" si="26"/>
        <v>0</v>
      </c>
      <c r="R102" s="1">
        <v>0</v>
      </c>
    </row>
    <row r="103" spans="1:19" ht="24" customHeight="1">
      <c r="A103" s="81">
        <v>53</v>
      </c>
      <c r="B103" s="121" t="s">
        <v>168</v>
      </c>
      <c r="C103" s="104">
        <v>192384</v>
      </c>
      <c r="D103" s="104">
        <v>192557</v>
      </c>
      <c r="E103" s="118">
        <f t="shared" si="19"/>
        <v>173</v>
      </c>
      <c r="F103" s="110">
        <v>17161</v>
      </c>
      <c r="G103" s="111">
        <v>258</v>
      </c>
      <c r="H103" s="55">
        <f t="shared" si="20"/>
        <v>0.6705426356589147</v>
      </c>
      <c r="I103" s="104">
        <v>192707</v>
      </c>
      <c r="J103" s="119">
        <f t="shared" si="21"/>
        <v>150</v>
      </c>
      <c r="K103" s="110">
        <v>17183</v>
      </c>
      <c r="L103" s="120">
        <f t="shared" si="22"/>
        <v>22</v>
      </c>
      <c r="M103" s="111">
        <v>225</v>
      </c>
      <c r="N103" s="28">
        <f t="shared" si="23"/>
        <v>0.66666666666666663</v>
      </c>
      <c r="O103" s="58">
        <f t="shared" si="24"/>
        <v>323</v>
      </c>
      <c r="P103" s="79">
        <f t="shared" si="25"/>
        <v>483</v>
      </c>
      <c r="Q103" s="34">
        <f t="shared" si="26"/>
        <v>0.66873706004140787</v>
      </c>
      <c r="R103" s="1">
        <v>53</v>
      </c>
    </row>
    <row r="104" spans="1:19" ht="24" customHeight="1">
      <c r="A104" s="81">
        <v>54</v>
      </c>
      <c r="B104" s="121" t="s">
        <v>169</v>
      </c>
      <c r="C104" s="104">
        <v>196486</v>
      </c>
      <c r="D104" s="104">
        <v>196557</v>
      </c>
      <c r="E104" s="118">
        <f t="shared" si="19"/>
        <v>71</v>
      </c>
      <c r="F104" s="110">
        <v>16645</v>
      </c>
      <c r="G104" s="111">
        <v>107</v>
      </c>
      <c r="H104" s="55">
        <f t="shared" si="20"/>
        <v>0.66355140186915884</v>
      </c>
      <c r="I104" s="104">
        <v>196704</v>
      </c>
      <c r="J104" s="119">
        <f t="shared" si="21"/>
        <v>147</v>
      </c>
      <c r="K104" s="110">
        <v>16665</v>
      </c>
      <c r="L104" s="120">
        <f t="shared" si="22"/>
        <v>20</v>
      </c>
      <c r="M104" s="111">
        <v>197</v>
      </c>
      <c r="N104" s="28">
        <f t="shared" si="23"/>
        <v>0.74619289340101524</v>
      </c>
      <c r="O104" s="58">
        <f t="shared" si="24"/>
        <v>218</v>
      </c>
      <c r="P104" s="79">
        <f t="shared" si="25"/>
        <v>304</v>
      </c>
      <c r="Q104" s="34">
        <f t="shared" si="26"/>
        <v>0.71710526315789469</v>
      </c>
      <c r="R104" s="1">
        <v>44</v>
      </c>
    </row>
    <row r="105" spans="1:19" ht="24" customHeight="1">
      <c r="A105" s="81">
        <v>55</v>
      </c>
      <c r="B105" s="121" t="s">
        <v>104</v>
      </c>
      <c r="C105" s="104">
        <v>71308.7</v>
      </c>
      <c r="D105" s="104">
        <v>71472.3</v>
      </c>
      <c r="E105" s="118">
        <f t="shared" si="19"/>
        <v>163.60000000000582</v>
      </c>
      <c r="F105" s="110">
        <v>4823</v>
      </c>
      <c r="G105" s="111">
        <v>213</v>
      </c>
      <c r="H105" s="78">
        <f t="shared" si="20"/>
        <v>0.76807511737091938</v>
      </c>
      <c r="I105" s="104">
        <v>71591.8</v>
      </c>
      <c r="J105" s="112">
        <f t="shared" si="21"/>
        <v>119.5</v>
      </c>
      <c r="K105" s="110">
        <v>4841</v>
      </c>
      <c r="L105" s="107">
        <f t="shared" si="22"/>
        <v>18</v>
      </c>
      <c r="M105" s="111">
        <v>128</v>
      </c>
      <c r="N105" s="28">
        <f t="shared" si="23"/>
        <v>0.93359375</v>
      </c>
      <c r="O105" s="58">
        <f t="shared" si="24"/>
        <v>283.10000000000582</v>
      </c>
      <c r="P105" s="79">
        <f t="shared" si="25"/>
        <v>341</v>
      </c>
      <c r="Q105" s="34">
        <f t="shared" si="26"/>
        <v>0.83020527859239246</v>
      </c>
      <c r="R105" s="1">
        <v>36</v>
      </c>
    </row>
    <row r="106" spans="1:19" ht="24" customHeight="1">
      <c r="A106" s="81">
        <v>56</v>
      </c>
      <c r="B106" s="121" t="s">
        <v>105</v>
      </c>
      <c r="C106" s="35">
        <v>70187.399999999994</v>
      </c>
      <c r="D106" s="35">
        <v>70347.5</v>
      </c>
      <c r="E106" s="122">
        <f t="shared" si="19"/>
        <v>160.10000000000582</v>
      </c>
      <c r="F106" s="110">
        <v>4844</v>
      </c>
      <c r="G106" s="111">
        <v>212</v>
      </c>
      <c r="H106" s="78">
        <f t="shared" si="20"/>
        <v>0.75518867924531052</v>
      </c>
      <c r="I106" s="35">
        <v>70455.100000000006</v>
      </c>
      <c r="J106" s="112">
        <f t="shared" si="21"/>
        <v>107.60000000000582</v>
      </c>
      <c r="K106" s="110">
        <v>4862</v>
      </c>
      <c r="L106" s="107">
        <f t="shared" si="22"/>
        <v>18</v>
      </c>
      <c r="M106" s="111">
        <v>139</v>
      </c>
      <c r="N106" s="28">
        <f t="shared" si="23"/>
        <v>0.77410071942450231</v>
      </c>
      <c r="O106" s="58">
        <f t="shared" si="24"/>
        <v>267.70000000001164</v>
      </c>
      <c r="P106" s="79">
        <f t="shared" si="25"/>
        <v>351</v>
      </c>
      <c r="Q106" s="34">
        <f t="shared" si="26"/>
        <v>0.76267806267809579</v>
      </c>
      <c r="R106" s="1">
        <v>22</v>
      </c>
    </row>
    <row r="107" spans="1:19" ht="24" customHeight="1">
      <c r="A107" s="81">
        <v>57</v>
      </c>
      <c r="B107" s="121" t="s">
        <v>106</v>
      </c>
      <c r="C107" s="104">
        <v>68051.8</v>
      </c>
      <c r="D107" s="104">
        <v>68187.8</v>
      </c>
      <c r="E107" s="122">
        <f t="shared" si="19"/>
        <v>136</v>
      </c>
      <c r="F107" s="110">
        <v>4862</v>
      </c>
      <c r="G107" s="111">
        <v>189</v>
      </c>
      <c r="H107" s="78">
        <f t="shared" si="20"/>
        <v>0.71957671957671954</v>
      </c>
      <c r="I107" s="104">
        <v>68304.600000000006</v>
      </c>
      <c r="J107" s="112">
        <f t="shared" si="21"/>
        <v>116.80000000000291</v>
      </c>
      <c r="K107" s="110">
        <v>4881</v>
      </c>
      <c r="L107" s="107">
        <f t="shared" si="22"/>
        <v>19</v>
      </c>
      <c r="M107" s="111">
        <v>159</v>
      </c>
      <c r="N107" s="28">
        <f t="shared" si="23"/>
        <v>0.73459119496857173</v>
      </c>
      <c r="O107" s="58">
        <f t="shared" si="24"/>
        <v>252.80000000000291</v>
      </c>
      <c r="P107" s="79">
        <f t="shared" si="25"/>
        <v>348</v>
      </c>
      <c r="Q107" s="34">
        <f t="shared" si="26"/>
        <v>0.72643678160920377</v>
      </c>
      <c r="R107" s="1">
        <v>22</v>
      </c>
    </row>
    <row r="108" spans="1:19" ht="24" customHeight="1">
      <c r="A108" s="81">
        <v>58</v>
      </c>
      <c r="B108" s="121" t="s">
        <v>107</v>
      </c>
      <c r="C108" s="104">
        <v>70257.600000000006</v>
      </c>
      <c r="D108" s="104">
        <v>70360.899999999994</v>
      </c>
      <c r="E108" s="122">
        <f t="shared" si="19"/>
        <v>103.29999999998836</v>
      </c>
      <c r="F108" s="110">
        <v>4863</v>
      </c>
      <c r="G108" s="111">
        <v>146</v>
      </c>
      <c r="H108" s="78">
        <f t="shared" si="20"/>
        <v>0.70753424657526276</v>
      </c>
      <c r="I108" s="104">
        <v>70516.600000000006</v>
      </c>
      <c r="J108" s="112">
        <f t="shared" si="21"/>
        <v>155.70000000001164</v>
      </c>
      <c r="K108" s="110">
        <v>4881</v>
      </c>
      <c r="L108" s="107">
        <f t="shared" si="22"/>
        <v>18</v>
      </c>
      <c r="M108" s="111">
        <v>185</v>
      </c>
      <c r="N108" s="28">
        <f t="shared" si="23"/>
        <v>0.84162162162168452</v>
      </c>
      <c r="O108" s="58">
        <f t="shared" si="24"/>
        <v>259</v>
      </c>
      <c r="P108" s="79">
        <f t="shared" si="25"/>
        <v>331</v>
      </c>
      <c r="Q108" s="34">
        <f t="shared" si="26"/>
        <v>0.78247734138972813</v>
      </c>
      <c r="R108" s="1">
        <v>40</v>
      </c>
    </row>
    <row r="109" spans="1:19" ht="24" customHeight="1">
      <c r="A109" s="81">
        <v>59</v>
      </c>
      <c r="B109" s="121" t="s">
        <v>108</v>
      </c>
      <c r="C109" s="104">
        <v>69365.3</v>
      </c>
      <c r="D109" s="104">
        <v>69540.800000000003</v>
      </c>
      <c r="E109" s="122">
        <f t="shared" si="19"/>
        <v>175.5</v>
      </c>
      <c r="F109" s="110">
        <v>4833</v>
      </c>
      <c r="G109" s="111">
        <v>220</v>
      </c>
      <c r="H109" s="78">
        <f t="shared" si="20"/>
        <v>0.79772727272727273</v>
      </c>
      <c r="I109" s="104">
        <v>69649.3</v>
      </c>
      <c r="J109" s="112">
        <f t="shared" si="21"/>
        <v>108.5</v>
      </c>
      <c r="K109" s="110">
        <v>4852</v>
      </c>
      <c r="L109" s="107">
        <f t="shared" si="22"/>
        <v>19</v>
      </c>
      <c r="M109" s="111">
        <v>138</v>
      </c>
      <c r="N109" s="28">
        <f t="shared" si="23"/>
        <v>0.78623188405797106</v>
      </c>
      <c r="O109" s="58">
        <f t="shared" si="24"/>
        <v>284</v>
      </c>
      <c r="P109" s="79">
        <f t="shared" si="25"/>
        <v>358</v>
      </c>
      <c r="Q109" s="34">
        <f t="shared" si="26"/>
        <v>0.79329608938547491</v>
      </c>
      <c r="R109" s="1">
        <v>34</v>
      </c>
    </row>
    <row r="110" spans="1:19" ht="24" customHeight="1">
      <c r="A110" s="81">
        <v>60</v>
      </c>
      <c r="B110" s="121" t="s">
        <v>109</v>
      </c>
      <c r="C110" s="104">
        <v>71331.3</v>
      </c>
      <c r="D110" s="104">
        <v>71381.399999999994</v>
      </c>
      <c r="E110" s="118">
        <f t="shared" si="19"/>
        <v>50.099999999991269</v>
      </c>
      <c r="F110" s="110">
        <v>4922</v>
      </c>
      <c r="G110" s="111">
        <v>196.76</v>
      </c>
      <c r="H110" s="55">
        <f t="shared" si="20"/>
        <v>0.2546249237649485</v>
      </c>
      <c r="I110" s="104">
        <v>71509.5</v>
      </c>
      <c r="J110" s="119">
        <f t="shared" si="21"/>
        <v>128.10000000000582</v>
      </c>
      <c r="K110" s="110">
        <v>4941</v>
      </c>
      <c r="L110" s="120">
        <f t="shared" si="22"/>
        <v>19</v>
      </c>
      <c r="M110" s="111">
        <v>149</v>
      </c>
      <c r="N110" s="28">
        <f t="shared" si="23"/>
        <v>0.85973154362420012</v>
      </c>
      <c r="O110" s="58">
        <f t="shared" si="24"/>
        <v>178.19999999999709</v>
      </c>
      <c r="P110" s="79">
        <f t="shared" si="25"/>
        <v>345.76</v>
      </c>
      <c r="Q110" s="34">
        <f t="shared" si="26"/>
        <v>0.51538639518740481</v>
      </c>
      <c r="R110" s="1">
        <v>41</v>
      </c>
    </row>
    <row r="111" spans="1:19" ht="24" customHeight="1">
      <c r="A111" s="81">
        <v>61</v>
      </c>
      <c r="B111" s="121" t="s">
        <v>176</v>
      </c>
      <c r="C111" s="104">
        <v>52996.2</v>
      </c>
      <c r="D111" s="104">
        <v>53160.7</v>
      </c>
      <c r="E111" s="118">
        <f t="shared" si="19"/>
        <v>164.5</v>
      </c>
      <c r="F111" s="110">
        <v>4286</v>
      </c>
      <c r="G111" s="111">
        <v>228</v>
      </c>
      <c r="H111" s="55">
        <f t="shared" si="20"/>
        <v>0.72149122807017541</v>
      </c>
      <c r="I111" s="104">
        <v>53285.3</v>
      </c>
      <c r="J111" s="119">
        <f t="shared" si="21"/>
        <v>124.60000000000582</v>
      </c>
      <c r="K111" s="110">
        <v>4305</v>
      </c>
      <c r="L111" s="120">
        <f t="shared" si="22"/>
        <v>19</v>
      </c>
      <c r="M111" s="111">
        <v>144</v>
      </c>
      <c r="N111" s="28">
        <f t="shared" si="23"/>
        <v>0.86527777777781822</v>
      </c>
      <c r="O111" s="58">
        <f t="shared" si="24"/>
        <v>289.10000000000582</v>
      </c>
      <c r="P111" s="79">
        <f t="shared" si="25"/>
        <v>372</v>
      </c>
      <c r="Q111" s="34">
        <f t="shared" si="26"/>
        <v>0.77715053763442421</v>
      </c>
      <c r="R111" s="1">
        <v>38</v>
      </c>
    </row>
    <row r="112" spans="1:19" ht="24" customHeight="1">
      <c r="A112" s="81">
        <v>62</v>
      </c>
      <c r="B112" s="121" t="s">
        <v>177</v>
      </c>
      <c r="C112" s="104">
        <v>52023.6</v>
      </c>
      <c r="D112" s="104">
        <v>52203.1</v>
      </c>
      <c r="E112" s="118">
        <f t="shared" si="19"/>
        <v>179.5</v>
      </c>
      <c r="F112" s="110">
        <v>4322</v>
      </c>
      <c r="G112" s="111">
        <v>253</v>
      </c>
      <c r="H112" s="55">
        <f t="shared" si="20"/>
        <v>0.70948616600790515</v>
      </c>
      <c r="I112" s="104">
        <v>52340</v>
      </c>
      <c r="J112" s="119">
        <f t="shared" si="21"/>
        <v>136.90000000000146</v>
      </c>
      <c r="K112" s="110">
        <v>4342</v>
      </c>
      <c r="L112" s="120">
        <f t="shared" si="22"/>
        <v>20</v>
      </c>
      <c r="M112" s="111">
        <v>169</v>
      </c>
      <c r="N112" s="28">
        <f t="shared" si="23"/>
        <v>0.81005917159764174</v>
      </c>
      <c r="O112" s="58">
        <f t="shared" si="24"/>
        <v>316.40000000000146</v>
      </c>
      <c r="P112" s="79">
        <f t="shared" si="25"/>
        <v>422</v>
      </c>
      <c r="Q112" s="34">
        <f t="shared" si="26"/>
        <v>0.74976303317535886</v>
      </c>
      <c r="R112" s="1">
        <v>36</v>
      </c>
    </row>
    <row r="113" spans="1:18" ht="24" customHeight="1">
      <c r="A113" s="81">
        <v>63</v>
      </c>
      <c r="B113" s="121" t="s">
        <v>178</v>
      </c>
      <c r="C113" s="104">
        <v>50590.2</v>
      </c>
      <c r="D113" s="104">
        <v>50730.1</v>
      </c>
      <c r="E113" s="118">
        <f t="shared" si="19"/>
        <v>139.90000000000146</v>
      </c>
      <c r="F113" s="110">
        <v>4065</v>
      </c>
      <c r="G113" s="111">
        <v>180.43</v>
      </c>
      <c r="H113" s="55">
        <f t="shared" si="20"/>
        <v>0.77536994956493621</v>
      </c>
      <c r="I113" s="104">
        <v>50870.3</v>
      </c>
      <c r="J113" s="119">
        <f t="shared" si="21"/>
        <v>140.20000000000437</v>
      </c>
      <c r="K113" s="110">
        <v>4083</v>
      </c>
      <c r="L113" s="120">
        <f t="shared" si="22"/>
        <v>18</v>
      </c>
      <c r="M113" s="111">
        <v>176</v>
      </c>
      <c r="N113" s="28">
        <f t="shared" si="23"/>
        <v>0.79659090909093389</v>
      </c>
      <c r="O113" s="58">
        <f t="shared" si="24"/>
        <v>280.10000000000582</v>
      </c>
      <c r="P113" s="79">
        <f t="shared" si="25"/>
        <v>356.43</v>
      </c>
      <c r="Q113" s="34">
        <f t="shared" si="26"/>
        <v>0.78584855371322793</v>
      </c>
      <c r="R113" s="1">
        <v>36</v>
      </c>
    </row>
    <row r="114" spans="1:18" ht="24" customHeight="1">
      <c r="A114" s="81">
        <v>64</v>
      </c>
      <c r="B114" s="121" t="s">
        <v>179</v>
      </c>
      <c r="C114" s="104">
        <v>51561.8</v>
      </c>
      <c r="D114" s="104">
        <v>51712.800000000003</v>
      </c>
      <c r="E114" s="118">
        <f t="shared" si="19"/>
        <v>151</v>
      </c>
      <c r="F114" s="110">
        <v>4230</v>
      </c>
      <c r="G114" s="111">
        <v>226</v>
      </c>
      <c r="H114" s="55">
        <f t="shared" si="20"/>
        <v>0.66814159292035402</v>
      </c>
      <c r="I114" s="104">
        <v>51816.6</v>
      </c>
      <c r="J114" s="119">
        <f t="shared" si="21"/>
        <v>103.79999999999563</v>
      </c>
      <c r="K114" s="110">
        <v>4249</v>
      </c>
      <c r="L114" s="120">
        <f t="shared" si="22"/>
        <v>19</v>
      </c>
      <c r="M114" s="111">
        <v>123</v>
      </c>
      <c r="N114" s="28">
        <f t="shared" si="23"/>
        <v>0.8439024390243548</v>
      </c>
      <c r="O114" s="58">
        <f t="shared" si="24"/>
        <v>254.79999999999563</v>
      </c>
      <c r="P114" s="79">
        <f t="shared" si="25"/>
        <v>349</v>
      </c>
      <c r="Q114" s="34">
        <f t="shared" si="26"/>
        <v>0.73008595988537428</v>
      </c>
      <c r="R114" s="1">
        <v>36</v>
      </c>
    </row>
    <row r="115" spans="1:18" ht="24" customHeight="1">
      <c r="A115" s="81">
        <v>65</v>
      </c>
      <c r="B115" s="121" t="s">
        <v>180</v>
      </c>
      <c r="C115" s="104">
        <v>51894.1</v>
      </c>
      <c r="D115" s="104">
        <v>52062.3</v>
      </c>
      <c r="E115" s="118">
        <f t="shared" si="19"/>
        <v>168.20000000000437</v>
      </c>
      <c r="F115" s="110">
        <v>4183</v>
      </c>
      <c r="G115" s="111">
        <v>235</v>
      </c>
      <c r="H115" s="55">
        <f t="shared" si="20"/>
        <v>0.71574468085108245</v>
      </c>
      <c r="I115" s="104">
        <v>52213.5</v>
      </c>
      <c r="J115" s="119">
        <f t="shared" si="21"/>
        <v>151.19999999999709</v>
      </c>
      <c r="K115" s="110">
        <v>4205</v>
      </c>
      <c r="L115" s="120">
        <f t="shared" si="22"/>
        <v>22</v>
      </c>
      <c r="M115" s="111">
        <v>195</v>
      </c>
      <c r="N115" s="28">
        <f t="shared" si="23"/>
        <v>0.77538461538460046</v>
      </c>
      <c r="O115" s="58">
        <f t="shared" si="24"/>
        <v>319.40000000000146</v>
      </c>
      <c r="P115" s="79">
        <f t="shared" si="25"/>
        <v>430</v>
      </c>
      <c r="Q115" s="34">
        <f t="shared" si="26"/>
        <v>0.74279069767442196</v>
      </c>
      <c r="R115" s="1">
        <v>36</v>
      </c>
    </row>
    <row r="116" spans="1:18" ht="24" customHeight="1">
      <c r="A116" s="81">
        <v>66</v>
      </c>
      <c r="B116" s="121" t="s">
        <v>110</v>
      </c>
      <c r="C116" s="104">
        <v>35167.699999999997</v>
      </c>
      <c r="D116" s="104">
        <v>35309.9</v>
      </c>
      <c r="E116" s="118">
        <f t="shared" si="19"/>
        <v>142.20000000000437</v>
      </c>
      <c r="F116" s="110">
        <v>2837</v>
      </c>
      <c r="G116" s="111">
        <v>193</v>
      </c>
      <c r="H116" s="55">
        <f t="shared" si="20"/>
        <v>0.73678756476686202</v>
      </c>
      <c r="I116" s="104">
        <v>35404.199999999997</v>
      </c>
      <c r="J116" s="119">
        <f t="shared" si="21"/>
        <v>94.299999999995634</v>
      </c>
      <c r="K116" s="110">
        <v>2855</v>
      </c>
      <c r="L116" s="120">
        <f t="shared" si="22"/>
        <v>18</v>
      </c>
      <c r="M116" s="111">
        <v>130</v>
      </c>
      <c r="N116" s="28">
        <f t="shared" si="23"/>
        <v>0.72538461538458177</v>
      </c>
      <c r="O116" s="58">
        <f t="shared" si="24"/>
        <v>236.5</v>
      </c>
      <c r="P116" s="79">
        <f t="shared" si="25"/>
        <v>323</v>
      </c>
      <c r="Q116" s="34">
        <f t="shared" si="26"/>
        <v>0.7321981424148607</v>
      </c>
      <c r="R116" s="1">
        <v>43</v>
      </c>
    </row>
    <row r="117" spans="1:18" ht="22.2" customHeight="1">
      <c r="A117" s="123" t="s">
        <v>28</v>
      </c>
      <c r="B117" s="123"/>
      <c r="C117" s="40"/>
      <c r="D117" s="123"/>
      <c r="E117" s="124">
        <f>SUM(E51:E116)</f>
        <v>7660.5999999998676</v>
      </c>
      <c r="F117" s="125"/>
      <c r="G117" s="126">
        <f>SUM(G51:G116)</f>
        <v>11130.499999999998</v>
      </c>
      <c r="H117" s="39"/>
      <c r="I117" s="40"/>
      <c r="J117" s="40">
        <f>SUM(J51:J116)</f>
        <v>6558.0000000001601</v>
      </c>
      <c r="K117" s="127"/>
      <c r="L117" s="128">
        <f>SUM(L51:L116)</f>
        <v>1177.9899999999943</v>
      </c>
      <c r="M117" s="128">
        <f>SUM(M51:M116)</f>
        <v>9136.68</v>
      </c>
      <c r="N117" s="28">
        <f>IFERROR(J117/M117,0)</f>
        <v>0.71776619078266501</v>
      </c>
      <c r="O117" s="129">
        <f>SUM(O51:O116)</f>
        <v>14218.600000000028</v>
      </c>
      <c r="P117" s="79">
        <f>G117+M117</f>
        <v>20267.18</v>
      </c>
      <c r="Q117" s="34">
        <f>IFERROR(O117/P117,0)</f>
        <v>0.70155788817191278</v>
      </c>
      <c r="R117" s="130">
        <f>SUM(R51:R116)</f>
        <v>2504</v>
      </c>
    </row>
    <row r="118" spans="1:18" ht="22.2" customHeight="1" thickBot="1">
      <c r="A118" s="206" t="s">
        <v>111</v>
      </c>
      <c r="B118" s="207"/>
      <c r="C118" s="207"/>
      <c r="D118" s="207"/>
      <c r="E118" s="207"/>
      <c r="F118" s="207"/>
      <c r="G118" s="207"/>
      <c r="H118" s="207"/>
      <c r="I118" s="207"/>
      <c r="J118" s="207"/>
      <c r="K118" s="207"/>
      <c r="L118" s="208"/>
      <c r="M118" s="131"/>
      <c r="N118" s="132"/>
      <c r="O118" s="133"/>
    </row>
    <row r="119" spans="1:18" ht="22.2" customHeight="1">
      <c r="A119" s="209" t="s">
        <v>3</v>
      </c>
      <c r="B119" s="211" t="s">
        <v>4</v>
      </c>
      <c r="C119" s="213" t="s">
        <v>5</v>
      </c>
      <c r="D119" s="214"/>
      <c r="E119" s="214"/>
      <c r="F119" s="214"/>
      <c r="G119" s="215"/>
      <c r="H119" s="216" t="s">
        <v>6</v>
      </c>
      <c r="I119" s="217"/>
      <c r="J119" s="217"/>
      <c r="K119" s="218"/>
      <c r="L119" s="48"/>
      <c r="M119" s="219" t="s">
        <v>7</v>
      </c>
      <c r="N119" s="194" t="s">
        <v>8</v>
      </c>
      <c r="O119" s="37"/>
    </row>
    <row r="120" spans="1:18" ht="27.6" customHeight="1" thickBot="1">
      <c r="A120" s="210"/>
      <c r="B120" s="212"/>
      <c r="C120" s="49" t="s">
        <v>11</v>
      </c>
      <c r="D120" s="49" t="s">
        <v>12</v>
      </c>
      <c r="E120" s="49" t="s">
        <v>13</v>
      </c>
      <c r="F120" s="6" t="s">
        <v>14</v>
      </c>
      <c r="G120" s="6" t="s">
        <v>8</v>
      </c>
      <c r="H120" s="49" t="s">
        <v>12</v>
      </c>
      <c r="I120" s="49" t="s">
        <v>13</v>
      </c>
      <c r="J120" s="49" t="s">
        <v>14</v>
      </c>
      <c r="K120" s="7" t="s">
        <v>8</v>
      </c>
      <c r="L120" s="50" t="s">
        <v>15</v>
      </c>
      <c r="M120" s="220"/>
      <c r="N120" s="195"/>
      <c r="O120" s="37"/>
    </row>
    <row r="121" spans="1:18" ht="22.2" customHeight="1">
      <c r="A121" s="76">
        <v>1</v>
      </c>
      <c r="B121" s="31" t="s">
        <v>112</v>
      </c>
      <c r="C121" s="35">
        <v>121832</v>
      </c>
      <c r="D121" s="35">
        <v>121832</v>
      </c>
      <c r="E121" s="17">
        <f>D121-C121</f>
        <v>0</v>
      </c>
      <c r="F121" s="33">
        <v>0</v>
      </c>
      <c r="G121" s="10">
        <f>IFERROR(F121/E121,0)</f>
        <v>0</v>
      </c>
      <c r="H121" s="35">
        <v>121832</v>
      </c>
      <c r="I121" s="19">
        <f>H121-D121</f>
        <v>0</v>
      </c>
      <c r="J121" s="33">
        <v>0</v>
      </c>
      <c r="K121" s="28">
        <f t="shared" ref="K121:K138" si="27">IFERROR(J121/I121,0)</f>
        <v>0</v>
      </c>
      <c r="L121" s="18">
        <f t="shared" ref="L121:M138" si="28">E121+I121</f>
        <v>0</v>
      </c>
      <c r="M121" s="22">
        <f>F121+J121</f>
        <v>0</v>
      </c>
      <c r="N121" s="71">
        <f>IFERROR(L121/M121,0)</f>
        <v>0</v>
      </c>
      <c r="O121" s="37"/>
    </row>
    <row r="122" spans="1:18" ht="22.2" customHeight="1">
      <c r="A122" s="76">
        <v>2</v>
      </c>
      <c r="B122" s="31" t="s">
        <v>113</v>
      </c>
      <c r="C122" s="35">
        <v>4298.33</v>
      </c>
      <c r="D122" s="35">
        <v>4298.33</v>
      </c>
      <c r="E122" s="17">
        <f t="shared" ref="E122:E138" si="29">D122-C122</f>
        <v>0</v>
      </c>
      <c r="F122" s="33">
        <v>0</v>
      </c>
      <c r="G122" s="10">
        <f t="shared" ref="G122:G138" si="30">IFERROR(F122/E122,0)</f>
        <v>0</v>
      </c>
      <c r="H122" s="35">
        <v>4298.33</v>
      </c>
      <c r="I122" s="19">
        <f>H122-D122</f>
        <v>0</v>
      </c>
      <c r="J122" s="33">
        <v>0</v>
      </c>
      <c r="K122" s="28">
        <f t="shared" si="27"/>
        <v>0</v>
      </c>
      <c r="L122" s="18">
        <f t="shared" si="28"/>
        <v>0</v>
      </c>
      <c r="M122" s="22">
        <f t="shared" si="28"/>
        <v>0</v>
      </c>
      <c r="N122" s="71">
        <f t="shared" ref="N122:N138" si="31">IFERROR(L122/M122,0)</f>
        <v>0</v>
      </c>
      <c r="O122" s="134"/>
    </row>
    <row r="123" spans="1:18" ht="22.2" customHeight="1">
      <c r="A123" s="76">
        <v>3</v>
      </c>
      <c r="B123" s="31" t="s">
        <v>114</v>
      </c>
      <c r="C123" s="35">
        <v>168.1</v>
      </c>
      <c r="D123" s="35">
        <v>168.1</v>
      </c>
      <c r="E123" s="17">
        <f t="shared" si="29"/>
        <v>0</v>
      </c>
      <c r="F123" s="33">
        <v>0</v>
      </c>
      <c r="G123" s="10">
        <f t="shared" si="30"/>
        <v>0</v>
      </c>
      <c r="H123" s="35">
        <v>168.1</v>
      </c>
      <c r="I123" s="19">
        <f t="shared" ref="I123:I138" si="32">H123-D123</f>
        <v>0</v>
      </c>
      <c r="J123" s="33">
        <v>0</v>
      </c>
      <c r="K123" s="28">
        <f t="shared" si="27"/>
        <v>0</v>
      </c>
      <c r="L123" s="18">
        <f t="shared" si="28"/>
        <v>0</v>
      </c>
      <c r="M123" s="22">
        <f t="shared" si="28"/>
        <v>0</v>
      </c>
      <c r="N123" s="71">
        <f t="shared" si="31"/>
        <v>0</v>
      </c>
      <c r="O123" s="37"/>
    </row>
    <row r="124" spans="1:18" ht="22.2" customHeight="1">
      <c r="A124" s="76">
        <v>4</v>
      </c>
      <c r="B124" s="31" t="s">
        <v>115</v>
      </c>
      <c r="C124" s="136">
        <v>140707</v>
      </c>
      <c r="D124" s="136">
        <v>140707</v>
      </c>
      <c r="E124" s="17">
        <f t="shared" si="29"/>
        <v>0</v>
      </c>
      <c r="F124" s="33">
        <v>0</v>
      </c>
      <c r="G124" s="10">
        <f t="shared" si="30"/>
        <v>0</v>
      </c>
      <c r="H124" s="136">
        <v>140707</v>
      </c>
      <c r="I124" s="19">
        <f t="shared" si="32"/>
        <v>0</v>
      </c>
      <c r="J124" s="33">
        <v>0</v>
      </c>
      <c r="K124" s="28">
        <f t="shared" si="27"/>
        <v>0</v>
      </c>
      <c r="L124" s="18">
        <f t="shared" si="28"/>
        <v>0</v>
      </c>
      <c r="M124" s="22">
        <f t="shared" si="28"/>
        <v>0</v>
      </c>
      <c r="N124" s="71">
        <f t="shared" si="31"/>
        <v>0</v>
      </c>
      <c r="O124" s="137"/>
    </row>
    <row r="125" spans="1:18" ht="22.2" customHeight="1">
      <c r="A125" s="76">
        <v>5</v>
      </c>
      <c r="B125" s="31" t="s">
        <v>116</v>
      </c>
      <c r="C125" s="35">
        <v>44558.9</v>
      </c>
      <c r="D125" s="35">
        <v>44558.9</v>
      </c>
      <c r="E125" s="17">
        <f t="shared" si="29"/>
        <v>0</v>
      </c>
      <c r="F125" s="33">
        <v>0</v>
      </c>
      <c r="G125" s="10">
        <f t="shared" si="30"/>
        <v>0</v>
      </c>
      <c r="H125" s="35">
        <v>44558.9</v>
      </c>
      <c r="I125" s="19">
        <f t="shared" si="32"/>
        <v>0</v>
      </c>
      <c r="J125" s="33">
        <v>0</v>
      </c>
      <c r="K125" s="28">
        <f t="shared" si="27"/>
        <v>0</v>
      </c>
      <c r="L125" s="18">
        <f t="shared" si="28"/>
        <v>0</v>
      </c>
      <c r="M125" s="22">
        <f t="shared" si="28"/>
        <v>0</v>
      </c>
      <c r="N125" s="71">
        <f t="shared" si="31"/>
        <v>0</v>
      </c>
      <c r="O125" s="77"/>
    </row>
    <row r="126" spans="1:18" ht="22.2" customHeight="1">
      <c r="A126" s="76">
        <v>6</v>
      </c>
      <c r="B126" s="31" t="s">
        <v>117</v>
      </c>
      <c r="C126" s="35">
        <v>100493.6</v>
      </c>
      <c r="D126" s="35">
        <v>100669.6</v>
      </c>
      <c r="E126" s="17">
        <f t="shared" si="29"/>
        <v>176</v>
      </c>
      <c r="F126" s="33">
        <v>190</v>
      </c>
      <c r="G126" s="10">
        <f t="shared" si="30"/>
        <v>1.0795454545454546</v>
      </c>
      <c r="H126" s="35">
        <v>100669.6</v>
      </c>
      <c r="I126" s="19">
        <f t="shared" si="32"/>
        <v>0</v>
      </c>
      <c r="J126" s="33">
        <v>0</v>
      </c>
      <c r="K126" s="28">
        <f t="shared" si="27"/>
        <v>0</v>
      </c>
      <c r="L126" s="18">
        <f t="shared" si="28"/>
        <v>176</v>
      </c>
      <c r="M126" s="22">
        <f t="shared" si="28"/>
        <v>190</v>
      </c>
      <c r="N126" s="71">
        <f t="shared" si="31"/>
        <v>0.9263157894736842</v>
      </c>
      <c r="O126" s="37"/>
    </row>
    <row r="127" spans="1:18" ht="22.2" customHeight="1">
      <c r="A127" s="76">
        <v>7</v>
      </c>
      <c r="B127" s="31" t="s">
        <v>118</v>
      </c>
      <c r="C127" s="35">
        <v>152158.6</v>
      </c>
      <c r="D127" s="35">
        <v>152158.6</v>
      </c>
      <c r="E127" s="17">
        <f t="shared" si="29"/>
        <v>0</v>
      </c>
      <c r="F127" s="33">
        <v>0</v>
      </c>
      <c r="G127" s="10">
        <f t="shared" si="30"/>
        <v>0</v>
      </c>
      <c r="H127" s="35">
        <v>152282.79999999999</v>
      </c>
      <c r="I127" s="19">
        <f t="shared" si="32"/>
        <v>124.19999999998254</v>
      </c>
      <c r="J127" s="33">
        <v>155</v>
      </c>
      <c r="K127" s="28">
        <f t="shared" si="27"/>
        <v>1.2479871175525103</v>
      </c>
      <c r="L127" s="18">
        <f t="shared" si="28"/>
        <v>124.19999999998254</v>
      </c>
      <c r="M127" s="22">
        <f>F127+J127</f>
        <v>155</v>
      </c>
      <c r="N127" s="71">
        <f t="shared" si="31"/>
        <v>0.80129032258053245</v>
      </c>
      <c r="O127" s="37"/>
    </row>
    <row r="128" spans="1:18" ht="22.2" customHeight="1">
      <c r="A128" s="76">
        <v>8</v>
      </c>
      <c r="B128" s="138" t="s">
        <v>119</v>
      </c>
      <c r="C128" s="136">
        <v>40650.800000000003</v>
      </c>
      <c r="D128" s="136">
        <v>40650.800000000003</v>
      </c>
      <c r="E128" s="17">
        <f t="shared" si="29"/>
        <v>0</v>
      </c>
      <c r="F128" s="33">
        <v>0</v>
      </c>
      <c r="G128" s="10">
        <f t="shared" si="30"/>
        <v>0</v>
      </c>
      <c r="H128" s="136">
        <v>40650.800000000003</v>
      </c>
      <c r="I128" s="19">
        <f t="shared" si="32"/>
        <v>0</v>
      </c>
      <c r="J128" s="33">
        <v>0</v>
      </c>
      <c r="K128" s="28">
        <f t="shared" si="27"/>
        <v>0</v>
      </c>
      <c r="L128" s="18">
        <f t="shared" si="28"/>
        <v>0</v>
      </c>
      <c r="M128" s="22">
        <f>F128+J128</f>
        <v>0</v>
      </c>
      <c r="N128" s="71">
        <f t="shared" si="31"/>
        <v>0</v>
      </c>
      <c r="O128" s="37"/>
    </row>
    <row r="129" spans="1:17" ht="22.2" customHeight="1">
      <c r="A129" s="76">
        <v>9</v>
      </c>
      <c r="B129" s="138" t="s">
        <v>120</v>
      </c>
      <c r="C129" s="35">
        <v>33807</v>
      </c>
      <c r="D129" s="35">
        <v>33807</v>
      </c>
      <c r="E129" s="17">
        <f t="shared" si="29"/>
        <v>0</v>
      </c>
      <c r="F129" s="33">
        <v>0</v>
      </c>
      <c r="G129" s="10">
        <f t="shared" si="30"/>
        <v>0</v>
      </c>
      <c r="H129" s="35">
        <v>33988</v>
      </c>
      <c r="I129" s="19">
        <f t="shared" si="32"/>
        <v>181</v>
      </c>
      <c r="J129" s="33">
        <v>192.55</v>
      </c>
      <c r="K129" s="28">
        <f t="shared" si="27"/>
        <v>1.0638121546961326</v>
      </c>
      <c r="L129" s="18">
        <f t="shared" si="28"/>
        <v>181</v>
      </c>
      <c r="M129" s="22">
        <f t="shared" si="28"/>
        <v>192.55</v>
      </c>
      <c r="N129" s="71">
        <f t="shared" si="31"/>
        <v>0.94001558036873534</v>
      </c>
      <c r="O129" s="37"/>
    </row>
    <row r="130" spans="1:17" ht="22.2" customHeight="1">
      <c r="A130" s="76">
        <v>10</v>
      </c>
      <c r="B130" s="31" t="s">
        <v>121</v>
      </c>
      <c r="C130" s="35">
        <v>155370</v>
      </c>
      <c r="D130" s="35">
        <v>155370</v>
      </c>
      <c r="E130" s="17">
        <f t="shared" si="29"/>
        <v>0</v>
      </c>
      <c r="F130" s="33">
        <v>0</v>
      </c>
      <c r="G130" s="10">
        <f t="shared" si="30"/>
        <v>0</v>
      </c>
      <c r="H130" s="35">
        <v>155370</v>
      </c>
      <c r="I130" s="19">
        <f t="shared" si="32"/>
        <v>0</v>
      </c>
      <c r="J130" s="33">
        <v>0</v>
      </c>
      <c r="K130" s="28">
        <f t="shared" si="27"/>
        <v>0</v>
      </c>
      <c r="L130" s="18">
        <f t="shared" si="28"/>
        <v>0</v>
      </c>
      <c r="M130" s="22">
        <f t="shared" si="28"/>
        <v>0</v>
      </c>
      <c r="N130" s="71">
        <f t="shared" si="31"/>
        <v>0</v>
      </c>
      <c r="O130" s="137"/>
    </row>
    <row r="131" spans="1:17" ht="23.4" customHeight="1">
      <c r="A131" s="76">
        <v>11</v>
      </c>
      <c r="B131" s="138" t="s">
        <v>122</v>
      </c>
      <c r="C131" s="35">
        <v>36866</v>
      </c>
      <c r="D131" s="35">
        <v>36866</v>
      </c>
      <c r="E131" s="17">
        <f t="shared" si="29"/>
        <v>0</v>
      </c>
      <c r="F131" s="33">
        <v>0</v>
      </c>
      <c r="G131" s="10">
        <f t="shared" si="30"/>
        <v>0</v>
      </c>
      <c r="H131" s="35">
        <v>36866</v>
      </c>
      <c r="I131" s="19">
        <f t="shared" si="32"/>
        <v>0</v>
      </c>
      <c r="J131" s="33">
        <v>0</v>
      </c>
      <c r="K131" s="28">
        <f t="shared" si="27"/>
        <v>0</v>
      </c>
      <c r="L131" s="18">
        <f t="shared" si="28"/>
        <v>0</v>
      </c>
      <c r="M131" s="22">
        <f t="shared" si="28"/>
        <v>0</v>
      </c>
      <c r="N131" s="71">
        <f t="shared" si="31"/>
        <v>0</v>
      </c>
      <c r="O131" s="37"/>
      <c r="Q131" s="38"/>
    </row>
    <row r="132" spans="1:17" ht="22.2" customHeight="1">
      <c r="A132" s="76">
        <v>12</v>
      </c>
      <c r="B132" s="138" t="s">
        <v>123</v>
      </c>
      <c r="C132" s="35">
        <v>16149</v>
      </c>
      <c r="D132" s="35">
        <v>16149</v>
      </c>
      <c r="E132" s="17">
        <f t="shared" si="29"/>
        <v>0</v>
      </c>
      <c r="F132" s="33">
        <v>0</v>
      </c>
      <c r="G132" s="78">
        <f t="shared" si="30"/>
        <v>0</v>
      </c>
      <c r="H132" s="35">
        <v>16149</v>
      </c>
      <c r="I132" s="19">
        <f t="shared" si="32"/>
        <v>0</v>
      </c>
      <c r="J132" s="33">
        <v>0</v>
      </c>
      <c r="K132" s="28">
        <f t="shared" si="27"/>
        <v>0</v>
      </c>
      <c r="L132" s="18">
        <f t="shared" si="28"/>
        <v>0</v>
      </c>
      <c r="M132" s="79">
        <f t="shared" si="28"/>
        <v>0</v>
      </c>
      <c r="N132" s="71">
        <f t="shared" si="31"/>
        <v>0</v>
      </c>
      <c r="O132" s="37"/>
      <c r="Q132" s="45"/>
    </row>
    <row r="133" spans="1:17" ht="21.6" customHeight="1">
      <c r="A133" s="76">
        <v>13</v>
      </c>
      <c r="B133" s="171" t="s">
        <v>124</v>
      </c>
      <c r="C133" s="35">
        <v>890.2</v>
      </c>
      <c r="D133" s="35">
        <v>890.2</v>
      </c>
      <c r="E133" s="17">
        <f t="shared" si="29"/>
        <v>0</v>
      </c>
      <c r="F133" s="35">
        <v>0</v>
      </c>
      <c r="G133" s="78">
        <f t="shared" si="30"/>
        <v>0</v>
      </c>
      <c r="H133" s="35">
        <v>890.2</v>
      </c>
      <c r="I133" s="19">
        <f t="shared" si="32"/>
        <v>0</v>
      </c>
      <c r="J133" s="35">
        <v>0</v>
      </c>
      <c r="K133" s="28">
        <f t="shared" si="27"/>
        <v>0</v>
      </c>
      <c r="L133" s="18">
        <f t="shared" si="28"/>
        <v>0</v>
      </c>
      <c r="M133" s="79">
        <f t="shared" si="28"/>
        <v>0</v>
      </c>
      <c r="N133" s="71">
        <f t="shared" si="31"/>
        <v>0</v>
      </c>
      <c r="O133" s="37"/>
      <c r="Q133" s="45"/>
    </row>
    <row r="134" spans="1:17" ht="21.6" customHeight="1">
      <c r="A134" s="76">
        <v>14</v>
      </c>
      <c r="B134" s="171" t="s">
        <v>174</v>
      </c>
      <c r="C134" s="35">
        <v>2791</v>
      </c>
      <c r="D134" s="35">
        <v>2791</v>
      </c>
      <c r="E134" s="17">
        <f t="shared" si="29"/>
        <v>0</v>
      </c>
      <c r="F134" s="35">
        <v>0</v>
      </c>
      <c r="G134" s="78">
        <f t="shared" si="30"/>
        <v>0</v>
      </c>
      <c r="H134" s="35">
        <v>2791</v>
      </c>
      <c r="I134" s="19">
        <f t="shared" si="32"/>
        <v>0</v>
      </c>
      <c r="J134" s="141">
        <v>0</v>
      </c>
      <c r="K134" s="28">
        <f t="shared" si="27"/>
        <v>0</v>
      </c>
      <c r="L134" s="18">
        <f t="shared" si="28"/>
        <v>0</v>
      </c>
      <c r="M134" s="79">
        <f t="shared" si="28"/>
        <v>0</v>
      </c>
      <c r="N134" s="71">
        <f t="shared" si="31"/>
        <v>0</v>
      </c>
      <c r="O134" s="37"/>
      <c r="Q134" s="45"/>
    </row>
    <row r="135" spans="1:17" ht="25.2" customHeight="1">
      <c r="A135" s="76">
        <v>15</v>
      </c>
      <c r="B135" s="138" t="s">
        <v>127</v>
      </c>
      <c r="C135" s="35">
        <v>0</v>
      </c>
      <c r="D135" s="35">
        <v>0</v>
      </c>
      <c r="E135" s="17">
        <f t="shared" si="29"/>
        <v>0</v>
      </c>
      <c r="F135" s="33">
        <v>0</v>
      </c>
      <c r="G135" s="78">
        <f t="shared" si="30"/>
        <v>0</v>
      </c>
      <c r="H135" s="35">
        <v>0</v>
      </c>
      <c r="I135" s="19">
        <f t="shared" si="32"/>
        <v>0</v>
      </c>
      <c r="J135" s="33">
        <v>0</v>
      </c>
      <c r="K135" s="28">
        <f t="shared" si="27"/>
        <v>0</v>
      </c>
      <c r="L135" s="18">
        <f t="shared" si="28"/>
        <v>0</v>
      </c>
      <c r="M135" s="79">
        <f t="shared" si="28"/>
        <v>0</v>
      </c>
      <c r="N135" s="71">
        <f t="shared" si="31"/>
        <v>0</v>
      </c>
      <c r="O135" s="77"/>
      <c r="Q135" s="45"/>
    </row>
    <row r="136" spans="1:17" ht="25.2" customHeight="1">
      <c r="A136" s="76">
        <v>16</v>
      </c>
      <c r="B136" s="138" t="s">
        <v>183</v>
      </c>
      <c r="C136" s="35">
        <v>295805</v>
      </c>
      <c r="D136" s="35">
        <v>295805</v>
      </c>
      <c r="E136" s="17">
        <f t="shared" si="29"/>
        <v>0</v>
      </c>
      <c r="F136" s="33">
        <v>0</v>
      </c>
      <c r="G136" s="78">
        <f t="shared" si="30"/>
        <v>0</v>
      </c>
      <c r="H136" s="35">
        <v>295805</v>
      </c>
      <c r="I136" s="19">
        <f t="shared" si="32"/>
        <v>0</v>
      </c>
      <c r="J136" s="33">
        <v>0</v>
      </c>
      <c r="K136" s="28">
        <f t="shared" si="27"/>
        <v>0</v>
      </c>
      <c r="L136" s="18">
        <f t="shared" si="28"/>
        <v>0</v>
      </c>
      <c r="M136" s="79">
        <f t="shared" si="28"/>
        <v>0</v>
      </c>
      <c r="N136" s="71">
        <f t="shared" si="31"/>
        <v>0</v>
      </c>
      <c r="O136" s="77"/>
      <c r="Q136" s="45"/>
    </row>
    <row r="137" spans="1:17" ht="25.2" customHeight="1">
      <c r="A137" s="76">
        <v>17</v>
      </c>
      <c r="B137" s="138" t="s">
        <v>184</v>
      </c>
      <c r="C137" s="35">
        <v>77139.3</v>
      </c>
      <c r="D137" s="35">
        <v>77139.3</v>
      </c>
      <c r="E137" s="17">
        <f t="shared" si="29"/>
        <v>0</v>
      </c>
      <c r="F137" s="33">
        <v>0</v>
      </c>
      <c r="G137" s="78">
        <f t="shared" si="30"/>
        <v>0</v>
      </c>
      <c r="H137" s="35">
        <v>77139.3</v>
      </c>
      <c r="I137" s="19">
        <f t="shared" si="32"/>
        <v>0</v>
      </c>
      <c r="J137" s="33">
        <v>0</v>
      </c>
      <c r="K137" s="28">
        <f t="shared" si="27"/>
        <v>0</v>
      </c>
      <c r="L137" s="18">
        <f t="shared" si="28"/>
        <v>0</v>
      </c>
      <c r="M137" s="79">
        <f t="shared" si="28"/>
        <v>0</v>
      </c>
      <c r="N137" s="71">
        <f t="shared" si="31"/>
        <v>0</v>
      </c>
      <c r="O137" s="77"/>
      <c r="Q137" s="45"/>
    </row>
    <row r="138" spans="1:17" ht="25.2" customHeight="1">
      <c r="A138" s="76">
        <v>18</v>
      </c>
      <c r="B138" s="138" t="s">
        <v>185</v>
      </c>
      <c r="C138" s="35">
        <v>113495.8</v>
      </c>
      <c r="D138" s="35">
        <v>113495.8</v>
      </c>
      <c r="E138" s="17">
        <f t="shared" si="29"/>
        <v>0</v>
      </c>
      <c r="F138" s="33">
        <v>0</v>
      </c>
      <c r="G138" s="78">
        <f t="shared" si="30"/>
        <v>0</v>
      </c>
      <c r="H138" s="35">
        <v>113495.8</v>
      </c>
      <c r="I138" s="19">
        <f t="shared" si="32"/>
        <v>0</v>
      </c>
      <c r="J138" s="33">
        <v>0</v>
      </c>
      <c r="K138" s="28">
        <f t="shared" si="27"/>
        <v>0</v>
      </c>
      <c r="L138" s="18">
        <f t="shared" si="28"/>
        <v>0</v>
      </c>
      <c r="M138" s="79">
        <f t="shared" si="28"/>
        <v>0</v>
      </c>
      <c r="N138" s="71">
        <f t="shared" si="31"/>
        <v>0</v>
      </c>
      <c r="O138" s="77"/>
      <c r="Q138" s="45"/>
    </row>
    <row r="139" spans="1:17" ht="18">
      <c r="A139" s="196" t="s">
        <v>28</v>
      </c>
      <c r="B139" s="197"/>
      <c r="C139" s="123"/>
      <c r="D139" s="123"/>
      <c r="E139" s="40">
        <f>SUM(E121:E138)</f>
        <v>176</v>
      </c>
      <c r="F139" s="40">
        <f>SUM(F121:F138)</f>
        <v>190</v>
      </c>
      <c r="G139" s="39"/>
      <c r="H139" s="39"/>
      <c r="I139" s="40">
        <f>SUM(I121:I138)</f>
        <v>305.19999999998254</v>
      </c>
      <c r="J139" s="40">
        <f>SUM(J121:J138)</f>
        <v>347.55</v>
      </c>
      <c r="K139" s="145"/>
      <c r="L139" s="146">
        <f>SUM(L121:L138)</f>
        <v>481.19999999998254</v>
      </c>
      <c r="M139" s="147">
        <f>SUM(M121:M138)</f>
        <v>537.54999999999995</v>
      </c>
      <c r="N139" s="34"/>
      <c r="O139" s="37"/>
      <c r="P139" s="72"/>
    </row>
    <row r="140" spans="1:17" ht="21.6" thickBot="1">
      <c r="A140" s="148"/>
      <c r="B140" s="149"/>
      <c r="C140" s="149"/>
      <c r="D140" s="149"/>
      <c r="E140" s="149" t="s">
        <v>139</v>
      </c>
      <c r="F140" s="150">
        <f>F19+F25+F34+F40+F47+G117+F139</f>
        <v>16645.239999999998</v>
      </c>
      <c r="G140" s="149"/>
      <c r="H140" s="149"/>
      <c r="I140" s="151" t="s">
        <v>140</v>
      </c>
      <c r="J140" s="150">
        <f>J19+J25+J34+J40+J47+M117+J139</f>
        <v>14704.94</v>
      </c>
      <c r="K140" s="198" t="s">
        <v>141</v>
      </c>
      <c r="L140" s="198"/>
      <c r="M140" s="198"/>
      <c r="N140" s="198"/>
      <c r="O140" s="152"/>
    </row>
    <row r="141" spans="1:17" ht="15">
      <c r="B141" s="153"/>
      <c r="C141" s="152"/>
      <c r="D141" s="152"/>
      <c r="E141" s="152"/>
      <c r="F141" s="152"/>
      <c r="G141" s="152"/>
      <c r="H141" s="152"/>
      <c r="I141" s="152"/>
      <c r="J141" s="154"/>
      <c r="K141" s="155" t="s">
        <v>142</v>
      </c>
      <c r="L141" s="199">
        <f>N2</f>
        <v>46217</v>
      </c>
      <c r="M141" s="200"/>
      <c r="N141" s="156"/>
      <c r="O141" s="157">
        <f>M139-N147</f>
        <v>192.54999999999995</v>
      </c>
    </row>
    <row r="142" spans="1:17" ht="18">
      <c r="B142" s="158" t="s">
        <v>143</v>
      </c>
      <c r="C142" s="159">
        <f>F140</f>
        <v>16645.239999999998</v>
      </c>
      <c r="D142" s="160"/>
      <c r="E142" s="160"/>
      <c r="F142" s="159"/>
      <c r="G142" s="160"/>
      <c r="H142" s="160"/>
      <c r="I142" s="160"/>
      <c r="J142" s="45"/>
      <c r="K142" s="188" t="s">
        <v>144</v>
      </c>
      <c r="L142" s="189"/>
      <c r="M142" s="190"/>
      <c r="N142" s="161">
        <f>P117</f>
        <v>20267.18</v>
      </c>
      <c r="O142" s="152"/>
    </row>
    <row r="143" spans="1:17" ht="18">
      <c r="B143" s="158" t="s">
        <v>145</v>
      </c>
      <c r="C143" s="159">
        <f>J140</f>
        <v>14704.94</v>
      </c>
      <c r="D143" s="160"/>
      <c r="E143" s="160"/>
      <c r="F143" s="159"/>
      <c r="G143" s="159"/>
      <c r="H143" s="160"/>
      <c r="I143" s="160"/>
      <c r="J143" s="45"/>
      <c r="K143" s="188" t="s">
        <v>146</v>
      </c>
      <c r="L143" s="189"/>
      <c r="M143" s="190"/>
      <c r="N143" s="161">
        <f>M19</f>
        <v>7089.92</v>
      </c>
      <c r="O143" s="152"/>
    </row>
    <row r="144" spans="1:17" ht="18">
      <c r="B144" s="158" t="s">
        <v>28</v>
      </c>
      <c r="C144" s="159">
        <f>C142+C143</f>
        <v>31350.18</v>
      </c>
      <c r="D144" s="160"/>
      <c r="E144" s="160"/>
      <c r="F144" s="160"/>
      <c r="G144" s="159"/>
      <c r="H144" s="160"/>
      <c r="I144" s="160"/>
      <c r="K144" s="188" t="s">
        <v>147</v>
      </c>
      <c r="L144" s="189"/>
      <c r="M144" s="190"/>
      <c r="N144" s="161">
        <f>M34</f>
        <v>1853.81</v>
      </c>
    </row>
    <row r="145" spans="1:16" ht="18">
      <c r="C145" s="45"/>
      <c r="D145" s="45"/>
      <c r="E145" s="45"/>
      <c r="F145" s="45"/>
      <c r="G145" s="45"/>
      <c r="H145" s="160" t="s">
        <v>94</v>
      </c>
      <c r="I145" s="45"/>
      <c r="K145" s="188" t="s">
        <v>148</v>
      </c>
      <c r="L145" s="189"/>
      <c r="M145" s="190"/>
      <c r="N145" s="161">
        <f>M40</f>
        <v>487.06</v>
      </c>
    </row>
    <row r="146" spans="1:16" ht="25.2" customHeight="1">
      <c r="B146" s="162" t="s">
        <v>149</v>
      </c>
      <c r="C146" s="193"/>
      <c r="D146" s="193"/>
      <c r="E146" s="193"/>
      <c r="F146" s="193"/>
      <c r="G146" s="193"/>
      <c r="H146" s="193"/>
      <c r="I146" s="193"/>
      <c r="J146" s="193"/>
      <c r="K146" s="188" t="s">
        <v>150</v>
      </c>
      <c r="L146" s="189"/>
      <c r="M146" s="190"/>
      <c r="N146" s="161">
        <f>M47</f>
        <v>743.71</v>
      </c>
    </row>
    <row r="147" spans="1:16" ht="18">
      <c r="C147" s="45"/>
      <c r="D147" s="45"/>
      <c r="E147" s="26"/>
      <c r="F147" s="26"/>
      <c r="G147" s="45"/>
      <c r="H147" s="160"/>
      <c r="I147" s="45"/>
      <c r="K147" s="188" t="s">
        <v>151</v>
      </c>
      <c r="L147" s="189"/>
      <c r="M147" s="190"/>
      <c r="N147" s="161">
        <f>M125+M126+M127+M128</f>
        <v>345</v>
      </c>
    </row>
    <row r="148" spans="1:16" ht="18">
      <c r="E148" s="38"/>
      <c r="F148" s="45"/>
      <c r="G148" s="45"/>
      <c r="H148" s="160"/>
      <c r="I148" s="45"/>
      <c r="K148" s="188" t="s">
        <v>152</v>
      </c>
      <c r="L148" s="189"/>
      <c r="M148" s="190"/>
      <c r="N148" s="161">
        <f>O141</f>
        <v>192.54999999999995</v>
      </c>
    </row>
    <row r="149" spans="1:16" ht="18.600000000000001" thickBot="1">
      <c r="C149" s="38"/>
      <c r="D149" s="38"/>
      <c r="G149" s="163"/>
      <c r="H149" s="160"/>
      <c r="K149" s="188" t="s">
        <v>153</v>
      </c>
      <c r="L149" s="189"/>
      <c r="M149" s="190"/>
      <c r="N149" s="164">
        <f>M25</f>
        <v>370.95</v>
      </c>
      <c r="P149" s="38"/>
    </row>
    <row r="150" spans="1:16" ht="16.8" thickBot="1">
      <c r="C150" s="38"/>
      <c r="D150" s="38"/>
      <c r="E150" s="38"/>
      <c r="F150" s="38"/>
      <c r="H150" s="38"/>
      <c r="K150" s="191" t="s">
        <v>154</v>
      </c>
      <c r="L150" s="192"/>
      <c r="M150" s="192"/>
      <c r="N150" s="165">
        <f>SUM(N142:N149)</f>
        <v>31350.18</v>
      </c>
    </row>
    <row r="151" spans="1:16">
      <c r="C151" s="38"/>
      <c r="D151" s="38"/>
      <c r="E151" s="159"/>
      <c r="F151" s="159"/>
      <c r="H151" s="38"/>
      <c r="I151" s="38"/>
    </row>
    <row r="152" spans="1:16">
      <c r="C152" s="38"/>
      <c r="D152" s="38"/>
      <c r="E152" s="38"/>
      <c r="F152" s="38"/>
      <c r="H152" s="160"/>
    </row>
    <row r="153" spans="1:16">
      <c r="A153" s="159"/>
      <c r="B153" s="159"/>
      <c r="C153" s="159"/>
      <c r="D153" s="159"/>
      <c r="E153" s="159"/>
      <c r="F153" s="159"/>
      <c r="G153" s="38"/>
      <c r="H153" s="38"/>
      <c r="N153" s="45"/>
    </row>
    <row r="154" spans="1:16">
      <c r="A154" s="159"/>
    </row>
  </sheetData>
  <mergeCells count="72">
    <mergeCell ref="A1:N1"/>
    <mergeCell ref="A2:L2"/>
    <mergeCell ref="A3:A4"/>
    <mergeCell ref="B3:B4"/>
    <mergeCell ref="C3:G3"/>
    <mergeCell ref="H3:L3"/>
    <mergeCell ref="M3:M4"/>
    <mergeCell ref="N3:N4"/>
    <mergeCell ref="O3:O4"/>
    <mergeCell ref="P3:P4"/>
    <mergeCell ref="A19:B19"/>
    <mergeCell ref="A20:L20"/>
    <mergeCell ref="A21:A22"/>
    <mergeCell ref="B21:B22"/>
    <mergeCell ref="C21:G21"/>
    <mergeCell ref="H21:K21"/>
    <mergeCell ref="M21:M22"/>
    <mergeCell ref="N21:N22"/>
    <mergeCell ref="A25:B25"/>
    <mergeCell ref="A26:L26"/>
    <mergeCell ref="A27:A28"/>
    <mergeCell ref="B27:B28"/>
    <mergeCell ref="C27:G27"/>
    <mergeCell ref="H27:K27"/>
    <mergeCell ref="M27:M28"/>
    <mergeCell ref="N27:N28"/>
    <mergeCell ref="A34:B34"/>
    <mergeCell ref="A35:L35"/>
    <mergeCell ref="A36:A37"/>
    <mergeCell ref="B36:B37"/>
    <mergeCell ref="C36:G36"/>
    <mergeCell ref="H36:K36"/>
    <mergeCell ref="M36:M37"/>
    <mergeCell ref="N36:N37"/>
    <mergeCell ref="A40:B40"/>
    <mergeCell ref="A41:L41"/>
    <mergeCell ref="A42:A43"/>
    <mergeCell ref="B42:B43"/>
    <mergeCell ref="C42:G42"/>
    <mergeCell ref="H42:K42"/>
    <mergeCell ref="M42:M43"/>
    <mergeCell ref="N42:N43"/>
    <mergeCell ref="A47:B47"/>
    <mergeCell ref="A48:L48"/>
    <mergeCell ref="A49:A50"/>
    <mergeCell ref="B49:B50"/>
    <mergeCell ref="C49:H49"/>
    <mergeCell ref="I49:N49"/>
    <mergeCell ref="K143:M143"/>
    <mergeCell ref="O49:O50"/>
    <mergeCell ref="P49:P50"/>
    <mergeCell ref="Q49:Q50"/>
    <mergeCell ref="R49:R50"/>
    <mergeCell ref="A118:L118"/>
    <mergeCell ref="A119:A120"/>
    <mergeCell ref="B119:B120"/>
    <mergeCell ref="C119:G119"/>
    <mergeCell ref="H119:K119"/>
    <mergeCell ref="M119:M120"/>
    <mergeCell ref="N119:N120"/>
    <mergeCell ref="A139:B139"/>
    <mergeCell ref="K140:N140"/>
    <mergeCell ref="L141:M141"/>
    <mergeCell ref="K142:M142"/>
    <mergeCell ref="K149:M149"/>
    <mergeCell ref="K150:M150"/>
    <mergeCell ref="K144:M144"/>
    <mergeCell ref="K145:M145"/>
    <mergeCell ref="C146:J146"/>
    <mergeCell ref="K146:M146"/>
    <mergeCell ref="K147:M147"/>
    <mergeCell ref="K148:M148"/>
  </mergeCells>
  <conditionalFormatting sqref="N7:N20 N23:N24 N29:N33 N38:N39 N44:N46">
    <cfRule type="cellIs" dxfId="25" priority="2" operator="greaterThan">
      <formula>40</formula>
    </cfRule>
  </conditionalFormatting>
  <conditionalFormatting sqref="Q51:Q117">
    <cfRule type="cellIs" dxfId="24" priority="1" operator="lessThan">
      <formula>0.5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93843-E28D-4CE6-B65F-27581AE092CD}">
  <dimension ref="A1:AA154"/>
  <sheetViews>
    <sheetView zoomScale="74" zoomScaleNormal="74" workbookViewId="0">
      <pane ySplit="1" topLeftCell="A60" activePane="bottomLeft" state="frozen"/>
      <selection pane="bottomLeft" activeCell="Q17" sqref="Q17"/>
    </sheetView>
  </sheetViews>
  <sheetFormatPr defaultColWidth="9" defaultRowHeight="14.4"/>
  <cols>
    <col min="1" max="1" width="8.5546875" customWidth="1"/>
    <col min="2" max="2" width="29.44140625" bestFit="1" customWidth="1"/>
    <col min="3" max="3" width="11.6640625" customWidth="1"/>
    <col min="4" max="4" width="11.21875" customWidth="1"/>
    <col min="5" max="5" width="9.77734375" customWidth="1"/>
    <col min="6" max="6" width="13.6640625" customWidth="1"/>
    <col min="7" max="7" width="10" customWidth="1"/>
    <col min="8" max="8" width="9.77734375" customWidth="1"/>
    <col min="9" max="9" width="12.77734375" bestFit="1" customWidth="1"/>
    <col min="10" max="10" width="10.6640625" bestFit="1" customWidth="1"/>
    <col min="11" max="11" width="15.77734375" customWidth="1"/>
    <col min="12" max="12" width="10.77734375" customWidth="1"/>
    <col min="13" max="13" width="12.5546875" customWidth="1"/>
    <col min="14" max="14" width="17.88671875" customWidth="1"/>
    <col min="15" max="15" width="13.44140625" customWidth="1"/>
    <col min="16" max="16" width="17" customWidth="1"/>
    <col min="17" max="17" width="11.109375" bestFit="1" customWidth="1"/>
    <col min="19" max="19" width="9.21875" bestFit="1" customWidth="1"/>
    <col min="20" max="20" width="8.21875" bestFit="1" customWidth="1"/>
    <col min="21" max="22" width="11.21875" customWidth="1"/>
  </cols>
  <sheetData>
    <row r="1" spans="1:22" ht="18.600000000000001" thickBot="1">
      <c r="A1" s="249" t="s">
        <v>0</v>
      </c>
      <c r="B1" s="249"/>
      <c r="C1" s="249"/>
      <c r="D1" s="249"/>
      <c r="E1" s="249"/>
      <c r="F1" s="249"/>
      <c r="G1" s="249"/>
      <c r="H1" s="249"/>
      <c r="I1" s="249"/>
      <c r="J1" s="249"/>
      <c r="K1" s="249"/>
      <c r="L1" s="249"/>
      <c r="M1" s="249"/>
      <c r="N1" s="249"/>
      <c r="O1" s="1"/>
      <c r="V1" s="2"/>
    </row>
    <row r="2" spans="1:22" ht="19.8" customHeight="1" thickBot="1">
      <c r="A2" s="250" t="s">
        <v>1</v>
      </c>
      <c r="B2" s="251"/>
      <c r="C2" s="252"/>
      <c r="D2" s="252"/>
      <c r="E2" s="252"/>
      <c r="F2" s="252"/>
      <c r="G2" s="252"/>
      <c r="H2" s="252"/>
      <c r="I2" s="252"/>
      <c r="J2" s="252"/>
      <c r="K2" s="252"/>
      <c r="L2" s="251"/>
      <c r="M2" s="3" t="s">
        <v>2</v>
      </c>
      <c r="N2" s="4">
        <v>46218</v>
      </c>
      <c r="O2" s="1"/>
    </row>
    <row r="3" spans="1:22" ht="18" customHeight="1">
      <c r="A3" s="209" t="s">
        <v>3</v>
      </c>
      <c r="B3" s="211" t="s">
        <v>4</v>
      </c>
      <c r="C3" s="213" t="s">
        <v>5</v>
      </c>
      <c r="D3" s="214"/>
      <c r="E3" s="214"/>
      <c r="F3" s="214"/>
      <c r="G3" s="215"/>
      <c r="H3" s="253" t="s">
        <v>6</v>
      </c>
      <c r="I3" s="254"/>
      <c r="J3" s="254"/>
      <c r="K3" s="254"/>
      <c r="L3" s="255"/>
      <c r="M3" s="219" t="s">
        <v>7</v>
      </c>
      <c r="N3" s="194" t="s">
        <v>8</v>
      </c>
      <c r="O3" s="243" t="s">
        <v>9</v>
      </c>
      <c r="P3" s="222" t="s">
        <v>10</v>
      </c>
    </row>
    <row r="4" spans="1:22" ht="22.8" customHeight="1">
      <c r="A4" s="247"/>
      <c r="B4" s="248"/>
      <c r="C4" s="6" t="s">
        <v>11</v>
      </c>
      <c r="D4" s="6" t="s">
        <v>12</v>
      </c>
      <c r="E4" s="6" t="s">
        <v>13</v>
      </c>
      <c r="F4" s="6" t="s">
        <v>14</v>
      </c>
      <c r="G4" s="6" t="s">
        <v>8</v>
      </c>
      <c r="H4" s="6" t="s">
        <v>12</v>
      </c>
      <c r="I4" s="6" t="s">
        <v>13</v>
      </c>
      <c r="J4" s="6" t="s">
        <v>14</v>
      </c>
      <c r="K4" s="7" t="s">
        <v>8</v>
      </c>
      <c r="L4" s="8" t="s">
        <v>15</v>
      </c>
      <c r="M4" s="236"/>
      <c r="N4" s="237"/>
      <c r="O4" s="248"/>
      <c r="P4" s="243"/>
    </row>
    <row r="5" spans="1:22" ht="22.8" customHeight="1">
      <c r="A5" s="5">
        <v>1</v>
      </c>
      <c r="B5" s="9" t="s">
        <v>175</v>
      </c>
      <c r="C5" s="2">
        <v>32029.4</v>
      </c>
      <c r="D5" s="2">
        <v>32042.6</v>
      </c>
      <c r="E5" s="2">
        <f>D5-C5</f>
        <v>13.19999999999709</v>
      </c>
      <c r="F5" s="2">
        <v>492.93</v>
      </c>
      <c r="G5" s="10">
        <f>IFERROR(F5/E5,0)</f>
        <v>37.343181818190054</v>
      </c>
      <c r="H5" s="2">
        <v>32052.1</v>
      </c>
      <c r="I5" s="167">
        <f>H5-D5</f>
        <v>9.5</v>
      </c>
      <c r="J5" s="2">
        <v>336.56</v>
      </c>
      <c r="K5" s="11">
        <f>IFERROR(J5/I5,0)</f>
        <v>35.427368421052634</v>
      </c>
      <c r="L5" s="12">
        <f t="shared" ref="L5:M7" si="0">E5+I5</f>
        <v>22.69999999999709</v>
      </c>
      <c r="M5" s="13">
        <f t="shared" si="0"/>
        <v>829.49</v>
      </c>
      <c r="N5" s="14">
        <f>IFERROR(M5/L5,0)</f>
        <v>36.541409691634641</v>
      </c>
      <c r="O5" s="2">
        <v>233</v>
      </c>
      <c r="P5" s="5"/>
    </row>
    <row r="6" spans="1:22" ht="22.8" customHeight="1">
      <c r="A6" s="81">
        <v>2</v>
      </c>
      <c r="B6" s="16" t="s">
        <v>170</v>
      </c>
      <c r="C6" s="49">
        <v>33864</v>
      </c>
      <c r="D6" s="49">
        <v>33875.5</v>
      </c>
      <c r="E6" s="2">
        <f>D6-C6</f>
        <v>11.5</v>
      </c>
      <c r="F6" s="49">
        <v>390</v>
      </c>
      <c r="G6" s="10">
        <f>IFERROR(F6/E6,0)</f>
        <v>33.913043478260867</v>
      </c>
      <c r="H6" s="49">
        <v>33885.9</v>
      </c>
      <c r="I6" s="167">
        <f>H6-D6</f>
        <v>10.400000000001455</v>
      </c>
      <c r="J6" s="49">
        <v>365.43</v>
      </c>
      <c r="K6" s="11">
        <f>IFERROR(J6/I6,0)</f>
        <v>35.137499999995086</v>
      </c>
      <c r="L6" s="12">
        <f t="shared" si="0"/>
        <v>21.900000000001455</v>
      </c>
      <c r="M6" s="13">
        <f t="shared" si="0"/>
        <v>755.43000000000006</v>
      </c>
      <c r="N6" s="14">
        <f>IFERROR(M6/L6,0)</f>
        <v>34.494520547942919</v>
      </c>
      <c r="O6" s="49">
        <v>284</v>
      </c>
      <c r="P6" s="81"/>
    </row>
    <row r="7" spans="1:22" ht="24" customHeight="1">
      <c r="A7" s="5">
        <v>3</v>
      </c>
      <c r="B7" s="16" t="s">
        <v>17</v>
      </c>
      <c r="C7" s="17">
        <v>32493.3</v>
      </c>
      <c r="D7" s="17">
        <v>32493.3</v>
      </c>
      <c r="E7" s="17">
        <f t="shared" ref="E7:E18" si="1">D7-C7</f>
        <v>0</v>
      </c>
      <c r="F7" s="18">
        <v>0</v>
      </c>
      <c r="G7" s="10">
        <f>IFERROR(F7/E7,0)</f>
        <v>0</v>
      </c>
      <c r="H7" s="17">
        <v>32493.3</v>
      </c>
      <c r="I7" s="19">
        <f t="shared" ref="I7:I14" si="2">H7-D7</f>
        <v>0</v>
      </c>
      <c r="J7" s="20">
        <v>0</v>
      </c>
      <c r="K7" s="21">
        <f>IFERROR(J7/I7,0)</f>
        <v>0</v>
      </c>
      <c r="L7" s="18">
        <f t="shared" si="0"/>
        <v>0</v>
      </c>
      <c r="M7" s="22">
        <f t="shared" si="0"/>
        <v>0</v>
      </c>
      <c r="N7" s="23">
        <f>IFERROR(M7/L7,0)</f>
        <v>0</v>
      </c>
      <c r="O7" s="24">
        <v>0</v>
      </c>
      <c r="P7" s="25"/>
      <c r="Q7" s="26"/>
    </row>
    <row r="8" spans="1:22" ht="25.8" customHeight="1">
      <c r="A8" s="81">
        <v>4</v>
      </c>
      <c r="B8" s="16" t="s">
        <v>18</v>
      </c>
      <c r="C8" s="17">
        <v>24706.2</v>
      </c>
      <c r="D8" s="17">
        <v>24717.5</v>
      </c>
      <c r="E8" s="17">
        <f t="shared" si="1"/>
        <v>11.299999999999272</v>
      </c>
      <c r="F8" s="18">
        <v>305.27</v>
      </c>
      <c r="G8" s="10">
        <f t="shared" ref="G8:G13" si="3">IFERROR(F8/E8,0)</f>
        <v>27.015044247789348</v>
      </c>
      <c r="H8" s="17">
        <v>24725.5</v>
      </c>
      <c r="I8" s="19">
        <f t="shared" si="2"/>
        <v>8</v>
      </c>
      <c r="J8" s="20">
        <v>238.18</v>
      </c>
      <c r="K8" s="28">
        <f t="shared" ref="K8:K14" si="4">IFERROR(J8/I8,0)</f>
        <v>29.772500000000001</v>
      </c>
      <c r="L8" s="18">
        <f t="shared" ref="L8:M17" si="5">E8+I8</f>
        <v>19.299999999999272</v>
      </c>
      <c r="M8" s="22">
        <f t="shared" si="5"/>
        <v>543.45000000000005</v>
      </c>
      <c r="N8" s="23">
        <f t="shared" ref="N8:N18" si="6">IFERROR(M8/L8,0)</f>
        <v>28.158031088083966</v>
      </c>
      <c r="O8" s="29">
        <v>210</v>
      </c>
      <c r="P8" s="30"/>
      <c r="Q8" s="26"/>
      <c r="S8" s="26"/>
    </row>
    <row r="9" spans="1:22" ht="25.8" customHeight="1">
      <c r="A9" s="5">
        <v>5</v>
      </c>
      <c r="B9" s="31" t="s">
        <v>19</v>
      </c>
      <c r="C9" s="17">
        <v>32604.6</v>
      </c>
      <c r="D9" s="17">
        <v>32615.5</v>
      </c>
      <c r="E9" s="17">
        <f t="shared" si="1"/>
        <v>10.900000000001455</v>
      </c>
      <c r="F9" s="32">
        <v>327.92</v>
      </c>
      <c r="G9" s="10">
        <f t="shared" si="3"/>
        <v>30.084403669720757</v>
      </c>
      <c r="H9" s="17">
        <v>32624.6</v>
      </c>
      <c r="I9" s="19">
        <f t="shared" si="2"/>
        <v>9.0999999999985448</v>
      </c>
      <c r="J9" s="33">
        <v>321.57</v>
      </c>
      <c r="K9" s="28">
        <f t="shared" si="4"/>
        <v>35.337362637368287</v>
      </c>
      <c r="L9" s="18">
        <f t="shared" si="5"/>
        <v>20</v>
      </c>
      <c r="M9" s="22">
        <f t="shared" si="5"/>
        <v>649.49</v>
      </c>
      <c r="N9" s="23">
        <f t="shared" si="6"/>
        <v>32.474499999999999</v>
      </c>
      <c r="O9" s="29">
        <v>261</v>
      </c>
      <c r="P9" s="30"/>
      <c r="Q9" s="26"/>
      <c r="S9" s="26"/>
    </row>
    <row r="10" spans="1:22" ht="25.8" customHeight="1">
      <c r="A10" s="81">
        <v>6</v>
      </c>
      <c r="B10" s="16" t="s">
        <v>20</v>
      </c>
      <c r="C10" s="17">
        <v>33583.300000000003</v>
      </c>
      <c r="D10" s="17">
        <v>33595.300000000003</v>
      </c>
      <c r="E10" s="17">
        <f>D10-C10</f>
        <v>12</v>
      </c>
      <c r="F10" s="34">
        <v>425</v>
      </c>
      <c r="G10" s="10">
        <f>IFERROR(F10/E10,0)</f>
        <v>35.416666666666664</v>
      </c>
      <c r="H10" s="17">
        <v>33602.300000000003</v>
      </c>
      <c r="I10" s="19">
        <f>H10-D10</f>
        <v>7</v>
      </c>
      <c r="J10" s="33">
        <v>263.45999999999998</v>
      </c>
      <c r="K10" s="28">
        <f>IFERROR(J10/I10,0)</f>
        <v>37.637142857142855</v>
      </c>
      <c r="L10" s="18">
        <f>E10+I10</f>
        <v>19</v>
      </c>
      <c r="M10" s="22">
        <f>F10+J10</f>
        <v>688.46</v>
      </c>
      <c r="N10" s="23">
        <f>IFERROR(M10/L10,0)</f>
        <v>36.234736842105264</v>
      </c>
      <c r="O10" s="29">
        <v>241</v>
      </c>
      <c r="P10" s="30"/>
      <c r="Q10" s="26"/>
      <c r="S10" s="26"/>
    </row>
    <row r="11" spans="1:22" ht="22.8" customHeight="1">
      <c r="A11" s="5">
        <v>7</v>
      </c>
      <c r="B11" s="16" t="s">
        <v>21</v>
      </c>
      <c r="C11" s="17">
        <v>28089.599999999999</v>
      </c>
      <c r="D11" s="17">
        <v>28102.2</v>
      </c>
      <c r="E11" s="17">
        <f t="shared" si="1"/>
        <v>12.600000000002183</v>
      </c>
      <c r="F11" s="32">
        <v>362.44</v>
      </c>
      <c r="G11" s="10">
        <f t="shared" si="3"/>
        <v>28.765079365074381</v>
      </c>
      <c r="H11" s="17">
        <v>28111.8</v>
      </c>
      <c r="I11" s="19">
        <f t="shared" si="2"/>
        <v>9.5999999999985448</v>
      </c>
      <c r="J11" s="20">
        <v>259.91000000000003</v>
      </c>
      <c r="K11" s="28">
        <f t="shared" si="4"/>
        <v>27.073958333337441</v>
      </c>
      <c r="L11" s="18">
        <f t="shared" si="5"/>
        <v>22.200000000000728</v>
      </c>
      <c r="M11" s="22">
        <f t="shared" si="5"/>
        <v>622.35</v>
      </c>
      <c r="N11" s="23">
        <f t="shared" si="6"/>
        <v>28.033783783782866</v>
      </c>
      <c r="O11" s="29">
        <v>226</v>
      </c>
      <c r="P11" s="30"/>
      <c r="Q11" s="26"/>
      <c r="S11" s="26"/>
    </row>
    <row r="12" spans="1:22" ht="22.8" customHeight="1">
      <c r="A12" s="81">
        <v>8</v>
      </c>
      <c r="B12" s="31" t="s">
        <v>22</v>
      </c>
      <c r="C12" s="35">
        <v>27470.6</v>
      </c>
      <c r="D12" s="35">
        <v>27483</v>
      </c>
      <c r="E12" s="17">
        <f t="shared" si="1"/>
        <v>12.400000000001455</v>
      </c>
      <c r="F12" s="32">
        <v>367.66</v>
      </c>
      <c r="G12" s="10">
        <f t="shared" si="3"/>
        <v>29.649999999996524</v>
      </c>
      <c r="H12" s="35">
        <v>27491.599999999999</v>
      </c>
      <c r="I12" s="19">
        <f t="shared" si="2"/>
        <v>8.5999999999985448</v>
      </c>
      <c r="J12" s="33">
        <v>184.13</v>
      </c>
      <c r="K12" s="28">
        <f t="shared" si="4"/>
        <v>21.41046511628269</v>
      </c>
      <c r="L12" s="18">
        <f t="shared" si="5"/>
        <v>21</v>
      </c>
      <c r="M12" s="22">
        <f t="shared" si="5"/>
        <v>551.79</v>
      </c>
      <c r="N12" s="23">
        <f t="shared" si="6"/>
        <v>26.275714285714283</v>
      </c>
      <c r="O12" s="29">
        <v>214</v>
      </c>
      <c r="P12" s="30"/>
      <c r="Q12" s="26"/>
      <c r="S12" s="26"/>
    </row>
    <row r="13" spans="1:22" ht="24" customHeight="1">
      <c r="A13" s="5">
        <v>9</v>
      </c>
      <c r="B13" s="31" t="s">
        <v>23</v>
      </c>
      <c r="C13" s="17">
        <v>22609.21</v>
      </c>
      <c r="D13" s="17">
        <v>22621.86</v>
      </c>
      <c r="E13" s="17">
        <f t="shared" si="1"/>
        <v>12.650000000001455</v>
      </c>
      <c r="F13" s="34">
        <v>434.1</v>
      </c>
      <c r="G13" s="10">
        <f t="shared" si="3"/>
        <v>34.316205533592893</v>
      </c>
      <c r="H13" s="17">
        <v>22630.86</v>
      </c>
      <c r="I13" s="19">
        <f t="shared" si="2"/>
        <v>9</v>
      </c>
      <c r="J13" s="20">
        <v>338.29</v>
      </c>
      <c r="K13" s="28">
        <f t="shared" si="4"/>
        <v>37.587777777777781</v>
      </c>
      <c r="L13" s="18">
        <f t="shared" si="5"/>
        <v>21.650000000001455</v>
      </c>
      <c r="M13" s="22">
        <f t="shared" si="5"/>
        <v>772.3900000000001</v>
      </c>
      <c r="N13" s="23">
        <f t="shared" si="6"/>
        <v>35.676212471129247</v>
      </c>
      <c r="O13" s="29">
        <v>239</v>
      </c>
      <c r="P13" s="36"/>
      <c r="Q13" s="26"/>
      <c r="S13" s="26"/>
    </row>
    <row r="14" spans="1:22" ht="24" customHeight="1">
      <c r="A14" s="81">
        <v>10</v>
      </c>
      <c r="B14" s="31" t="s">
        <v>24</v>
      </c>
      <c r="C14" s="17">
        <v>22580.560000000001</v>
      </c>
      <c r="D14" s="17">
        <v>22593.7</v>
      </c>
      <c r="E14" s="17">
        <f t="shared" si="1"/>
        <v>13.139999999999418</v>
      </c>
      <c r="F14" s="32">
        <v>475</v>
      </c>
      <c r="G14" s="10">
        <f>IFERROR(F14/E14,0)</f>
        <v>36.149162861493231</v>
      </c>
      <c r="H14" s="17">
        <v>22604.07</v>
      </c>
      <c r="I14" s="19">
        <f t="shared" si="2"/>
        <v>10.369999999998981</v>
      </c>
      <c r="J14" s="20">
        <v>370.29</v>
      </c>
      <c r="K14" s="28">
        <f t="shared" si="4"/>
        <v>35.707810993253268</v>
      </c>
      <c r="L14" s="18">
        <f t="shared" si="5"/>
        <v>23.509999999998399</v>
      </c>
      <c r="M14" s="22">
        <f t="shared" si="5"/>
        <v>845.29</v>
      </c>
      <c r="N14" s="23">
        <f t="shared" si="6"/>
        <v>35.954487452150467</v>
      </c>
      <c r="O14" s="29">
        <v>230</v>
      </c>
      <c r="P14" s="37"/>
      <c r="Q14" s="26"/>
      <c r="S14" s="26"/>
    </row>
    <row r="15" spans="1:22" ht="24" customHeight="1">
      <c r="A15" s="5">
        <v>11</v>
      </c>
      <c r="B15" s="31" t="s">
        <v>25</v>
      </c>
      <c r="C15" s="17">
        <v>20069.259999999998</v>
      </c>
      <c r="D15" s="17">
        <v>20079.54</v>
      </c>
      <c r="E15" s="17">
        <f t="shared" si="1"/>
        <v>10.280000000002474</v>
      </c>
      <c r="F15" s="32">
        <v>539.49</v>
      </c>
      <c r="G15" s="10">
        <f>IFERROR(F15/E15,0)</f>
        <v>52.479571984423167</v>
      </c>
      <c r="H15" s="17">
        <v>20087.54</v>
      </c>
      <c r="I15" s="19">
        <f>H15-D15</f>
        <v>8</v>
      </c>
      <c r="J15" s="20">
        <v>347.94</v>
      </c>
      <c r="K15" s="28">
        <f>IFERROR(J15/I15,0)</f>
        <v>43.4925</v>
      </c>
      <c r="L15" s="18">
        <f>E15+I15</f>
        <v>18.280000000002474</v>
      </c>
      <c r="M15" s="22">
        <f t="shared" si="5"/>
        <v>887.43000000000006</v>
      </c>
      <c r="N15" s="23">
        <f t="shared" si="6"/>
        <v>48.546498905901529</v>
      </c>
      <c r="O15" s="29">
        <v>289</v>
      </c>
      <c r="P15" s="37"/>
      <c r="Q15" s="26"/>
      <c r="S15" s="26"/>
      <c r="T15" s="38"/>
    </row>
    <row r="16" spans="1:22" ht="24" customHeight="1">
      <c r="A16" s="81">
        <v>12</v>
      </c>
      <c r="B16" s="31" t="s">
        <v>181</v>
      </c>
      <c r="C16" s="17">
        <v>10186.030000000001</v>
      </c>
      <c r="D16" s="17">
        <v>10186.030000000001</v>
      </c>
      <c r="E16" s="17">
        <f t="shared" si="1"/>
        <v>0</v>
      </c>
      <c r="F16" s="32">
        <v>0</v>
      </c>
      <c r="G16" s="10">
        <f>IFERROR(F16/E16,0)</f>
        <v>0</v>
      </c>
      <c r="H16" s="17">
        <v>10186.030000000001</v>
      </c>
      <c r="I16" s="19">
        <f>H16-D16</f>
        <v>0</v>
      </c>
      <c r="J16" s="20">
        <v>0</v>
      </c>
      <c r="K16" s="28">
        <f>IFERROR(J16/I16,0)</f>
        <v>0</v>
      </c>
      <c r="L16" s="18">
        <f>E16+I16</f>
        <v>0</v>
      </c>
      <c r="M16" s="22">
        <f t="shared" si="5"/>
        <v>0</v>
      </c>
      <c r="N16" s="23">
        <f t="shared" si="6"/>
        <v>0</v>
      </c>
      <c r="O16" s="29">
        <v>0</v>
      </c>
      <c r="P16" s="37"/>
      <c r="Q16" s="26"/>
      <c r="S16" s="26"/>
      <c r="T16" s="38"/>
    </row>
    <row r="17" spans="1:20" ht="24" customHeight="1">
      <c r="A17" s="5">
        <v>13</v>
      </c>
      <c r="B17" s="31" t="s">
        <v>27</v>
      </c>
      <c r="C17" s="17">
        <v>18255.400000000001</v>
      </c>
      <c r="D17" s="17">
        <v>18255.400000000001</v>
      </c>
      <c r="E17" s="17">
        <f t="shared" si="1"/>
        <v>0</v>
      </c>
      <c r="F17" s="18">
        <v>0</v>
      </c>
      <c r="G17" s="10">
        <f>IFERROR(F17/E17,0)</f>
        <v>0</v>
      </c>
      <c r="H17" s="17">
        <v>18255.400000000001</v>
      </c>
      <c r="I17" s="19">
        <f t="shared" ref="I17" si="7">H17-D17</f>
        <v>0</v>
      </c>
      <c r="J17" s="20">
        <v>0</v>
      </c>
      <c r="K17" s="28">
        <f t="shared" ref="K17" si="8">IFERROR(J17/I17,0)</f>
        <v>0</v>
      </c>
      <c r="L17" s="18">
        <f t="shared" ref="L17" si="9">E17+I17</f>
        <v>0</v>
      </c>
      <c r="M17" s="22">
        <f t="shared" si="5"/>
        <v>0</v>
      </c>
      <c r="N17" s="23">
        <f t="shared" si="6"/>
        <v>0</v>
      </c>
      <c r="O17" s="29">
        <v>0</v>
      </c>
      <c r="P17" s="172"/>
      <c r="Q17" s="26"/>
      <c r="S17" s="26"/>
      <c r="T17" s="38"/>
    </row>
    <row r="18" spans="1:20" ht="24" customHeight="1">
      <c r="A18" s="81">
        <v>14</v>
      </c>
      <c r="B18" s="31" t="s">
        <v>26</v>
      </c>
      <c r="C18" s="17">
        <v>15231.7</v>
      </c>
      <c r="D18" s="17">
        <v>15231.7</v>
      </c>
      <c r="E18" s="17">
        <f t="shared" si="1"/>
        <v>0</v>
      </c>
      <c r="F18" s="32">
        <v>0</v>
      </c>
      <c r="G18" s="10">
        <f>IFERROR(F18/E18,0)</f>
        <v>0</v>
      </c>
      <c r="H18" s="17">
        <v>15231.7</v>
      </c>
      <c r="I18" s="19">
        <f>H18-D18</f>
        <v>0</v>
      </c>
      <c r="J18" s="20">
        <v>0</v>
      </c>
      <c r="K18" s="28">
        <f>IFERROR(J18/I18,0)</f>
        <v>0</v>
      </c>
      <c r="L18" s="18">
        <f>E18+I18</f>
        <v>0</v>
      </c>
      <c r="M18" s="22">
        <f>F18+J18</f>
        <v>0</v>
      </c>
      <c r="N18" s="23">
        <f t="shared" si="6"/>
        <v>0</v>
      </c>
      <c r="O18" s="29">
        <v>0</v>
      </c>
      <c r="P18" s="37"/>
      <c r="Q18" s="26"/>
      <c r="S18" s="26"/>
      <c r="T18" s="38"/>
    </row>
    <row r="19" spans="1:20" ht="24" customHeight="1">
      <c r="A19" s="196" t="s">
        <v>28</v>
      </c>
      <c r="B19" s="197"/>
      <c r="C19" s="39"/>
      <c r="D19" s="39"/>
      <c r="E19" s="40">
        <f>SUM(E7:E18)</f>
        <v>95.270000000007713</v>
      </c>
      <c r="F19" s="41">
        <f>SUM(F5:F18)</f>
        <v>4119.8099999999995</v>
      </c>
      <c r="G19" s="39"/>
      <c r="H19" s="39"/>
      <c r="I19" s="40">
        <f>SUM(I7:I18)</f>
        <v>69.669999999994616</v>
      </c>
      <c r="J19" s="41">
        <f>SUM(J5:J18)</f>
        <v>3025.76</v>
      </c>
      <c r="K19" s="28">
        <f>IFERROR(J19/I19,0)</f>
        <v>43.42988373762357</v>
      </c>
      <c r="L19" s="42">
        <f>SUM(L7:L18)</f>
        <v>164.94000000000233</v>
      </c>
      <c r="M19" s="43">
        <f>SUM(M5:M18)</f>
        <v>7145.57</v>
      </c>
      <c r="N19" s="23">
        <f>IFERROR(M19/L19,0)</f>
        <v>43.322238389716858</v>
      </c>
      <c r="O19" s="44">
        <f>SUM(O5:O18)</f>
        <v>2427</v>
      </c>
      <c r="P19" s="45"/>
      <c r="S19" s="26"/>
    </row>
    <row r="20" spans="1:20" ht="18" customHeight="1" thickBot="1">
      <c r="A20" s="206" t="s">
        <v>29</v>
      </c>
      <c r="B20" s="207"/>
      <c r="C20" s="207"/>
      <c r="D20" s="207"/>
      <c r="E20" s="207"/>
      <c r="F20" s="207"/>
      <c r="G20" s="207"/>
      <c r="H20" s="207"/>
      <c r="I20" s="207"/>
      <c r="J20" s="207"/>
      <c r="K20" s="207"/>
      <c r="L20" s="208"/>
      <c r="M20" s="46"/>
      <c r="N20" s="47"/>
      <c r="O20" s="37"/>
    </row>
    <row r="21" spans="1:20" ht="22.8" customHeight="1">
      <c r="A21" s="209" t="s">
        <v>3</v>
      </c>
      <c r="B21" s="211" t="s">
        <v>4</v>
      </c>
      <c r="C21" s="234" t="s">
        <v>5</v>
      </c>
      <c r="D21" s="234"/>
      <c r="E21" s="234"/>
      <c r="F21" s="234"/>
      <c r="G21" s="234"/>
      <c r="H21" s="235" t="s">
        <v>6</v>
      </c>
      <c r="I21" s="235"/>
      <c r="J21" s="235"/>
      <c r="K21" s="235"/>
      <c r="L21" s="48"/>
      <c r="M21" s="219" t="s">
        <v>7</v>
      </c>
      <c r="N21" s="194" t="s">
        <v>8</v>
      </c>
      <c r="O21" s="37"/>
    </row>
    <row r="22" spans="1:20" s="51" customFormat="1" ht="24" customHeight="1" thickBot="1">
      <c r="A22" s="210"/>
      <c r="B22" s="212"/>
      <c r="C22" s="49" t="s">
        <v>11</v>
      </c>
      <c r="D22" s="49" t="s">
        <v>12</v>
      </c>
      <c r="E22" s="49" t="s">
        <v>13</v>
      </c>
      <c r="F22" s="2" t="s">
        <v>14</v>
      </c>
      <c r="G22" s="2" t="s">
        <v>8</v>
      </c>
      <c r="H22" s="49" t="s">
        <v>12</v>
      </c>
      <c r="I22" s="49" t="s">
        <v>13</v>
      </c>
      <c r="J22" s="49" t="s">
        <v>14</v>
      </c>
      <c r="K22" s="7" t="s">
        <v>8</v>
      </c>
      <c r="L22" s="50" t="s">
        <v>15</v>
      </c>
      <c r="M22" s="220"/>
      <c r="N22" s="195"/>
      <c r="O22" s="37"/>
      <c r="Q22"/>
      <c r="R22"/>
      <c r="S22"/>
      <c r="T22"/>
    </row>
    <row r="23" spans="1:20" s="51" customFormat="1" ht="24" customHeight="1">
      <c r="A23" s="27">
        <v>1</v>
      </c>
      <c r="B23" s="52" t="s">
        <v>30</v>
      </c>
      <c r="C23" s="6">
        <v>18860.099999999999</v>
      </c>
      <c r="D23" s="6">
        <v>18869.8</v>
      </c>
      <c r="E23" s="53">
        <f>D23-C23</f>
        <v>9.7000000000007276</v>
      </c>
      <c r="F23" s="54">
        <v>117.95</v>
      </c>
      <c r="G23" s="55">
        <f>IFERROR(F23/E23,0)</f>
        <v>12.159793814432078</v>
      </c>
      <c r="H23" s="6">
        <v>18877.599999999999</v>
      </c>
      <c r="I23" s="56">
        <f>H23-D23</f>
        <v>7.7999999999992724</v>
      </c>
      <c r="J23" s="54">
        <v>116.35</v>
      </c>
      <c r="K23" s="57">
        <f>IFERROR(J23/I23,0)</f>
        <v>14.916666666668057</v>
      </c>
      <c r="L23" s="58">
        <f>E23+I23</f>
        <v>17.5</v>
      </c>
      <c r="M23" s="59">
        <f t="shared" ref="M23:M24" si="10">F23+J23</f>
        <v>234.3</v>
      </c>
      <c r="N23" s="60">
        <f>IFERROR(M23/L23,0)</f>
        <v>13.38857142857143</v>
      </c>
      <c r="O23" s="61"/>
      <c r="Q23"/>
      <c r="R23"/>
      <c r="S23"/>
      <c r="T23"/>
    </row>
    <row r="24" spans="1:20" ht="24" customHeight="1">
      <c r="A24" s="62">
        <v>2</v>
      </c>
      <c r="B24" s="52" t="s">
        <v>31</v>
      </c>
      <c r="C24" s="63">
        <v>11257.6</v>
      </c>
      <c r="D24" s="63">
        <v>11264</v>
      </c>
      <c r="E24" s="53">
        <f>D24-C24</f>
        <v>6.3999999999996362</v>
      </c>
      <c r="F24" s="54">
        <v>107</v>
      </c>
      <c r="G24" s="55">
        <f>IFERROR(F24/E24,0)</f>
        <v>16.718750000000952</v>
      </c>
      <c r="H24" s="63">
        <v>11270.7</v>
      </c>
      <c r="I24" s="64">
        <f>H24-D24</f>
        <v>6.7000000000007276</v>
      </c>
      <c r="J24" s="54">
        <v>130.13</v>
      </c>
      <c r="K24" s="57">
        <f>IFERROR(J24/I24,0)</f>
        <v>19.422388059699383</v>
      </c>
      <c r="L24" s="58">
        <f>E24+I24</f>
        <v>13.100000000000364</v>
      </c>
      <c r="M24" s="59">
        <f t="shared" si="10"/>
        <v>237.13</v>
      </c>
      <c r="N24" s="60">
        <f>IFERROR(M24/L24,0)</f>
        <v>18.101526717556748</v>
      </c>
      <c r="O24" s="65"/>
    </row>
    <row r="25" spans="1:20" ht="24" customHeight="1" thickBot="1">
      <c r="A25" s="238" t="s">
        <v>28</v>
      </c>
      <c r="B25" s="239"/>
      <c r="C25" s="66"/>
      <c r="D25" s="66"/>
      <c r="E25" s="67">
        <f>SUM(E23:E24)</f>
        <v>16.100000000000364</v>
      </c>
      <c r="F25" s="67">
        <f>SUM(F23:F24)</f>
        <v>224.95</v>
      </c>
      <c r="G25" s="68"/>
      <c r="H25" s="68"/>
      <c r="I25" s="67">
        <f>SUM(I23:I24)</f>
        <v>14.5</v>
      </c>
      <c r="J25" s="67">
        <f>SUM(J23:J24)</f>
        <v>246.48</v>
      </c>
      <c r="K25" s="69">
        <f>SUM(K23:K24)</f>
        <v>34.339054726367436</v>
      </c>
      <c r="L25" s="70">
        <f>SUM(L23:L24)</f>
        <v>30.600000000000364</v>
      </c>
      <c r="M25" s="43">
        <f>SUM(M23:M24)</f>
        <v>471.43</v>
      </c>
      <c r="N25" s="71"/>
      <c r="O25" s="37"/>
      <c r="P25" s="72"/>
    </row>
    <row r="26" spans="1:20" ht="18" customHeight="1" thickBot="1">
      <c r="A26" s="245" t="s">
        <v>32</v>
      </c>
      <c r="B26" s="246"/>
      <c r="C26" s="226"/>
      <c r="D26" s="226"/>
      <c r="E26" s="226"/>
      <c r="F26" s="226"/>
      <c r="G26" s="226"/>
      <c r="H26" s="226"/>
      <c r="I26" s="226"/>
      <c r="J26" s="226"/>
      <c r="K26" s="226"/>
      <c r="L26" s="246"/>
      <c r="M26" s="46"/>
      <c r="N26" s="47"/>
      <c r="O26" s="37"/>
    </row>
    <row r="27" spans="1:20" ht="22.8" customHeight="1">
      <c r="A27" s="209" t="s">
        <v>3</v>
      </c>
      <c r="B27" s="211" t="s">
        <v>4</v>
      </c>
      <c r="C27" s="234" t="s">
        <v>5</v>
      </c>
      <c r="D27" s="234"/>
      <c r="E27" s="234"/>
      <c r="F27" s="234"/>
      <c r="G27" s="234"/>
      <c r="H27" s="235" t="s">
        <v>6</v>
      </c>
      <c r="I27" s="235"/>
      <c r="J27" s="235"/>
      <c r="K27" s="235"/>
      <c r="L27" s="48"/>
      <c r="M27" s="219" t="s">
        <v>7</v>
      </c>
      <c r="N27" s="194" t="s">
        <v>8</v>
      </c>
      <c r="O27" s="37"/>
      <c r="S27" s="51"/>
    </row>
    <row r="28" spans="1:20" ht="24" customHeight="1">
      <c r="A28" s="247"/>
      <c r="B28" s="248"/>
      <c r="C28" s="6" t="s">
        <v>11</v>
      </c>
      <c r="D28" s="6" t="s">
        <v>12</v>
      </c>
      <c r="E28" s="6" t="s">
        <v>13</v>
      </c>
      <c r="F28" s="6" t="s">
        <v>14</v>
      </c>
      <c r="G28" s="6" t="s">
        <v>8</v>
      </c>
      <c r="H28" s="6" t="s">
        <v>12</v>
      </c>
      <c r="I28" s="6" t="s">
        <v>13</v>
      </c>
      <c r="J28" s="6" t="s">
        <v>14</v>
      </c>
      <c r="K28" s="7" t="s">
        <v>8</v>
      </c>
      <c r="L28" s="73" t="s">
        <v>15</v>
      </c>
      <c r="M28" s="236"/>
      <c r="N28" s="237"/>
      <c r="O28" s="61"/>
      <c r="P28" s="74"/>
      <c r="S28" s="51"/>
      <c r="T28" s="75"/>
    </row>
    <row r="29" spans="1:20" ht="24" customHeight="1">
      <c r="A29" s="76">
        <v>1</v>
      </c>
      <c r="B29" s="31" t="s">
        <v>33</v>
      </c>
      <c r="C29" s="35">
        <v>21648.1</v>
      </c>
      <c r="D29" s="35">
        <v>21659.599999999999</v>
      </c>
      <c r="E29" s="35">
        <f>D29-C29</f>
        <v>11.5</v>
      </c>
      <c r="F29" s="33">
        <v>381</v>
      </c>
      <c r="G29" s="10">
        <f t="shared" ref="G29:G33" si="11">IFERROR(F29/E29,0)</f>
        <v>33.130434782608695</v>
      </c>
      <c r="H29" s="35">
        <v>21665.7</v>
      </c>
      <c r="I29" s="56">
        <f>H29-D29</f>
        <v>6.1000000000021828</v>
      </c>
      <c r="J29" s="33">
        <v>166.73</v>
      </c>
      <c r="K29" s="28">
        <f t="shared" ref="K29:K33" si="12">IFERROR(J29/I29,0)</f>
        <v>27.332786885236118</v>
      </c>
      <c r="L29" s="84">
        <f t="shared" ref="L29:M33" si="13">E29+I29</f>
        <v>17.600000000002183</v>
      </c>
      <c r="M29" s="79">
        <f t="shared" si="13"/>
        <v>547.73</v>
      </c>
      <c r="N29" s="34">
        <f>IFERROR(M29/L29,0)</f>
        <v>31.121022727268869</v>
      </c>
      <c r="O29" s="37"/>
    </row>
    <row r="30" spans="1:20" ht="24" customHeight="1">
      <c r="A30" s="76">
        <v>2</v>
      </c>
      <c r="B30" s="31" t="s">
        <v>34</v>
      </c>
      <c r="C30" s="35">
        <v>21126.2</v>
      </c>
      <c r="D30" s="35">
        <v>21134.9</v>
      </c>
      <c r="E30" s="35">
        <f>D30-C30</f>
        <v>8.7000000000007276</v>
      </c>
      <c r="F30" s="33">
        <v>165.81</v>
      </c>
      <c r="G30" s="10">
        <f t="shared" si="11"/>
        <v>19.05862068965358</v>
      </c>
      <c r="H30" s="35">
        <v>21139.9</v>
      </c>
      <c r="I30" s="56">
        <f>H30-D30</f>
        <v>5</v>
      </c>
      <c r="J30" s="33">
        <v>104</v>
      </c>
      <c r="K30" s="28">
        <f>IFERROR(J30/I30,0)</f>
        <v>20.8</v>
      </c>
      <c r="L30" s="18">
        <f t="shared" si="13"/>
        <v>13.700000000000728</v>
      </c>
      <c r="M30" s="22">
        <f t="shared" si="13"/>
        <v>269.81</v>
      </c>
      <c r="N30" s="23">
        <f>IFERROR(M30/L30,0)</f>
        <v>19.694160583940562</v>
      </c>
      <c r="O30" s="37"/>
    </row>
    <row r="31" spans="1:20" ht="24" customHeight="1">
      <c r="A31" s="76">
        <v>3</v>
      </c>
      <c r="B31" s="31" t="s">
        <v>35</v>
      </c>
      <c r="C31" s="35">
        <v>8958.7999999999993</v>
      </c>
      <c r="D31" s="35">
        <v>8962.1</v>
      </c>
      <c r="E31" s="17">
        <f t="shared" ref="E31:E33" si="14">D31-C31</f>
        <v>3.3000000000010914</v>
      </c>
      <c r="F31" s="33">
        <v>65.44</v>
      </c>
      <c r="G31" s="10">
        <f t="shared" si="11"/>
        <v>19.83030303029647</v>
      </c>
      <c r="H31" s="35">
        <v>8962.7999999999993</v>
      </c>
      <c r="I31" s="19">
        <f>H31-D31</f>
        <v>0.69999999999890861</v>
      </c>
      <c r="J31" s="33">
        <v>20.03</v>
      </c>
      <c r="K31" s="28">
        <f t="shared" si="12"/>
        <v>28.614285714330329</v>
      </c>
      <c r="L31" s="18">
        <f t="shared" si="13"/>
        <v>4</v>
      </c>
      <c r="M31" s="22">
        <f t="shared" si="13"/>
        <v>85.47</v>
      </c>
      <c r="N31" s="23">
        <f>IFERROR(M31/L31,0)</f>
        <v>21.3675</v>
      </c>
      <c r="O31" s="77"/>
    </row>
    <row r="32" spans="1:20" ht="24.6" customHeight="1">
      <c r="A32" s="76">
        <v>4</v>
      </c>
      <c r="B32" s="31" t="s">
        <v>36</v>
      </c>
      <c r="C32" s="35">
        <v>3433</v>
      </c>
      <c r="D32" s="35">
        <v>3443.6</v>
      </c>
      <c r="E32" s="17">
        <f t="shared" si="14"/>
        <v>10.599999999999909</v>
      </c>
      <c r="F32" s="33">
        <v>150</v>
      </c>
      <c r="G32" s="78">
        <f t="shared" si="11"/>
        <v>14.150943396226536</v>
      </c>
      <c r="H32" s="35">
        <v>3450.3</v>
      </c>
      <c r="I32" s="19">
        <f t="shared" ref="I32:I33" si="15">H32-D32</f>
        <v>6.7000000000002728</v>
      </c>
      <c r="J32" s="33">
        <v>183.83</v>
      </c>
      <c r="K32" s="28">
        <f t="shared" si="12"/>
        <v>27.437313432834706</v>
      </c>
      <c r="L32" s="18">
        <f t="shared" si="13"/>
        <v>17.300000000000182</v>
      </c>
      <c r="M32" s="79">
        <f t="shared" si="13"/>
        <v>333.83000000000004</v>
      </c>
      <c r="N32" s="23">
        <f>IFERROR(M32/L32,0)</f>
        <v>19.296531791907313</v>
      </c>
      <c r="O32" s="80"/>
    </row>
    <row r="33" spans="1:19" ht="24.6" customHeight="1">
      <c r="A33" s="76">
        <v>5</v>
      </c>
      <c r="B33" s="31" t="s">
        <v>37</v>
      </c>
      <c r="C33" s="35">
        <v>755</v>
      </c>
      <c r="D33" s="35">
        <v>762.9</v>
      </c>
      <c r="E33" s="17">
        <f t="shared" si="14"/>
        <v>7.8999999999999773</v>
      </c>
      <c r="F33" s="33">
        <v>226.56</v>
      </c>
      <c r="G33" s="78">
        <f t="shared" si="11"/>
        <v>28.67848101265831</v>
      </c>
      <c r="H33" s="35">
        <v>769.7</v>
      </c>
      <c r="I33" s="19">
        <f t="shared" si="15"/>
        <v>6.8000000000000682</v>
      </c>
      <c r="J33" s="33">
        <v>188.3</v>
      </c>
      <c r="K33" s="28">
        <f t="shared" si="12"/>
        <v>27.691176470587958</v>
      </c>
      <c r="L33" s="18">
        <f t="shared" si="13"/>
        <v>14.700000000000045</v>
      </c>
      <c r="M33" s="79">
        <f t="shared" si="13"/>
        <v>414.86</v>
      </c>
      <c r="N33" s="23">
        <f>IFERROR(M33/L33,0)</f>
        <v>28.221768707482905</v>
      </c>
      <c r="O33" s="80"/>
    </row>
    <row r="34" spans="1:19" ht="22.8" customHeight="1" thickBot="1">
      <c r="A34" s="238" t="s">
        <v>28</v>
      </c>
      <c r="B34" s="239"/>
      <c r="C34" s="66"/>
      <c r="D34" s="66"/>
      <c r="E34" s="67">
        <f>SUM(E29:E33)</f>
        <v>42.000000000001705</v>
      </c>
      <c r="F34" s="67">
        <f>SUM(F29:F33)</f>
        <v>988.81</v>
      </c>
      <c r="G34" s="68"/>
      <c r="H34" s="68"/>
      <c r="I34" s="67">
        <f>SUM(I29:I33)</f>
        <v>25.300000000001432</v>
      </c>
      <c r="J34" s="67">
        <f>SUM(J29:J33)</f>
        <v>662.8900000000001</v>
      </c>
      <c r="K34" s="69">
        <f>SUM(K29:K33)</f>
        <v>131.87556250298911</v>
      </c>
      <c r="L34" s="70">
        <f>SUM(L29:L33)</f>
        <v>67.300000000003138</v>
      </c>
      <c r="M34" s="43">
        <f>SUM(M29:M33)</f>
        <v>1651.7000000000003</v>
      </c>
      <c r="N34" s="71">
        <f>IFERROR(M34/K34,0)</f>
        <v>12.524685913378095</v>
      </c>
      <c r="O34" s="37"/>
      <c r="P34" s="72"/>
      <c r="S34" s="51"/>
    </row>
    <row r="35" spans="1:19" ht="24" customHeight="1">
      <c r="A35" s="240" t="s">
        <v>38</v>
      </c>
      <c r="B35" s="241"/>
      <c r="C35" s="241"/>
      <c r="D35" s="241"/>
      <c r="E35" s="241"/>
      <c r="F35" s="241"/>
      <c r="G35" s="241"/>
      <c r="H35" s="241"/>
      <c r="I35" s="241"/>
      <c r="J35" s="241"/>
      <c r="K35" s="241"/>
      <c r="L35" s="242"/>
      <c r="M35" s="46"/>
      <c r="N35" s="47"/>
      <c r="O35" s="61"/>
      <c r="S35" s="51"/>
    </row>
    <row r="36" spans="1:19" ht="24" customHeight="1">
      <c r="A36" s="243" t="s">
        <v>3</v>
      </c>
      <c r="B36" s="243" t="s">
        <v>4</v>
      </c>
      <c r="C36" s="213" t="s">
        <v>5</v>
      </c>
      <c r="D36" s="214"/>
      <c r="E36" s="214"/>
      <c r="F36" s="214"/>
      <c r="G36" s="215"/>
      <c r="H36" s="216" t="s">
        <v>6</v>
      </c>
      <c r="I36" s="217"/>
      <c r="J36" s="217"/>
      <c r="K36" s="218"/>
      <c r="L36" s="5"/>
      <c r="M36" s="221" t="s">
        <v>7</v>
      </c>
      <c r="N36" s="222" t="s">
        <v>8</v>
      </c>
      <c r="O36" s="37"/>
    </row>
    <row r="37" spans="1:19" ht="24" customHeight="1">
      <c r="A37" s="244"/>
      <c r="B37" s="244"/>
      <c r="C37" s="2" t="s">
        <v>11</v>
      </c>
      <c r="D37" s="2" t="s">
        <v>12</v>
      </c>
      <c r="E37" s="2" t="s">
        <v>13</v>
      </c>
      <c r="F37" s="2" t="s">
        <v>14</v>
      </c>
      <c r="G37" s="2" t="s">
        <v>8</v>
      </c>
      <c r="H37" s="2" t="s">
        <v>12</v>
      </c>
      <c r="I37" s="2" t="s">
        <v>13</v>
      </c>
      <c r="J37" s="2" t="s">
        <v>14</v>
      </c>
      <c r="K37" s="82" t="s">
        <v>8</v>
      </c>
      <c r="L37" s="12" t="s">
        <v>15</v>
      </c>
      <c r="M37" s="221"/>
      <c r="N37" s="222"/>
      <c r="O37" s="37"/>
    </row>
    <row r="38" spans="1:19" ht="24" customHeight="1">
      <c r="A38" s="76">
        <v>1</v>
      </c>
      <c r="B38" s="31" t="s">
        <v>39</v>
      </c>
      <c r="C38" s="83">
        <v>16593.5</v>
      </c>
      <c r="D38" s="83">
        <v>16598.5</v>
      </c>
      <c r="E38" s="35">
        <f>D38-C38</f>
        <v>5</v>
      </c>
      <c r="F38" s="33">
        <v>66.319999999999993</v>
      </c>
      <c r="G38" s="78">
        <f t="shared" ref="G38:G39" si="16">IFERROR(F38/E38,0)</f>
        <v>13.263999999999999</v>
      </c>
      <c r="H38" s="83">
        <v>16605.5</v>
      </c>
      <c r="I38" s="56">
        <f>H38-D38</f>
        <v>7</v>
      </c>
      <c r="J38" s="33">
        <v>126</v>
      </c>
      <c r="K38" s="28">
        <f>IFERROR(J38/I38,0)</f>
        <v>18</v>
      </c>
      <c r="L38" s="84">
        <f t="shared" ref="L38:L39" si="17">E38+I38</f>
        <v>12</v>
      </c>
      <c r="M38" s="79">
        <f>F38+J38</f>
        <v>192.32</v>
      </c>
      <c r="N38" s="34">
        <f>IFERROR(M38/L38,0)</f>
        <v>16.026666666666667</v>
      </c>
      <c r="O38" s="37"/>
    </row>
    <row r="39" spans="1:19" ht="27" customHeight="1">
      <c r="A39" s="76">
        <v>2</v>
      </c>
      <c r="B39" s="31" t="s">
        <v>40</v>
      </c>
      <c r="C39" s="35">
        <v>4451.2</v>
      </c>
      <c r="D39" s="35">
        <v>4457.7</v>
      </c>
      <c r="E39" s="17">
        <f>D39-C39</f>
        <v>6.5</v>
      </c>
      <c r="F39" s="33">
        <v>170</v>
      </c>
      <c r="G39" s="10">
        <f t="shared" si="16"/>
        <v>26.153846153846153</v>
      </c>
      <c r="H39" s="35">
        <v>4466.8</v>
      </c>
      <c r="I39" s="19">
        <f>H39-D39</f>
        <v>9.1000000000003638</v>
      </c>
      <c r="J39" s="33">
        <v>155.19999999999999</v>
      </c>
      <c r="K39" s="28">
        <f>IFERROR(J39/I39,0)</f>
        <v>17.054945054944373</v>
      </c>
      <c r="L39" s="18">
        <f t="shared" si="17"/>
        <v>15.600000000000364</v>
      </c>
      <c r="M39" s="22">
        <f>F39+J39</f>
        <v>325.2</v>
      </c>
      <c r="N39" s="23">
        <f>IFERROR(M39/L39,0)</f>
        <v>20.84615384615336</v>
      </c>
      <c r="O39" s="37"/>
      <c r="S39" s="51"/>
    </row>
    <row r="40" spans="1:19" ht="22.8" customHeight="1" thickBot="1">
      <c r="A40" s="196" t="s">
        <v>28</v>
      </c>
      <c r="B40" s="233"/>
      <c r="C40" s="68"/>
      <c r="D40" s="66"/>
      <c r="E40" s="67">
        <f>SUM(E38:E39)</f>
        <v>11.5</v>
      </c>
      <c r="F40" s="67">
        <f>SUM(F38:F39:F39)</f>
        <v>236.32</v>
      </c>
      <c r="G40" s="68"/>
      <c r="H40" s="68"/>
      <c r="I40" s="67">
        <f>SUM(I38:I39)</f>
        <v>16.100000000000364</v>
      </c>
      <c r="J40" s="67">
        <f>SUM(J38:J39)</f>
        <v>281.2</v>
      </c>
      <c r="K40" s="69">
        <f>SUM(K38:K39)</f>
        <v>35.054945054944369</v>
      </c>
      <c r="L40" s="70">
        <f>SUM(L38:L39)</f>
        <v>27.600000000000364</v>
      </c>
      <c r="M40" s="43">
        <f>SUM(M38:M39)</f>
        <v>517.52</v>
      </c>
      <c r="N40" s="71">
        <f>IFERROR(M40/K40,0)</f>
        <v>14.763109717868627</v>
      </c>
      <c r="O40" s="37"/>
      <c r="P40" s="72"/>
      <c r="S40" s="51"/>
    </row>
    <row r="41" spans="1:19" ht="24" customHeight="1">
      <c r="A41" s="225" t="s">
        <v>41</v>
      </c>
      <c r="B41" s="226"/>
      <c r="C41" s="226"/>
      <c r="D41" s="226"/>
      <c r="E41" s="226"/>
      <c r="F41" s="226"/>
      <c r="G41" s="226"/>
      <c r="H41" s="226"/>
      <c r="I41" s="226"/>
      <c r="J41" s="226"/>
      <c r="K41" s="226"/>
      <c r="L41" s="226"/>
      <c r="M41" s="46"/>
      <c r="N41" s="47"/>
      <c r="O41" s="61"/>
    </row>
    <row r="42" spans="1:19" ht="24" customHeight="1">
      <c r="A42" s="222" t="s">
        <v>3</v>
      </c>
      <c r="B42" s="222" t="s">
        <v>4</v>
      </c>
      <c r="C42" s="234" t="s">
        <v>5</v>
      </c>
      <c r="D42" s="234"/>
      <c r="E42" s="234"/>
      <c r="F42" s="234"/>
      <c r="G42" s="234"/>
      <c r="H42" s="235" t="s">
        <v>6</v>
      </c>
      <c r="I42" s="235"/>
      <c r="J42" s="235"/>
      <c r="K42" s="235"/>
      <c r="L42" s="5"/>
      <c r="M42" s="221" t="s">
        <v>7</v>
      </c>
      <c r="N42" s="222" t="s">
        <v>8</v>
      </c>
      <c r="O42" s="37"/>
    </row>
    <row r="43" spans="1:19" ht="25.8" customHeight="1">
      <c r="A43" s="222"/>
      <c r="B43" s="222"/>
      <c r="C43" s="2" t="s">
        <v>11</v>
      </c>
      <c r="D43" s="2" t="s">
        <v>12</v>
      </c>
      <c r="E43" s="2" t="s">
        <v>13</v>
      </c>
      <c r="F43" s="2" t="s">
        <v>14</v>
      </c>
      <c r="G43" s="2" t="s">
        <v>8</v>
      </c>
      <c r="H43" s="2" t="s">
        <v>12</v>
      </c>
      <c r="I43" s="2" t="s">
        <v>13</v>
      </c>
      <c r="J43" s="2" t="s">
        <v>14</v>
      </c>
      <c r="K43" s="82" t="s">
        <v>8</v>
      </c>
      <c r="L43" s="12" t="s">
        <v>15</v>
      </c>
      <c r="M43" s="221"/>
      <c r="N43" s="222"/>
      <c r="O43" s="37"/>
    </row>
    <row r="44" spans="1:19" ht="25.8" customHeight="1">
      <c r="A44" s="5">
        <v>1</v>
      </c>
      <c r="B44" s="85" t="s">
        <v>186</v>
      </c>
      <c r="C44" s="2">
        <v>0</v>
      </c>
      <c r="D44" s="2">
        <v>0</v>
      </c>
      <c r="E44" s="20">
        <f>D44-C44</f>
        <v>0</v>
      </c>
      <c r="F44" s="2">
        <v>0</v>
      </c>
      <c r="G44" s="10">
        <f t="shared" ref="G44:G46" si="18">IFERROR(F44/E44,0)</f>
        <v>0</v>
      </c>
      <c r="H44" s="2">
        <v>0</v>
      </c>
      <c r="I44" s="86">
        <f>H44-D44</f>
        <v>0</v>
      </c>
      <c r="J44" s="2">
        <v>433.51</v>
      </c>
      <c r="K44" s="28">
        <f>IFERROR(J44/I44,0)</f>
        <v>0</v>
      </c>
      <c r="L44" s="18">
        <f>E44+I44</f>
        <v>0</v>
      </c>
      <c r="M44" s="22">
        <f>F44+J44</f>
        <v>433.51</v>
      </c>
      <c r="N44" s="23">
        <f>IFERROR(M44/L44,0)</f>
        <v>0</v>
      </c>
      <c r="O44" s="37"/>
    </row>
    <row r="45" spans="1:19" ht="24.6" customHeight="1">
      <c r="A45" s="76">
        <v>2</v>
      </c>
      <c r="B45" s="85" t="s">
        <v>42</v>
      </c>
      <c r="C45" s="33">
        <v>8665.4</v>
      </c>
      <c r="D45" s="33">
        <v>8665.4</v>
      </c>
      <c r="E45" s="20">
        <f>D45-C45</f>
        <v>0</v>
      </c>
      <c r="F45" s="33">
        <v>0</v>
      </c>
      <c r="G45" s="10">
        <f t="shared" si="18"/>
        <v>0</v>
      </c>
      <c r="H45" s="33">
        <v>8665.4</v>
      </c>
      <c r="I45" s="86">
        <f>H45-D45</f>
        <v>0</v>
      </c>
      <c r="J45" s="33">
        <v>0</v>
      </c>
      <c r="K45" s="28">
        <f>IFERROR(J45/I45,0)</f>
        <v>0</v>
      </c>
      <c r="L45" s="18">
        <f>E45+I45</f>
        <v>0</v>
      </c>
      <c r="M45" s="22">
        <f>F45+J45</f>
        <v>0</v>
      </c>
      <c r="N45" s="23">
        <f>IFERROR(M45/L45,0)</f>
        <v>0</v>
      </c>
      <c r="O45" s="87"/>
      <c r="S45" s="51"/>
    </row>
    <row r="46" spans="1:19" ht="22.8" customHeight="1">
      <c r="A46" s="76">
        <v>3</v>
      </c>
      <c r="B46" s="85" t="s">
        <v>43</v>
      </c>
      <c r="C46" s="33">
        <v>1620.6</v>
      </c>
      <c r="D46" s="33">
        <v>1620.6</v>
      </c>
      <c r="E46" s="20">
        <f>D46-C46</f>
        <v>0</v>
      </c>
      <c r="F46" s="33">
        <v>0</v>
      </c>
      <c r="G46" s="10">
        <f t="shared" si="18"/>
        <v>0</v>
      </c>
      <c r="H46" s="33">
        <v>1620.6</v>
      </c>
      <c r="I46" s="86">
        <f>H46-D46</f>
        <v>0</v>
      </c>
      <c r="J46" s="33">
        <v>0</v>
      </c>
      <c r="K46" s="28">
        <f>IFERROR(J46/I46,0)</f>
        <v>0</v>
      </c>
      <c r="L46" s="18">
        <f>E46+I46</f>
        <v>0</v>
      </c>
      <c r="M46" s="22">
        <f t="shared" ref="M46" si="19">F46+J46</f>
        <v>0</v>
      </c>
      <c r="N46" s="23">
        <f>IFERROR(M46/L46,0)</f>
        <v>0</v>
      </c>
      <c r="O46" s="87"/>
      <c r="P46" s="88"/>
      <c r="Q46" s="89"/>
    </row>
    <row r="47" spans="1:19" ht="24" customHeight="1" thickBot="1">
      <c r="A47" s="223" t="s">
        <v>28</v>
      </c>
      <c r="B47" s="224"/>
      <c r="C47" s="90"/>
      <c r="D47" s="90"/>
      <c r="E47" s="91">
        <f>SUM(E45:E46)</f>
        <v>0</v>
      </c>
      <c r="F47" s="91">
        <f>SUM(F45:F46)</f>
        <v>0</v>
      </c>
      <c r="G47" s="92"/>
      <c r="H47" s="92"/>
      <c r="I47" s="91">
        <f>SUM(I44:I46)</f>
        <v>0</v>
      </c>
      <c r="J47" s="91">
        <f>SUM(J44:J46)</f>
        <v>433.51</v>
      </c>
      <c r="K47" s="93">
        <f>SUM(K44:K46)</f>
        <v>0</v>
      </c>
      <c r="L47" s="94">
        <f>SUM(L44:L46)</f>
        <v>0</v>
      </c>
      <c r="M47" s="95">
        <f>SUM(M44:M46)</f>
        <v>433.51</v>
      </c>
      <c r="N47" s="96" t="e">
        <f>M47/L47</f>
        <v>#DIV/0!</v>
      </c>
      <c r="O47" s="37"/>
      <c r="P47" s="97"/>
      <c r="Q47" s="89"/>
    </row>
    <row r="48" spans="1:19" ht="24" customHeight="1">
      <c r="A48" s="225" t="s">
        <v>44</v>
      </c>
      <c r="B48" s="226"/>
      <c r="C48" s="226"/>
      <c r="D48" s="226"/>
      <c r="E48" s="226"/>
      <c r="F48" s="226"/>
      <c r="G48" s="226"/>
      <c r="H48" s="226"/>
      <c r="I48" s="226"/>
      <c r="J48" s="226"/>
      <c r="K48" s="226"/>
      <c r="L48" s="226"/>
      <c r="M48" s="98"/>
      <c r="N48" s="99"/>
      <c r="O48" s="37"/>
      <c r="P48" s="100"/>
      <c r="Q48" s="100"/>
    </row>
    <row r="49" spans="1:27" ht="24" customHeight="1">
      <c r="A49" s="222" t="s">
        <v>3</v>
      </c>
      <c r="B49" s="222" t="s">
        <v>4</v>
      </c>
      <c r="C49" s="227" t="s">
        <v>5</v>
      </c>
      <c r="D49" s="228"/>
      <c r="E49" s="228"/>
      <c r="F49" s="228"/>
      <c r="G49" s="228"/>
      <c r="H49" s="229"/>
      <c r="I49" s="230" t="s">
        <v>6</v>
      </c>
      <c r="J49" s="231"/>
      <c r="K49" s="231"/>
      <c r="L49" s="231"/>
      <c r="M49" s="231"/>
      <c r="N49" s="232"/>
      <c r="O49" s="201" t="s">
        <v>45</v>
      </c>
      <c r="P49" s="203" t="s">
        <v>46</v>
      </c>
      <c r="Q49" s="203" t="s">
        <v>47</v>
      </c>
      <c r="R49" s="205" t="s">
        <v>48</v>
      </c>
      <c r="Z49" s="101"/>
    </row>
    <row r="50" spans="1:27" ht="33" customHeight="1">
      <c r="A50" s="222"/>
      <c r="B50" s="222"/>
      <c r="C50" s="2" t="s">
        <v>49</v>
      </c>
      <c r="D50" s="2" t="s">
        <v>50</v>
      </c>
      <c r="E50" s="2" t="s">
        <v>51</v>
      </c>
      <c r="F50" s="102" t="s">
        <v>11</v>
      </c>
      <c r="G50" s="2" t="s">
        <v>14</v>
      </c>
      <c r="H50" s="2" t="s">
        <v>8</v>
      </c>
      <c r="I50" s="2" t="s">
        <v>50</v>
      </c>
      <c r="J50" s="2" t="s">
        <v>45</v>
      </c>
      <c r="K50" s="102" t="s">
        <v>12</v>
      </c>
      <c r="L50" s="102" t="s">
        <v>15</v>
      </c>
      <c r="M50" s="2" t="s">
        <v>14</v>
      </c>
      <c r="N50" s="82" t="s">
        <v>8</v>
      </c>
      <c r="O50" s="202"/>
      <c r="P50" s="204"/>
      <c r="Q50" s="204"/>
      <c r="R50" s="205"/>
    </row>
    <row r="51" spans="1:27" ht="21" customHeight="1">
      <c r="A51" s="81">
        <v>1</v>
      </c>
      <c r="B51" s="103" t="s">
        <v>52</v>
      </c>
      <c r="C51" s="2">
        <v>279555.59999999998</v>
      </c>
      <c r="D51" s="2">
        <v>279555.59999999998</v>
      </c>
      <c r="E51" s="104">
        <f t="shared" ref="E51:E116" si="20">D51-C51</f>
        <v>0</v>
      </c>
      <c r="F51" s="105">
        <v>22132.13</v>
      </c>
      <c r="G51" s="49">
        <v>0</v>
      </c>
      <c r="H51" s="10">
        <f t="shared" ref="H51:H116" si="21">IFERROR(E51/G51,0)</f>
        <v>0</v>
      </c>
      <c r="I51" s="2">
        <v>279590.3</v>
      </c>
      <c r="J51" s="106">
        <f t="shared" ref="J51:J116" si="22">I51-D51</f>
        <v>34.700000000011642</v>
      </c>
      <c r="K51" s="105">
        <v>22136.39</v>
      </c>
      <c r="L51" s="107">
        <f t="shared" ref="L51:L116" si="23">K51-F51</f>
        <v>4.2599999999983993</v>
      </c>
      <c r="M51" s="2">
        <v>57</v>
      </c>
      <c r="N51" s="28">
        <f t="shared" ref="N51:N116" si="24">IFERROR(J51/M51,0)</f>
        <v>0.60877192982476569</v>
      </c>
      <c r="O51" s="84">
        <f t="shared" ref="O51:O116" si="25">J51+E51</f>
        <v>34.700000000011642</v>
      </c>
      <c r="P51" s="79">
        <f t="shared" ref="P51:P116" si="26">G51+M51</f>
        <v>57</v>
      </c>
      <c r="Q51" s="34">
        <f t="shared" ref="Q51:Q116" si="27">IFERROR(O51/P51,0)</f>
        <v>0.60877192982476569</v>
      </c>
      <c r="R51" s="108">
        <v>42</v>
      </c>
    </row>
    <row r="52" spans="1:27" ht="21" customHeight="1">
      <c r="A52" s="81">
        <v>2</v>
      </c>
      <c r="B52" s="103" t="s">
        <v>155</v>
      </c>
      <c r="C52" s="2">
        <v>302190</v>
      </c>
      <c r="D52" s="2">
        <v>302299</v>
      </c>
      <c r="E52" s="104">
        <f t="shared" si="20"/>
        <v>109</v>
      </c>
      <c r="F52" s="105">
        <v>30547</v>
      </c>
      <c r="G52" s="49">
        <v>165</v>
      </c>
      <c r="H52" s="10">
        <f t="shared" si="21"/>
        <v>0.66060606060606064</v>
      </c>
      <c r="I52" s="2">
        <v>302370</v>
      </c>
      <c r="J52" s="106">
        <f t="shared" si="22"/>
        <v>71</v>
      </c>
      <c r="K52" s="105">
        <v>30568</v>
      </c>
      <c r="L52" s="107">
        <f t="shared" si="23"/>
        <v>21</v>
      </c>
      <c r="M52" s="2">
        <v>96</v>
      </c>
      <c r="N52" s="28">
        <f t="shared" si="24"/>
        <v>0.73958333333333337</v>
      </c>
      <c r="O52" s="84">
        <f t="shared" si="25"/>
        <v>180</v>
      </c>
      <c r="P52" s="79">
        <f t="shared" si="26"/>
        <v>261</v>
      </c>
      <c r="Q52" s="34">
        <f t="shared" si="27"/>
        <v>0.68965517241379315</v>
      </c>
      <c r="R52" s="108">
        <v>52</v>
      </c>
    </row>
    <row r="53" spans="1:27" ht="21" customHeight="1">
      <c r="A53" s="81">
        <v>3</v>
      </c>
      <c r="B53" s="103" t="s">
        <v>171</v>
      </c>
      <c r="C53" s="2">
        <v>311278</v>
      </c>
      <c r="D53" s="2">
        <v>311322</v>
      </c>
      <c r="E53" s="104">
        <f t="shared" si="20"/>
        <v>44</v>
      </c>
      <c r="F53" s="105">
        <v>31107</v>
      </c>
      <c r="G53" s="49">
        <v>66</v>
      </c>
      <c r="H53" s="10">
        <f t="shared" si="21"/>
        <v>0.66666666666666663</v>
      </c>
      <c r="I53" s="2">
        <v>311412</v>
      </c>
      <c r="J53" s="106">
        <f t="shared" si="22"/>
        <v>90</v>
      </c>
      <c r="K53" s="105">
        <v>31119</v>
      </c>
      <c r="L53" s="107">
        <f t="shared" si="23"/>
        <v>12</v>
      </c>
      <c r="M53" s="2">
        <v>118</v>
      </c>
      <c r="N53" s="28">
        <f t="shared" si="24"/>
        <v>0.76271186440677963</v>
      </c>
      <c r="O53" s="84">
        <f t="shared" si="25"/>
        <v>134</v>
      </c>
      <c r="P53" s="79">
        <f t="shared" si="26"/>
        <v>184</v>
      </c>
      <c r="Q53" s="34">
        <f t="shared" si="27"/>
        <v>0.72826086956521741</v>
      </c>
      <c r="R53" s="108">
        <v>35</v>
      </c>
    </row>
    <row r="54" spans="1:27" ht="21" customHeight="1">
      <c r="A54" s="81">
        <v>4</v>
      </c>
      <c r="B54" s="103" t="s">
        <v>156</v>
      </c>
      <c r="C54" s="2">
        <v>262129</v>
      </c>
      <c r="D54" s="2">
        <v>262214</v>
      </c>
      <c r="E54" s="104">
        <f t="shared" si="20"/>
        <v>85</v>
      </c>
      <c r="F54" s="105">
        <v>27780</v>
      </c>
      <c r="G54" s="49">
        <v>144</v>
      </c>
      <c r="H54" s="10">
        <f t="shared" si="21"/>
        <v>0.59027777777777779</v>
      </c>
      <c r="I54" s="2">
        <v>262293</v>
      </c>
      <c r="J54" s="106">
        <f t="shared" si="22"/>
        <v>79</v>
      </c>
      <c r="K54" s="105">
        <v>27802</v>
      </c>
      <c r="L54" s="107">
        <f t="shared" si="23"/>
        <v>22</v>
      </c>
      <c r="M54" s="2">
        <v>138</v>
      </c>
      <c r="N54" s="28">
        <f t="shared" si="24"/>
        <v>0.57246376811594202</v>
      </c>
      <c r="O54" s="84">
        <f t="shared" si="25"/>
        <v>164</v>
      </c>
      <c r="P54" s="79">
        <f t="shared" si="26"/>
        <v>282</v>
      </c>
      <c r="Q54" s="34">
        <f t="shared" si="27"/>
        <v>0.58156028368794321</v>
      </c>
      <c r="R54" s="108">
        <v>45</v>
      </c>
    </row>
    <row r="55" spans="1:27" ht="21" customHeight="1">
      <c r="A55" s="81">
        <v>5</v>
      </c>
      <c r="B55" s="103" t="s">
        <v>157</v>
      </c>
      <c r="C55" s="2">
        <v>277278</v>
      </c>
      <c r="D55" s="2">
        <v>277359</v>
      </c>
      <c r="E55" s="104">
        <f t="shared" si="20"/>
        <v>81</v>
      </c>
      <c r="F55" s="105">
        <v>28124</v>
      </c>
      <c r="G55" s="49">
        <v>174</v>
      </c>
      <c r="H55" s="10">
        <f t="shared" si="21"/>
        <v>0.46551724137931033</v>
      </c>
      <c r="I55" s="2">
        <v>277463</v>
      </c>
      <c r="J55" s="106">
        <f t="shared" si="22"/>
        <v>104</v>
      </c>
      <c r="K55" s="105">
        <v>28143</v>
      </c>
      <c r="L55" s="107">
        <f t="shared" si="23"/>
        <v>19</v>
      </c>
      <c r="M55" s="2">
        <v>161</v>
      </c>
      <c r="N55" s="28">
        <f t="shared" si="24"/>
        <v>0.64596273291925466</v>
      </c>
      <c r="O55" s="84">
        <f t="shared" si="25"/>
        <v>185</v>
      </c>
      <c r="P55" s="79">
        <f t="shared" si="26"/>
        <v>335</v>
      </c>
      <c r="Q55" s="34">
        <f t="shared" si="27"/>
        <v>0.55223880597014929</v>
      </c>
      <c r="R55" s="108">
        <v>18</v>
      </c>
    </row>
    <row r="56" spans="1:27" ht="21" customHeight="1">
      <c r="A56" s="81">
        <v>6</v>
      </c>
      <c r="B56" s="103" t="s">
        <v>172</v>
      </c>
      <c r="C56" s="2">
        <v>266890</v>
      </c>
      <c r="D56" s="2">
        <v>266890</v>
      </c>
      <c r="E56" s="104">
        <f t="shared" si="20"/>
        <v>0</v>
      </c>
      <c r="F56" s="105">
        <v>26415</v>
      </c>
      <c r="G56" s="49">
        <v>0</v>
      </c>
      <c r="H56" s="10">
        <f t="shared" si="21"/>
        <v>0</v>
      </c>
      <c r="I56" s="2">
        <v>266944</v>
      </c>
      <c r="J56" s="106">
        <f t="shared" si="22"/>
        <v>54</v>
      </c>
      <c r="K56" s="105">
        <v>26420</v>
      </c>
      <c r="L56" s="107">
        <f t="shared" si="23"/>
        <v>5</v>
      </c>
      <c r="M56" s="2">
        <v>85</v>
      </c>
      <c r="N56" s="28">
        <f t="shared" si="24"/>
        <v>0.63529411764705879</v>
      </c>
      <c r="O56" s="84">
        <f t="shared" si="25"/>
        <v>54</v>
      </c>
      <c r="P56" s="79">
        <f t="shared" si="26"/>
        <v>85</v>
      </c>
      <c r="Q56" s="34">
        <f t="shared" si="27"/>
        <v>0.63529411764705879</v>
      </c>
      <c r="R56" s="108">
        <v>20</v>
      </c>
    </row>
    <row r="57" spans="1:27" ht="21" customHeight="1">
      <c r="A57" s="81">
        <v>7</v>
      </c>
      <c r="B57" s="103" t="s">
        <v>173</v>
      </c>
      <c r="C57" s="2">
        <v>295838</v>
      </c>
      <c r="D57" s="2">
        <v>295838</v>
      </c>
      <c r="E57" s="104">
        <f t="shared" si="20"/>
        <v>0</v>
      </c>
      <c r="F57" s="105">
        <v>28783</v>
      </c>
      <c r="G57" s="49">
        <v>0</v>
      </c>
      <c r="H57" s="10">
        <f t="shared" si="21"/>
        <v>0</v>
      </c>
      <c r="I57" s="2">
        <v>295838</v>
      </c>
      <c r="J57" s="106">
        <f t="shared" si="22"/>
        <v>0</v>
      </c>
      <c r="K57" s="105">
        <v>28783</v>
      </c>
      <c r="L57" s="107">
        <f t="shared" si="23"/>
        <v>0</v>
      </c>
      <c r="M57" s="2">
        <v>0</v>
      </c>
      <c r="N57" s="28">
        <f t="shared" si="24"/>
        <v>0</v>
      </c>
      <c r="O57" s="84">
        <f t="shared" si="25"/>
        <v>0</v>
      </c>
      <c r="P57" s="79">
        <f t="shared" si="26"/>
        <v>0</v>
      </c>
      <c r="Q57" s="34">
        <f t="shared" si="27"/>
        <v>0</v>
      </c>
      <c r="R57" s="108">
        <v>16</v>
      </c>
    </row>
    <row r="58" spans="1:27" ht="24" customHeight="1">
      <c r="A58" s="81">
        <v>8</v>
      </c>
      <c r="B58" s="31" t="s">
        <v>53</v>
      </c>
      <c r="C58" s="35">
        <v>334587.7</v>
      </c>
      <c r="D58" s="35">
        <v>334710.40000000002</v>
      </c>
      <c r="E58" s="104">
        <f t="shared" si="20"/>
        <v>122.70000000001164</v>
      </c>
      <c r="F58" s="110">
        <v>29878.48</v>
      </c>
      <c r="G58" s="111">
        <v>227</v>
      </c>
      <c r="H58" s="10">
        <f t="shared" si="21"/>
        <v>0.54052863436128473</v>
      </c>
      <c r="I58" s="35">
        <v>334801.90000000002</v>
      </c>
      <c r="J58" s="106">
        <f t="shared" si="22"/>
        <v>91.5</v>
      </c>
      <c r="K58" s="110">
        <v>29899.13</v>
      </c>
      <c r="L58" s="107">
        <f t="shared" si="23"/>
        <v>20.650000000001455</v>
      </c>
      <c r="M58" s="112">
        <v>145</v>
      </c>
      <c r="N58" s="28">
        <f t="shared" si="24"/>
        <v>0.63103448275862073</v>
      </c>
      <c r="O58" s="84">
        <f t="shared" si="25"/>
        <v>214.20000000001164</v>
      </c>
      <c r="P58" s="79">
        <f t="shared" si="26"/>
        <v>372</v>
      </c>
      <c r="Q58" s="34">
        <f t="shared" si="27"/>
        <v>0.57580645161293453</v>
      </c>
      <c r="R58" s="1">
        <v>44</v>
      </c>
    </row>
    <row r="59" spans="1:27" ht="24" customHeight="1">
      <c r="A59" s="81">
        <v>9</v>
      </c>
      <c r="B59" s="31" t="s">
        <v>54</v>
      </c>
      <c r="C59" s="104">
        <v>293289.5</v>
      </c>
      <c r="D59" s="104">
        <v>293403</v>
      </c>
      <c r="E59" s="104">
        <f t="shared" si="20"/>
        <v>113.5</v>
      </c>
      <c r="F59" s="110">
        <v>28098.54</v>
      </c>
      <c r="G59" s="111">
        <v>205</v>
      </c>
      <c r="H59" s="10">
        <f t="shared" si="21"/>
        <v>0.5536585365853659</v>
      </c>
      <c r="I59" s="104">
        <v>293492.8</v>
      </c>
      <c r="J59" s="106">
        <f>I59-D59</f>
        <v>89.799999999988358</v>
      </c>
      <c r="K59" s="110">
        <v>28118.17</v>
      </c>
      <c r="L59" s="107">
        <f t="shared" si="23"/>
        <v>19.629999999997381</v>
      </c>
      <c r="M59" s="111">
        <v>158</v>
      </c>
      <c r="N59" s="28">
        <f t="shared" si="24"/>
        <v>0.56835443037967315</v>
      </c>
      <c r="O59" s="84">
        <f t="shared" si="25"/>
        <v>203.29999999998836</v>
      </c>
      <c r="P59" s="79">
        <f t="shared" si="26"/>
        <v>363</v>
      </c>
      <c r="Q59" s="34">
        <f t="shared" si="27"/>
        <v>0.56005509641870066</v>
      </c>
      <c r="R59" s="1">
        <v>50</v>
      </c>
      <c r="AA59" s="101"/>
    </row>
    <row r="60" spans="1:27" ht="24" customHeight="1">
      <c r="A60" s="81">
        <v>10</v>
      </c>
      <c r="B60" s="31" t="s">
        <v>55</v>
      </c>
      <c r="C60" s="104">
        <v>298907.40000000002</v>
      </c>
      <c r="D60" s="104">
        <v>298907.40000000002</v>
      </c>
      <c r="E60" s="104">
        <f t="shared" si="20"/>
        <v>0</v>
      </c>
      <c r="F60" s="110">
        <v>27086</v>
      </c>
      <c r="G60" s="111">
        <v>0</v>
      </c>
      <c r="H60" s="10">
        <f t="shared" si="21"/>
        <v>0</v>
      </c>
      <c r="I60" s="104">
        <v>298907.40000000002</v>
      </c>
      <c r="J60" s="106">
        <f>I60-D60</f>
        <v>0</v>
      </c>
      <c r="K60" s="110">
        <v>27086</v>
      </c>
      <c r="L60" s="107">
        <f t="shared" si="23"/>
        <v>0</v>
      </c>
      <c r="M60" s="111">
        <v>0</v>
      </c>
      <c r="N60" s="28">
        <f t="shared" si="24"/>
        <v>0</v>
      </c>
      <c r="O60" s="84">
        <f t="shared" si="25"/>
        <v>0</v>
      </c>
      <c r="P60" s="79">
        <f t="shared" si="26"/>
        <v>0</v>
      </c>
      <c r="Q60" s="34">
        <f t="shared" si="27"/>
        <v>0</v>
      </c>
      <c r="R60" s="1">
        <v>0</v>
      </c>
      <c r="AA60" s="101"/>
    </row>
    <row r="61" spans="1:27" ht="24" customHeight="1">
      <c r="A61" s="81">
        <v>11</v>
      </c>
      <c r="B61" s="31" t="s">
        <v>56</v>
      </c>
      <c r="C61" s="104">
        <v>341236.8</v>
      </c>
      <c r="D61" s="104">
        <v>341236.8</v>
      </c>
      <c r="E61" s="104">
        <f t="shared" si="20"/>
        <v>0</v>
      </c>
      <c r="F61" s="110">
        <v>26966.39</v>
      </c>
      <c r="G61" s="111">
        <v>0</v>
      </c>
      <c r="H61" s="10">
        <f t="shared" si="21"/>
        <v>0</v>
      </c>
      <c r="I61" s="104">
        <v>341292.3</v>
      </c>
      <c r="J61" s="106">
        <f>I61-D61</f>
        <v>55.5</v>
      </c>
      <c r="K61" s="110">
        <v>26974.29</v>
      </c>
      <c r="L61" s="107">
        <f t="shared" si="23"/>
        <v>7.9000000000014552</v>
      </c>
      <c r="M61" s="111">
        <v>97</v>
      </c>
      <c r="N61" s="28">
        <f t="shared" si="24"/>
        <v>0.57216494845360821</v>
      </c>
      <c r="O61" s="84">
        <f t="shared" si="25"/>
        <v>55.5</v>
      </c>
      <c r="P61" s="79">
        <f t="shared" si="26"/>
        <v>97</v>
      </c>
      <c r="Q61" s="34">
        <f t="shared" si="27"/>
        <v>0.57216494845360821</v>
      </c>
      <c r="R61" s="1">
        <v>51</v>
      </c>
      <c r="AA61" s="101"/>
    </row>
    <row r="62" spans="1:27" ht="24" customHeight="1">
      <c r="A62" s="81">
        <v>12</v>
      </c>
      <c r="B62" s="31" t="s">
        <v>57</v>
      </c>
      <c r="C62" s="104">
        <v>344348.6</v>
      </c>
      <c r="D62" s="104">
        <v>344529.9</v>
      </c>
      <c r="E62" s="104">
        <f t="shared" si="20"/>
        <v>181.30000000004657</v>
      </c>
      <c r="F62" s="110">
        <v>26776.16</v>
      </c>
      <c r="G62" s="111">
        <v>200.34</v>
      </c>
      <c r="H62" s="10">
        <f t="shared" si="21"/>
        <v>0.90496156533915628</v>
      </c>
      <c r="I62" s="104">
        <v>344529.9</v>
      </c>
      <c r="J62" s="106">
        <f>I62-D62</f>
        <v>0</v>
      </c>
      <c r="K62" s="110">
        <v>26788</v>
      </c>
      <c r="L62" s="107">
        <f t="shared" si="23"/>
        <v>11.840000000000146</v>
      </c>
      <c r="M62" s="111">
        <v>0</v>
      </c>
      <c r="N62" s="28">
        <f t="shared" si="24"/>
        <v>0</v>
      </c>
      <c r="O62" s="84">
        <f t="shared" si="25"/>
        <v>181.30000000004657</v>
      </c>
      <c r="P62" s="79">
        <f t="shared" si="26"/>
        <v>200.34</v>
      </c>
      <c r="Q62" s="34">
        <f t="shared" si="27"/>
        <v>0.90496156533915628</v>
      </c>
      <c r="R62" s="1">
        <v>48</v>
      </c>
      <c r="AA62" s="101"/>
    </row>
    <row r="63" spans="1:27" ht="24" customHeight="1">
      <c r="A63" s="81">
        <v>13</v>
      </c>
      <c r="B63" s="31" t="s">
        <v>58</v>
      </c>
      <c r="C63" s="35">
        <v>300964</v>
      </c>
      <c r="D63" s="35">
        <v>301011.90000000002</v>
      </c>
      <c r="E63" s="104">
        <f t="shared" si="20"/>
        <v>47.900000000023283</v>
      </c>
      <c r="F63" s="110">
        <v>26746.13</v>
      </c>
      <c r="G63" s="111">
        <v>81</v>
      </c>
      <c r="H63" s="10">
        <f t="shared" si="21"/>
        <v>0.59135802469164545</v>
      </c>
      <c r="I63" s="35">
        <v>301067.5</v>
      </c>
      <c r="J63" s="106">
        <f t="shared" si="22"/>
        <v>55.599999999976717</v>
      </c>
      <c r="K63" s="110">
        <v>26760.07</v>
      </c>
      <c r="L63" s="107">
        <f t="shared" si="23"/>
        <v>13.93999999999869</v>
      </c>
      <c r="M63" s="112">
        <v>78</v>
      </c>
      <c r="N63" s="28">
        <f>IFERROR(J63/M63,0)</f>
        <v>0.7128205128202143</v>
      </c>
      <c r="O63" s="84">
        <f t="shared" si="25"/>
        <v>103.5</v>
      </c>
      <c r="P63" s="79">
        <f t="shared" si="26"/>
        <v>159</v>
      </c>
      <c r="Q63" s="34">
        <f t="shared" si="27"/>
        <v>0.65094339622641506</v>
      </c>
      <c r="R63" s="1">
        <v>42</v>
      </c>
      <c r="U63" s="113"/>
    </row>
    <row r="64" spans="1:27" ht="24" customHeight="1">
      <c r="A64" s="81">
        <v>14</v>
      </c>
      <c r="B64" s="31" t="s">
        <v>59</v>
      </c>
      <c r="C64" s="35">
        <v>273168.2</v>
      </c>
      <c r="D64" s="35">
        <v>273227.59999999998</v>
      </c>
      <c r="E64" s="104">
        <f t="shared" si="20"/>
        <v>59.399999999965075</v>
      </c>
      <c r="F64" s="110">
        <v>25531.17</v>
      </c>
      <c r="G64" s="111">
        <v>110.67</v>
      </c>
      <c r="H64" s="10">
        <f t="shared" si="21"/>
        <v>0.53673082136048678</v>
      </c>
      <c r="I64" s="35">
        <v>273285.90000000002</v>
      </c>
      <c r="J64" s="106">
        <f>I64-D64</f>
        <v>58.300000000046566</v>
      </c>
      <c r="K64" s="110">
        <v>25549.07</v>
      </c>
      <c r="L64" s="107">
        <f t="shared" si="23"/>
        <v>17.900000000001455</v>
      </c>
      <c r="M64" s="111">
        <v>100</v>
      </c>
      <c r="N64" s="28">
        <f>IFERROR(J64/M64,0)</f>
        <v>0.5830000000004657</v>
      </c>
      <c r="O64" s="84">
        <f t="shared" si="25"/>
        <v>117.70000000001164</v>
      </c>
      <c r="P64" s="79">
        <f t="shared" si="26"/>
        <v>210.67000000000002</v>
      </c>
      <c r="Q64" s="34">
        <f t="shared" si="27"/>
        <v>0.55869369155556858</v>
      </c>
      <c r="R64" s="1">
        <v>30</v>
      </c>
      <c r="X64" t="s">
        <v>60</v>
      </c>
    </row>
    <row r="65" spans="1:18" ht="24" customHeight="1">
      <c r="A65" s="81">
        <v>15</v>
      </c>
      <c r="B65" s="31" t="s">
        <v>61</v>
      </c>
      <c r="C65" s="104">
        <v>286179.8</v>
      </c>
      <c r="D65" s="104">
        <v>286226.59999999998</v>
      </c>
      <c r="E65" s="104">
        <f t="shared" si="20"/>
        <v>46.799999999988358</v>
      </c>
      <c r="F65" s="110">
        <v>26707.21</v>
      </c>
      <c r="G65" s="111">
        <v>86.55</v>
      </c>
      <c r="H65" s="10">
        <f t="shared" si="21"/>
        <v>0.54072790294613937</v>
      </c>
      <c r="I65" s="104">
        <v>286300.09999999998</v>
      </c>
      <c r="J65" s="106">
        <f>I65-D65</f>
        <v>73.5</v>
      </c>
      <c r="K65" s="110">
        <v>26723.119999999999</v>
      </c>
      <c r="L65" s="107">
        <f t="shared" si="23"/>
        <v>15.909999999999854</v>
      </c>
      <c r="M65" s="112">
        <v>118</v>
      </c>
      <c r="N65" s="28">
        <f t="shared" si="24"/>
        <v>0.6228813559322034</v>
      </c>
      <c r="O65" s="84">
        <f t="shared" si="25"/>
        <v>120.29999999998836</v>
      </c>
      <c r="P65" s="79">
        <f t="shared" si="26"/>
        <v>204.55</v>
      </c>
      <c r="Q65" s="34">
        <f t="shared" si="27"/>
        <v>0.58812026399407646</v>
      </c>
      <c r="R65" s="1">
        <v>36</v>
      </c>
    </row>
    <row r="66" spans="1:18" ht="24" customHeight="1">
      <c r="A66" s="81">
        <v>16</v>
      </c>
      <c r="B66" s="31" t="s">
        <v>62</v>
      </c>
      <c r="C66" s="35">
        <v>304534.5</v>
      </c>
      <c r="D66" s="35">
        <v>304534.5</v>
      </c>
      <c r="E66" s="104">
        <f t="shared" si="20"/>
        <v>0</v>
      </c>
      <c r="F66" s="110">
        <v>27396.53</v>
      </c>
      <c r="G66" s="111">
        <v>0</v>
      </c>
      <c r="H66" s="10">
        <f t="shared" si="21"/>
        <v>0</v>
      </c>
      <c r="I66" s="35">
        <v>304591</v>
      </c>
      <c r="J66" s="106">
        <f t="shared" si="22"/>
        <v>56.5</v>
      </c>
      <c r="K66" s="110">
        <v>27407.27</v>
      </c>
      <c r="L66" s="107">
        <f t="shared" si="23"/>
        <v>10.740000000001601</v>
      </c>
      <c r="M66" s="112">
        <v>114</v>
      </c>
      <c r="N66" s="28">
        <f t="shared" si="24"/>
        <v>0.49561403508771928</v>
      </c>
      <c r="O66" s="84">
        <f t="shared" si="25"/>
        <v>56.5</v>
      </c>
      <c r="P66" s="79">
        <f t="shared" si="26"/>
        <v>114</v>
      </c>
      <c r="Q66" s="34">
        <f t="shared" si="27"/>
        <v>0.49561403508771928</v>
      </c>
      <c r="R66" s="1">
        <v>0</v>
      </c>
    </row>
    <row r="67" spans="1:18" ht="24" customHeight="1">
      <c r="A67" s="81">
        <v>17</v>
      </c>
      <c r="B67" s="31" t="s">
        <v>158</v>
      </c>
      <c r="C67" s="17">
        <v>275636</v>
      </c>
      <c r="D67" s="17">
        <v>275764</v>
      </c>
      <c r="E67" s="104">
        <f t="shared" si="20"/>
        <v>128</v>
      </c>
      <c r="F67" s="110">
        <v>25137</v>
      </c>
      <c r="G67" s="111">
        <v>208</v>
      </c>
      <c r="H67" s="10">
        <f t="shared" si="21"/>
        <v>0.61538461538461542</v>
      </c>
      <c r="I67" s="17">
        <v>275840</v>
      </c>
      <c r="J67" s="106">
        <f t="shared" si="22"/>
        <v>76</v>
      </c>
      <c r="K67" s="110">
        <v>25160</v>
      </c>
      <c r="L67" s="107">
        <f t="shared" si="23"/>
        <v>23</v>
      </c>
      <c r="M67" s="111">
        <v>112</v>
      </c>
      <c r="N67" s="28">
        <f t="shared" si="24"/>
        <v>0.6785714285714286</v>
      </c>
      <c r="O67" s="84">
        <f t="shared" si="25"/>
        <v>204</v>
      </c>
      <c r="P67" s="79">
        <f t="shared" si="26"/>
        <v>320</v>
      </c>
      <c r="Q67" s="34">
        <f t="shared" si="27"/>
        <v>0.63749999999999996</v>
      </c>
      <c r="R67" s="1">
        <v>57</v>
      </c>
    </row>
    <row r="68" spans="1:18" ht="24" customHeight="1">
      <c r="A68" s="81">
        <v>18</v>
      </c>
      <c r="B68" s="31" t="s">
        <v>159</v>
      </c>
      <c r="C68" s="17">
        <v>278992</v>
      </c>
      <c r="D68" s="17">
        <v>279142</v>
      </c>
      <c r="E68" s="104">
        <f t="shared" si="20"/>
        <v>150</v>
      </c>
      <c r="F68" s="110">
        <v>25995</v>
      </c>
      <c r="G68" s="111">
        <v>214</v>
      </c>
      <c r="H68" s="10">
        <f t="shared" si="21"/>
        <v>0.7009345794392523</v>
      </c>
      <c r="I68" s="17">
        <v>279225</v>
      </c>
      <c r="J68" s="106">
        <f t="shared" si="22"/>
        <v>83</v>
      </c>
      <c r="K68" s="110">
        <v>26015</v>
      </c>
      <c r="L68" s="107">
        <f t="shared" si="23"/>
        <v>20</v>
      </c>
      <c r="M68" s="111">
        <v>134</v>
      </c>
      <c r="N68" s="28">
        <f t="shared" si="24"/>
        <v>0.61940298507462688</v>
      </c>
      <c r="O68" s="84">
        <f t="shared" si="25"/>
        <v>233</v>
      </c>
      <c r="P68" s="79">
        <f t="shared" si="26"/>
        <v>348</v>
      </c>
      <c r="Q68" s="34">
        <f t="shared" si="27"/>
        <v>0.66954022988505746</v>
      </c>
      <c r="R68" s="1">
        <v>42</v>
      </c>
    </row>
    <row r="69" spans="1:18" ht="24" customHeight="1">
      <c r="A69" s="81">
        <v>19</v>
      </c>
      <c r="B69" s="31" t="s">
        <v>160</v>
      </c>
      <c r="C69" s="17">
        <v>306071</v>
      </c>
      <c r="D69" s="17">
        <v>306161</v>
      </c>
      <c r="E69" s="104">
        <f t="shared" si="20"/>
        <v>90</v>
      </c>
      <c r="F69" s="110">
        <v>25180</v>
      </c>
      <c r="G69" s="111">
        <v>129</v>
      </c>
      <c r="H69" s="10">
        <f t="shared" si="21"/>
        <v>0.69767441860465118</v>
      </c>
      <c r="I69" s="17">
        <v>306234</v>
      </c>
      <c r="J69" s="106">
        <f t="shared" si="22"/>
        <v>73</v>
      </c>
      <c r="K69" s="110">
        <v>25199</v>
      </c>
      <c r="L69" s="107">
        <f t="shared" si="23"/>
        <v>19</v>
      </c>
      <c r="M69" s="111">
        <v>114</v>
      </c>
      <c r="N69" s="28">
        <f t="shared" si="24"/>
        <v>0.64035087719298245</v>
      </c>
      <c r="O69" s="84">
        <f t="shared" si="25"/>
        <v>163</v>
      </c>
      <c r="P69" s="79">
        <f t="shared" si="26"/>
        <v>243</v>
      </c>
      <c r="Q69" s="34">
        <f t="shared" si="27"/>
        <v>0.67078189300411528</v>
      </c>
      <c r="R69" s="1">
        <v>58</v>
      </c>
    </row>
    <row r="70" spans="1:18" ht="24" customHeight="1">
      <c r="A70" s="81">
        <v>20</v>
      </c>
      <c r="B70" s="31" t="s">
        <v>161</v>
      </c>
      <c r="C70" s="17">
        <v>305286</v>
      </c>
      <c r="D70" s="17">
        <v>305415</v>
      </c>
      <c r="E70" s="104">
        <f t="shared" si="20"/>
        <v>129</v>
      </c>
      <c r="F70" s="110">
        <v>25507</v>
      </c>
      <c r="G70" s="116">
        <v>212</v>
      </c>
      <c r="H70" s="10">
        <f t="shared" si="21"/>
        <v>0.60849056603773588</v>
      </c>
      <c r="I70" s="17">
        <v>305470</v>
      </c>
      <c r="J70" s="106">
        <f t="shared" si="22"/>
        <v>55</v>
      </c>
      <c r="K70" s="110">
        <v>25528</v>
      </c>
      <c r="L70" s="107">
        <f t="shared" si="23"/>
        <v>21</v>
      </c>
      <c r="M70" s="111">
        <v>106</v>
      </c>
      <c r="N70" s="28">
        <f t="shared" si="24"/>
        <v>0.51886792452830188</v>
      </c>
      <c r="O70" s="84">
        <f t="shared" si="25"/>
        <v>184</v>
      </c>
      <c r="P70" s="79">
        <f t="shared" si="26"/>
        <v>318</v>
      </c>
      <c r="Q70" s="34">
        <f t="shared" si="27"/>
        <v>0.57861635220125784</v>
      </c>
      <c r="R70" s="1">
        <v>44</v>
      </c>
    </row>
    <row r="71" spans="1:18" ht="24" customHeight="1">
      <c r="A71" s="81">
        <v>21</v>
      </c>
      <c r="B71" s="31" t="s">
        <v>162</v>
      </c>
      <c r="C71" s="17">
        <v>322005</v>
      </c>
      <c r="D71" s="17">
        <v>322082</v>
      </c>
      <c r="E71" s="104">
        <f t="shared" si="20"/>
        <v>77</v>
      </c>
      <c r="F71" s="110">
        <v>26708</v>
      </c>
      <c r="G71" s="111">
        <v>139.65</v>
      </c>
      <c r="H71" s="10">
        <f t="shared" si="21"/>
        <v>0.55137844611528819</v>
      </c>
      <c r="I71" s="17">
        <v>322170</v>
      </c>
      <c r="J71" s="106">
        <f t="shared" si="22"/>
        <v>88</v>
      </c>
      <c r="K71" s="110">
        <v>26727</v>
      </c>
      <c r="L71" s="107">
        <f t="shared" si="23"/>
        <v>19</v>
      </c>
      <c r="M71" s="111">
        <v>138</v>
      </c>
      <c r="N71" s="28">
        <f t="shared" si="24"/>
        <v>0.6376811594202898</v>
      </c>
      <c r="O71" s="84">
        <f t="shared" si="25"/>
        <v>165</v>
      </c>
      <c r="P71" s="79">
        <f t="shared" si="26"/>
        <v>277.64999999999998</v>
      </c>
      <c r="Q71" s="34">
        <f t="shared" si="27"/>
        <v>0.59427336574824419</v>
      </c>
      <c r="R71" s="1">
        <v>40</v>
      </c>
    </row>
    <row r="72" spans="1:18" ht="24" customHeight="1">
      <c r="A72" s="81">
        <v>22</v>
      </c>
      <c r="B72" s="31" t="s">
        <v>68</v>
      </c>
      <c r="C72" s="17">
        <v>277410.40000000002</v>
      </c>
      <c r="D72" s="17">
        <v>277545.7</v>
      </c>
      <c r="E72" s="104">
        <f t="shared" si="20"/>
        <v>135.29999999998836</v>
      </c>
      <c r="F72" s="110">
        <v>22526</v>
      </c>
      <c r="G72" s="111">
        <v>222.88</v>
      </c>
      <c r="H72" s="10">
        <f t="shared" si="21"/>
        <v>0.60705312275658807</v>
      </c>
      <c r="I72" s="17">
        <v>277692.7</v>
      </c>
      <c r="J72" s="106">
        <f t="shared" si="22"/>
        <v>147</v>
      </c>
      <c r="K72" s="110">
        <v>22548</v>
      </c>
      <c r="L72" s="107">
        <f t="shared" si="23"/>
        <v>22</v>
      </c>
      <c r="M72" s="112">
        <v>238</v>
      </c>
      <c r="N72" s="28">
        <f t="shared" si="24"/>
        <v>0.61764705882352944</v>
      </c>
      <c r="O72" s="84">
        <f t="shared" si="25"/>
        <v>282.29999999998836</v>
      </c>
      <c r="P72" s="79">
        <f t="shared" si="26"/>
        <v>460.88</v>
      </c>
      <c r="Q72" s="34">
        <f t="shared" si="27"/>
        <v>0.61252386738410947</v>
      </c>
      <c r="R72" s="1">
        <v>49</v>
      </c>
    </row>
    <row r="73" spans="1:18" ht="24" customHeight="1">
      <c r="A73" s="81">
        <v>23</v>
      </c>
      <c r="B73" s="31" t="s">
        <v>69</v>
      </c>
      <c r="C73" s="17">
        <v>259424.9</v>
      </c>
      <c r="D73" s="17">
        <v>259584.1</v>
      </c>
      <c r="E73" s="104">
        <f t="shared" si="20"/>
        <v>159.20000000001164</v>
      </c>
      <c r="F73" s="110">
        <v>19884</v>
      </c>
      <c r="G73" s="111">
        <v>201</v>
      </c>
      <c r="H73" s="10">
        <f t="shared" si="21"/>
        <v>0.79203980099508275</v>
      </c>
      <c r="I73" s="17">
        <v>259690.4</v>
      </c>
      <c r="J73" s="106">
        <f t="shared" si="22"/>
        <v>106.29999999998836</v>
      </c>
      <c r="K73" s="110">
        <v>19905</v>
      </c>
      <c r="L73" s="107">
        <f t="shared" si="23"/>
        <v>21</v>
      </c>
      <c r="M73" s="112">
        <v>133</v>
      </c>
      <c r="N73" s="28">
        <f t="shared" si="24"/>
        <v>0.79924812030066439</v>
      </c>
      <c r="O73" s="84">
        <f t="shared" si="25"/>
        <v>265.5</v>
      </c>
      <c r="P73" s="79">
        <f t="shared" si="26"/>
        <v>334</v>
      </c>
      <c r="Q73" s="34">
        <f t="shared" si="27"/>
        <v>0.79491017964071853</v>
      </c>
      <c r="R73" s="1">
        <v>55</v>
      </c>
    </row>
    <row r="74" spans="1:18" ht="24" customHeight="1">
      <c r="A74" s="81">
        <v>24</v>
      </c>
      <c r="B74" s="31" t="s">
        <v>70</v>
      </c>
      <c r="C74" s="104">
        <v>303917.3</v>
      </c>
      <c r="D74" s="104">
        <v>303917.3</v>
      </c>
      <c r="E74" s="104">
        <f t="shared" si="20"/>
        <v>0</v>
      </c>
      <c r="F74" s="110">
        <v>5068</v>
      </c>
      <c r="G74" s="111">
        <v>0</v>
      </c>
      <c r="H74" s="10">
        <f t="shared" si="21"/>
        <v>0</v>
      </c>
      <c r="I74" s="104">
        <v>304102.2</v>
      </c>
      <c r="J74" s="106">
        <f t="shared" si="22"/>
        <v>184.90000000002328</v>
      </c>
      <c r="K74" s="110">
        <v>5084</v>
      </c>
      <c r="L74" s="107">
        <f t="shared" si="23"/>
        <v>16</v>
      </c>
      <c r="M74" s="111">
        <v>219.03</v>
      </c>
      <c r="N74" s="28">
        <f t="shared" si="24"/>
        <v>0.84417659681332824</v>
      </c>
      <c r="O74" s="84">
        <f t="shared" si="25"/>
        <v>184.90000000002328</v>
      </c>
      <c r="P74" s="79">
        <f t="shared" si="26"/>
        <v>219.03</v>
      </c>
      <c r="Q74" s="34">
        <f t="shared" si="27"/>
        <v>0.84417659681332824</v>
      </c>
      <c r="R74" s="1">
        <v>12</v>
      </c>
    </row>
    <row r="75" spans="1:18" ht="24" customHeight="1">
      <c r="A75" s="81">
        <v>25</v>
      </c>
      <c r="B75" s="31" t="s">
        <v>71</v>
      </c>
      <c r="C75" s="35">
        <v>313977.8</v>
      </c>
      <c r="D75" s="35">
        <v>314127.2</v>
      </c>
      <c r="E75" s="104">
        <f t="shared" si="20"/>
        <v>149.40000000002328</v>
      </c>
      <c r="F75" s="110">
        <v>22972</v>
      </c>
      <c r="G75" s="111">
        <v>236</v>
      </c>
      <c r="H75" s="10">
        <f t="shared" si="21"/>
        <v>0.63305084745772577</v>
      </c>
      <c r="I75" s="35">
        <v>314241</v>
      </c>
      <c r="J75" s="106">
        <f t="shared" si="22"/>
        <v>113.79999999998836</v>
      </c>
      <c r="K75" s="110">
        <v>22992</v>
      </c>
      <c r="L75" s="107">
        <f t="shared" si="23"/>
        <v>20</v>
      </c>
      <c r="M75" s="111">
        <v>176</v>
      </c>
      <c r="N75" s="28">
        <f>IFERROR(J75/M75,0)</f>
        <v>0.64659090909084294</v>
      </c>
      <c r="O75" s="84">
        <f t="shared" si="25"/>
        <v>263.20000000001164</v>
      </c>
      <c r="P75" s="79">
        <f>G75+M75</f>
        <v>412</v>
      </c>
      <c r="Q75" s="34">
        <f t="shared" si="27"/>
        <v>0.63883495145633895</v>
      </c>
      <c r="R75" s="1">
        <v>17</v>
      </c>
    </row>
    <row r="76" spans="1:18" ht="24" customHeight="1">
      <c r="A76" s="81">
        <v>26</v>
      </c>
      <c r="B76" s="31" t="s">
        <v>72</v>
      </c>
      <c r="C76" s="35">
        <v>284616.2</v>
      </c>
      <c r="D76" s="35">
        <v>284692.5</v>
      </c>
      <c r="E76" s="104">
        <f t="shared" si="20"/>
        <v>76.299999999988358</v>
      </c>
      <c r="F76" s="110">
        <v>20591</v>
      </c>
      <c r="G76" s="111">
        <v>123</v>
      </c>
      <c r="H76" s="10">
        <f t="shared" si="21"/>
        <v>0.62032520325193785</v>
      </c>
      <c r="I76" s="35">
        <v>284692.5</v>
      </c>
      <c r="J76" s="106">
        <f t="shared" si="22"/>
        <v>0</v>
      </c>
      <c r="K76" s="110">
        <v>20598</v>
      </c>
      <c r="L76" s="107">
        <f t="shared" si="23"/>
        <v>7</v>
      </c>
      <c r="M76" s="112">
        <v>0</v>
      </c>
      <c r="N76" s="28">
        <f t="shared" si="24"/>
        <v>0</v>
      </c>
      <c r="O76" s="84">
        <f t="shared" si="25"/>
        <v>76.299999999988358</v>
      </c>
      <c r="P76" s="79">
        <f t="shared" si="26"/>
        <v>123</v>
      </c>
      <c r="Q76" s="34">
        <f t="shared" si="27"/>
        <v>0.62032520325193785</v>
      </c>
      <c r="R76" s="1">
        <v>18</v>
      </c>
    </row>
    <row r="77" spans="1:18" ht="24" customHeight="1">
      <c r="A77" s="81">
        <v>27</v>
      </c>
      <c r="B77" s="31" t="s">
        <v>73</v>
      </c>
      <c r="C77" s="104">
        <v>312826.3</v>
      </c>
      <c r="D77" s="104">
        <v>312917.40000000002</v>
      </c>
      <c r="E77" s="104">
        <f t="shared" si="20"/>
        <v>91.100000000034925</v>
      </c>
      <c r="F77" s="110">
        <v>22719</v>
      </c>
      <c r="G77" s="111">
        <v>152</v>
      </c>
      <c r="H77" s="10">
        <f t="shared" si="21"/>
        <v>0.59934210526338771</v>
      </c>
      <c r="I77" s="104">
        <v>313029.8</v>
      </c>
      <c r="J77" s="106">
        <f t="shared" si="22"/>
        <v>112.39999999996508</v>
      </c>
      <c r="K77" s="110">
        <v>22737</v>
      </c>
      <c r="L77" s="107">
        <f t="shared" si="23"/>
        <v>18</v>
      </c>
      <c r="M77" s="112">
        <v>168</v>
      </c>
      <c r="N77" s="28">
        <f t="shared" si="24"/>
        <v>0.66904761904741117</v>
      </c>
      <c r="O77" s="84">
        <f t="shared" si="25"/>
        <v>203.5</v>
      </c>
      <c r="P77" s="79">
        <f t="shared" si="26"/>
        <v>320</v>
      </c>
      <c r="Q77" s="34">
        <f t="shared" si="27"/>
        <v>0.63593750000000004</v>
      </c>
      <c r="R77" s="1">
        <v>48</v>
      </c>
    </row>
    <row r="78" spans="1:18" ht="24" customHeight="1">
      <c r="A78" s="81">
        <v>28</v>
      </c>
      <c r="B78" s="31" t="s">
        <v>74</v>
      </c>
      <c r="C78" s="35">
        <v>283028.90000000002</v>
      </c>
      <c r="D78" s="35">
        <v>283121.40000000002</v>
      </c>
      <c r="E78" s="104">
        <f t="shared" si="20"/>
        <v>92.5</v>
      </c>
      <c r="F78" s="110">
        <v>4238</v>
      </c>
      <c r="G78" s="111">
        <v>155</v>
      </c>
      <c r="H78" s="10">
        <f t="shared" si="21"/>
        <v>0.59677419354838712</v>
      </c>
      <c r="I78" s="35">
        <v>283203.59999999998</v>
      </c>
      <c r="J78" s="106">
        <f t="shared" si="22"/>
        <v>82.199999999953434</v>
      </c>
      <c r="K78" s="110">
        <v>4256</v>
      </c>
      <c r="L78" s="107">
        <f>K78-F78</f>
        <v>18</v>
      </c>
      <c r="M78" s="111">
        <v>105</v>
      </c>
      <c r="N78" s="28">
        <f t="shared" si="24"/>
        <v>0.78285714285669938</v>
      </c>
      <c r="O78" s="84">
        <f t="shared" si="25"/>
        <v>174.69999999995343</v>
      </c>
      <c r="P78" s="79">
        <f t="shared" si="26"/>
        <v>260</v>
      </c>
      <c r="Q78" s="34">
        <f t="shared" si="27"/>
        <v>0.67192307692289788</v>
      </c>
      <c r="R78" s="1">
        <v>45</v>
      </c>
    </row>
    <row r="79" spans="1:18" ht="24" customHeight="1">
      <c r="A79" s="81">
        <v>29</v>
      </c>
      <c r="B79" s="31" t="s">
        <v>75</v>
      </c>
      <c r="C79" s="104">
        <v>300894.8</v>
      </c>
      <c r="D79" s="104">
        <v>300982.59999999998</v>
      </c>
      <c r="E79" s="104">
        <f t="shared" si="20"/>
        <v>87.799999999988358</v>
      </c>
      <c r="F79" s="110">
        <v>21664</v>
      </c>
      <c r="G79" s="111">
        <v>132</v>
      </c>
      <c r="H79" s="10">
        <f t="shared" si="21"/>
        <v>0.66515151515142701</v>
      </c>
      <c r="I79" s="104">
        <v>301030.7</v>
      </c>
      <c r="J79" s="106">
        <f t="shared" si="22"/>
        <v>48.100000000034925</v>
      </c>
      <c r="K79" s="110">
        <v>21684</v>
      </c>
      <c r="L79" s="107">
        <f t="shared" si="23"/>
        <v>20</v>
      </c>
      <c r="M79" s="112">
        <v>78</v>
      </c>
      <c r="N79" s="28">
        <f t="shared" si="24"/>
        <v>0.61666666666711445</v>
      </c>
      <c r="O79" s="84">
        <f t="shared" si="25"/>
        <v>135.90000000002328</v>
      </c>
      <c r="P79" s="79">
        <f t="shared" si="26"/>
        <v>210</v>
      </c>
      <c r="Q79" s="34">
        <f t="shared" si="27"/>
        <v>0.64714285714296804</v>
      </c>
      <c r="R79" s="1">
        <v>53</v>
      </c>
    </row>
    <row r="80" spans="1:18" ht="24" customHeight="1">
      <c r="A80" s="81">
        <v>30</v>
      </c>
      <c r="B80" s="31" t="s">
        <v>76</v>
      </c>
      <c r="C80" s="104">
        <v>265565.59999999998</v>
      </c>
      <c r="D80" s="104">
        <v>265653.7</v>
      </c>
      <c r="E80" s="104">
        <f t="shared" si="20"/>
        <v>88.100000000034925</v>
      </c>
      <c r="F80" s="110">
        <v>19611</v>
      </c>
      <c r="G80" s="111">
        <v>147.29</v>
      </c>
      <c r="H80" s="10">
        <f t="shared" si="21"/>
        <v>0.59813972435355378</v>
      </c>
      <c r="I80" s="104">
        <v>265711.5</v>
      </c>
      <c r="J80" s="106">
        <f t="shared" si="22"/>
        <v>57.799999999988358</v>
      </c>
      <c r="K80" s="110">
        <v>19632</v>
      </c>
      <c r="L80" s="107">
        <f t="shared" si="23"/>
        <v>21</v>
      </c>
      <c r="M80" s="111">
        <v>92</v>
      </c>
      <c r="N80" s="28">
        <f t="shared" si="24"/>
        <v>0.62826086956509086</v>
      </c>
      <c r="O80" s="84">
        <f t="shared" si="25"/>
        <v>145.90000000002328</v>
      </c>
      <c r="P80" s="79">
        <f t="shared" si="26"/>
        <v>239.29</v>
      </c>
      <c r="Q80" s="34">
        <f t="shared" si="27"/>
        <v>0.60972042291789585</v>
      </c>
      <c r="R80" s="1">
        <v>54</v>
      </c>
    </row>
    <row r="81" spans="1:18" ht="24" customHeight="1">
      <c r="A81" s="81">
        <v>31</v>
      </c>
      <c r="B81" s="31" t="s">
        <v>77</v>
      </c>
      <c r="C81" s="83">
        <v>263409.3</v>
      </c>
      <c r="D81" s="83">
        <v>263483.40000000002</v>
      </c>
      <c r="E81" s="104">
        <f t="shared" si="20"/>
        <v>74.100000000034925</v>
      </c>
      <c r="F81" s="110">
        <v>19297</v>
      </c>
      <c r="G81" s="111">
        <v>121.3</v>
      </c>
      <c r="H81" s="10">
        <f t="shared" si="21"/>
        <v>0.61088211047019725</v>
      </c>
      <c r="I81" s="83">
        <v>263558</v>
      </c>
      <c r="J81" s="106">
        <f t="shared" si="22"/>
        <v>74.599999999976717</v>
      </c>
      <c r="K81" s="110">
        <v>19315</v>
      </c>
      <c r="L81" s="107">
        <f>K81-F81</f>
        <v>18</v>
      </c>
      <c r="M81" s="111">
        <v>130</v>
      </c>
      <c r="N81" s="28">
        <f t="shared" si="24"/>
        <v>0.5738461538459747</v>
      </c>
      <c r="O81" s="84">
        <f t="shared" si="25"/>
        <v>148.70000000001164</v>
      </c>
      <c r="P81" s="79">
        <f t="shared" si="26"/>
        <v>251.3</v>
      </c>
      <c r="Q81" s="34">
        <f t="shared" si="27"/>
        <v>0.59172304019105304</v>
      </c>
      <c r="R81" s="1">
        <v>48</v>
      </c>
    </row>
    <row r="82" spans="1:18" ht="24" customHeight="1">
      <c r="A82" s="81">
        <v>32</v>
      </c>
      <c r="B82" s="31" t="s">
        <v>78</v>
      </c>
      <c r="C82" s="104">
        <v>289433.8</v>
      </c>
      <c r="D82" s="104">
        <v>289578.5</v>
      </c>
      <c r="E82" s="104">
        <f t="shared" si="20"/>
        <v>144.70000000001164</v>
      </c>
      <c r="F82" s="110">
        <v>20897</v>
      </c>
      <c r="G82" s="111">
        <v>180</v>
      </c>
      <c r="H82" s="10">
        <f t="shared" si="21"/>
        <v>0.8038888888889536</v>
      </c>
      <c r="I82" s="104">
        <v>289652</v>
      </c>
      <c r="J82" s="106">
        <f t="shared" si="22"/>
        <v>73.5</v>
      </c>
      <c r="K82" s="110">
        <v>20915</v>
      </c>
      <c r="L82" s="107">
        <f t="shared" si="23"/>
        <v>18</v>
      </c>
      <c r="M82" s="111">
        <v>96</v>
      </c>
      <c r="N82" s="28">
        <f t="shared" si="24"/>
        <v>0.765625</v>
      </c>
      <c r="O82" s="84">
        <f t="shared" si="25"/>
        <v>218.20000000001164</v>
      </c>
      <c r="P82" s="79">
        <f t="shared" si="26"/>
        <v>276</v>
      </c>
      <c r="Q82" s="34">
        <f t="shared" si="27"/>
        <v>0.79057971014496975</v>
      </c>
      <c r="R82" s="1">
        <v>48</v>
      </c>
    </row>
    <row r="83" spans="1:18" ht="24" customHeight="1">
      <c r="A83" s="81">
        <v>33</v>
      </c>
      <c r="B83" s="31" t="s">
        <v>79</v>
      </c>
      <c r="C83" s="104">
        <v>304105.40000000002</v>
      </c>
      <c r="D83" s="104">
        <v>304250.7</v>
      </c>
      <c r="E83" s="104">
        <f t="shared" si="20"/>
        <v>145.29999999998836</v>
      </c>
      <c r="F83" s="110">
        <v>21639</v>
      </c>
      <c r="G83" s="111">
        <v>226</v>
      </c>
      <c r="H83" s="10">
        <f t="shared" si="21"/>
        <v>0.64292035398224934</v>
      </c>
      <c r="I83" s="104">
        <v>304344.8</v>
      </c>
      <c r="J83" s="106">
        <f t="shared" si="22"/>
        <v>94.099999999976717</v>
      </c>
      <c r="K83" s="110">
        <v>21661</v>
      </c>
      <c r="L83" s="107">
        <f t="shared" si="23"/>
        <v>22</v>
      </c>
      <c r="M83" s="111">
        <v>150</v>
      </c>
      <c r="N83" s="28">
        <f t="shared" si="24"/>
        <v>0.62733333333317809</v>
      </c>
      <c r="O83" s="84">
        <f t="shared" si="25"/>
        <v>239.39999999996508</v>
      </c>
      <c r="P83" s="79">
        <f t="shared" si="26"/>
        <v>376</v>
      </c>
      <c r="Q83" s="34">
        <f t="shared" si="27"/>
        <v>0.63670212765948153</v>
      </c>
      <c r="R83" s="1">
        <v>50</v>
      </c>
    </row>
    <row r="84" spans="1:18" ht="24" customHeight="1">
      <c r="A84" s="81">
        <v>34</v>
      </c>
      <c r="B84" s="31" t="s">
        <v>163</v>
      </c>
      <c r="C84" s="104">
        <v>245151.4</v>
      </c>
      <c r="D84" s="104">
        <v>245327.1</v>
      </c>
      <c r="E84" s="104">
        <f t="shared" si="20"/>
        <v>175.70000000001164</v>
      </c>
      <c r="F84" s="110">
        <v>18309</v>
      </c>
      <c r="G84" s="111">
        <v>224</v>
      </c>
      <c r="H84" s="10">
        <f t="shared" si="21"/>
        <v>0.784375000000052</v>
      </c>
      <c r="I84" s="104">
        <v>245399.6</v>
      </c>
      <c r="J84" s="106">
        <f t="shared" si="22"/>
        <v>72.5</v>
      </c>
      <c r="K84" s="110">
        <v>18328</v>
      </c>
      <c r="L84" s="107">
        <f t="shared" si="23"/>
        <v>19</v>
      </c>
      <c r="M84" s="111">
        <v>107</v>
      </c>
      <c r="N84" s="28">
        <f t="shared" si="24"/>
        <v>0.67757009345794394</v>
      </c>
      <c r="O84" s="84">
        <f t="shared" si="25"/>
        <v>248.20000000001164</v>
      </c>
      <c r="P84" s="79">
        <f t="shared" si="26"/>
        <v>331</v>
      </c>
      <c r="Q84" s="34">
        <f t="shared" si="27"/>
        <v>0.74984894259822243</v>
      </c>
      <c r="R84" s="1">
        <v>29</v>
      </c>
    </row>
    <row r="85" spans="1:18" ht="24" customHeight="1">
      <c r="A85" s="81">
        <v>35</v>
      </c>
      <c r="B85" s="31" t="s">
        <v>164</v>
      </c>
      <c r="C85" s="104">
        <v>244764</v>
      </c>
      <c r="D85" s="104">
        <v>244854.1</v>
      </c>
      <c r="E85" s="104">
        <f t="shared" si="20"/>
        <v>90.100000000005821</v>
      </c>
      <c r="F85" s="110">
        <v>18288</v>
      </c>
      <c r="G85" s="111">
        <v>136</v>
      </c>
      <c r="H85" s="10">
        <f t="shared" si="21"/>
        <v>0.66250000000004283</v>
      </c>
      <c r="I85" s="104">
        <v>244959.1</v>
      </c>
      <c r="J85" s="106">
        <f t="shared" si="22"/>
        <v>105</v>
      </c>
      <c r="K85" s="110">
        <v>18308</v>
      </c>
      <c r="L85" s="107">
        <f t="shared" si="23"/>
        <v>20</v>
      </c>
      <c r="M85" s="111">
        <v>156</v>
      </c>
      <c r="N85" s="28">
        <f t="shared" si="24"/>
        <v>0.67307692307692313</v>
      </c>
      <c r="O85" s="84">
        <f t="shared" si="25"/>
        <v>195.10000000000582</v>
      </c>
      <c r="P85" s="79">
        <f t="shared" si="26"/>
        <v>292</v>
      </c>
      <c r="Q85" s="34">
        <f t="shared" si="27"/>
        <v>0.66815068493152674</v>
      </c>
      <c r="R85" s="1">
        <v>40</v>
      </c>
    </row>
    <row r="86" spans="1:18" ht="24" customHeight="1">
      <c r="A86" s="81">
        <v>36</v>
      </c>
      <c r="B86" s="31" t="s">
        <v>165</v>
      </c>
      <c r="C86" s="104">
        <v>251446.3</v>
      </c>
      <c r="D86" s="104">
        <v>251602.6</v>
      </c>
      <c r="E86" s="104">
        <f t="shared" si="20"/>
        <v>156.30000000001746</v>
      </c>
      <c r="F86" s="110">
        <v>17918</v>
      </c>
      <c r="G86" s="111">
        <v>204</v>
      </c>
      <c r="H86" s="10">
        <f t="shared" si="21"/>
        <v>0.76617647058832095</v>
      </c>
      <c r="I86" s="104">
        <v>251746.6</v>
      </c>
      <c r="J86" s="106">
        <f t="shared" si="22"/>
        <v>144</v>
      </c>
      <c r="K86" s="110">
        <v>17939</v>
      </c>
      <c r="L86" s="107">
        <f t="shared" si="23"/>
        <v>21</v>
      </c>
      <c r="M86" s="112">
        <v>172</v>
      </c>
      <c r="N86" s="28">
        <f t="shared" si="24"/>
        <v>0.83720930232558144</v>
      </c>
      <c r="O86" s="84">
        <f t="shared" si="25"/>
        <v>300.30000000001746</v>
      </c>
      <c r="P86" s="79">
        <f t="shared" si="26"/>
        <v>376</v>
      </c>
      <c r="Q86" s="34">
        <f t="shared" si="27"/>
        <v>0.79867021276600392</v>
      </c>
      <c r="R86" s="1">
        <v>44</v>
      </c>
    </row>
    <row r="87" spans="1:18" ht="24" customHeight="1">
      <c r="A87" s="81">
        <v>37</v>
      </c>
      <c r="B87" s="31" t="s">
        <v>83</v>
      </c>
      <c r="C87" s="104">
        <v>259964.5</v>
      </c>
      <c r="D87" s="104">
        <v>260068.9</v>
      </c>
      <c r="E87" s="104">
        <f t="shared" si="20"/>
        <v>104.39999999999418</v>
      </c>
      <c r="F87" s="110">
        <v>18448</v>
      </c>
      <c r="G87" s="111">
        <v>157</v>
      </c>
      <c r="H87" s="10">
        <f t="shared" si="21"/>
        <v>0.66496815286620492</v>
      </c>
      <c r="I87" s="104">
        <v>260193.3</v>
      </c>
      <c r="J87" s="106">
        <f t="shared" si="22"/>
        <v>124.39999999999418</v>
      </c>
      <c r="K87" s="110">
        <v>18466</v>
      </c>
      <c r="L87" s="107">
        <f t="shared" si="23"/>
        <v>18</v>
      </c>
      <c r="M87" s="112">
        <v>142</v>
      </c>
      <c r="N87" s="28">
        <f t="shared" si="24"/>
        <v>0.87605633802812799</v>
      </c>
      <c r="O87" s="84">
        <f t="shared" si="25"/>
        <v>228.79999999998836</v>
      </c>
      <c r="P87" s="79">
        <f t="shared" si="26"/>
        <v>299</v>
      </c>
      <c r="Q87" s="34">
        <f t="shared" si="27"/>
        <v>0.76521739130430888</v>
      </c>
      <c r="R87" s="1">
        <v>43</v>
      </c>
    </row>
    <row r="88" spans="1:18" ht="24" customHeight="1">
      <c r="A88" s="81">
        <v>38</v>
      </c>
      <c r="B88" s="31" t="s">
        <v>84</v>
      </c>
      <c r="C88" s="104">
        <v>271584.90000000002</v>
      </c>
      <c r="D88" s="104">
        <v>271736.5</v>
      </c>
      <c r="E88" s="104">
        <f t="shared" si="20"/>
        <v>151.59999999997672</v>
      </c>
      <c r="F88" s="110">
        <v>17815</v>
      </c>
      <c r="G88" s="111">
        <v>214</v>
      </c>
      <c r="H88" s="10">
        <f t="shared" si="21"/>
        <v>0.70841121495316228</v>
      </c>
      <c r="I88" s="104">
        <v>271871</v>
      </c>
      <c r="J88" s="106">
        <f t="shared" si="22"/>
        <v>134.5</v>
      </c>
      <c r="K88" s="110">
        <v>17836</v>
      </c>
      <c r="L88" s="107">
        <f t="shared" si="23"/>
        <v>21</v>
      </c>
      <c r="M88" s="112">
        <v>167</v>
      </c>
      <c r="N88" s="28">
        <f t="shared" si="24"/>
        <v>0.80538922155688619</v>
      </c>
      <c r="O88" s="84">
        <f t="shared" si="25"/>
        <v>286.09999999997672</v>
      </c>
      <c r="P88" s="79">
        <f t="shared" si="26"/>
        <v>381</v>
      </c>
      <c r="Q88" s="34">
        <f t="shared" si="27"/>
        <v>0.75091863517054258</v>
      </c>
      <c r="R88" s="1">
        <v>34</v>
      </c>
    </row>
    <row r="89" spans="1:18" ht="24" customHeight="1">
      <c r="A89" s="81">
        <v>39</v>
      </c>
      <c r="B89" s="31" t="s">
        <v>85</v>
      </c>
      <c r="C89" s="35">
        <v>279569.7</v>
      </c>
      <c r="D89" s="35">
        <v>279684</v>
      </c>
      <c r="E89" s="104">
        <f t="shared" si="20"/>
        <v>114.29999999998836</v>
      </c>
      <c r="F89" s="110">
        <v>19742</v>
      </c>
      <c r="G89" s="111">
        <v>166</v>
      </c>
      <c r="H89" s="10">
        <f t="shared" si="21"/>
        <v>0.6885542168673997</v>
      </c>
      <c r="I89" s="35">
        <v>279809.5</v>
      </c>
      <c r="J89" s="106">
        <f t="shared" si="22"/>
        <v>125.5</v>
      </c>
      <c r="K89" s="110">
        <v>19761</v>
      </c>
      <c r="L89" s="107">
        <f t="shared" si="23"/>
        <v>19</v>
      </c>
      <c r="M89" s="112">
        <v>163</v>
      </c>
      <c r="N89" s="28">
        <f t="shared" si="24"/>
        <v>0.76993865030674846</v>
      </c>
      <c r="O89" s="84">
        <f t="shared" si="25"/>
        <v>239.79999999998836</v>
      </c>
      <c r="P89" s="79">
        <f t="shared" si="26"/>
        <v>329</v>
      </c>
      <c r="Q89" s="34">
        <f t="shared" si="27"/>
        <v>0.72887537993917439</v>
      </c>
      <c r="R89" s="1">
        <v>21</v>
      </c>
    </row>
    <row r="90" spans="1:18" ht="24" customHeight="1">
      <c r="A90" s="81">
        <v>40</v>
      </c>
      <c r="B90" s="31" t="s">
        <v>86</v>
      </c>
      <c r="C90" s="104">
        <v>250311.6</v>
      </c>
      <c r="D90" s="104">
        <v>250468.3</v>
      </c>
      <c r="E90" s="104">
        <f t="shared" si="20"/>
        <v>156.69999999998254</v>
      </c>
      <c r="F90" s="110">
        <v>17788</v>
      </c>
      <c r="G90" s="111">
        <v>212</v>
      </c>
      <c r="H90" s="10">
        <f t="shared" si="21"/>
        <v>0.73915094339614407</v>
      </c>
      <c r="I90" s="104">
        <v>250613</v>
      </c>
      <c r="J90" s="106">
        <f t="shared" si="22"/>
        <v>144.70000000001164</v>
      </c>
      <c r="K90" s="110">
        <v>17808</v>
      </c>
      <c r="L90" s="107">
        <f t="shared" si="23"/>
        <v>20</v>
      </c>
      <c r="M90" s="112">
        <v>201</v>
      </c>
      <c r="N90" s="28">
        <f t="shared" si="24"/>
        <v>0.71990049751249574</v>
      </c>
      <c r="O90" s="84">
        <f t="shared" si="25"/>
        <v>301.39999999999418</v>
      </c>
      <c r="P90" s="79">
        <f t="shared" si="26"/>
        <v>413</v>
      </c>
      <c r="Q90" s="34">
        <f t="shared" si="27"/>
        <v>0.72978208232444108</v>
      </c>
      <c r="R90" s="1">
        <v>46</v>
      </c>
    </row>
    <row r="91" spans="1:18" ht="24" customHeight="1">
      <c r="A91" s="81">
        <v>41</v>
      </c>
      <c r="B91" s="31" t="s">
        <v>87</v>
      </c>
      <c r="C91" s="104">
        <v>279122.40000000002</v>
      </c>
      <c r="D91" s="104">
        <v>279245.7</v>
      </c>
      <c r="E91" s="104">
        <f t="shared" si="20"/>
        <v>123.29999999998836</v>
      </c>
      <c r="F91" s="110">
        <v>19287</v>
      </c>
      <c r="G91" s="111">
        <v>194</v>
      </c>
      <c r="H91" s="10">
        <f t="shared" si="21"/>
        <v>0.63556701030921836</v>
      </c>
      <c r="I91" s="104">
        <v>279375</v>
      </c>
      <c r="J91" s="106">
        <f t="shared" si="22"/>
        <v>129.29999999998836</v>
      </c>
      <c r="K91" s="110">
        <v>19306</v>
      </c>
      <c r="L91" s="107">
        <f t="shared" si="23"/>
        <v>19</v>
      </c>
      <c r="M91" s="111">
        <v>133</v>
      </c>
      <c r="N91" s="28">
        <f t="shared" si="24"/>
        <v>0.97218045112773199</v>
      </c>
      <c r="O91" s="84">
        <f t="shared" si="25"/>
        <v>252.59999999997672</v>
      </c>
      <c r="P91" s="79">
        <f t="shared" si="26"/>
        <v>327</v>
      </c>
      <c r="Q91" s="34">
        <f t="shared" si="27"/>
        <v>0.77247706422011231</v>
      </c>
      <c r="R91" s="1">
        <v>39</v>
      </c>
    </row>
    <row r="92" spans="1:18" ht="24" customHeight="1">
      <c r="A92" s="81">
        <v>42</v>
      </c>
      <c r="B92" s="31" t="s">
        <v>88</v>
      </c>
      <c r="C92" s="104">
        <v>275096.7</v>
      </c>
      <c r="D92" s="104">
        <v>275245.7</v>
      </c>
      <c r="E92" s="104">
        <f t="shared" si="20"/>
        <v>149</v>
      </c>
      <c r="F92" s="110">
        <v>18681</v>
      </c>
      <c r="G92" s="111">
        <v>179</v>
      </c>
      <c r="H92" s="10">
        <f t="shared" si="21"/>
        <v>0.83240223463687146</v>
      </c>
      <c r="I92" s="104">
        <v>275350.3</v>
      </c>
      <c r="J92" s="106">
        <f t="shared" si="22"/>
        <v>104.59999999997672</v>
      </c>
      <c r="K92" s="110">
        <v>18703</v>
      </c>
      <c r="L92" s="107">
        <f t="shared" si="23"/>
        <v>22</v>
      </c>
      <c r="M92" s="111">
        <v>139</v>
      </c>
      <c r="N92" s="28">
        <f t="shared" si="24"/>
        <v>0.75251798561134331</v>
      </c>
      <c r="O92" s="84">
        <f t="shared" si="25"/>
        <v>253.59999999997672</v>
      </c>
      <c r="P92" s="79">
        <f t="shared" si="26"/>
        <v>318</v>
      </c>
      <c r="Q92" s="34">
        <f t="shared" si="27"/>
        <v>0.79748427672948652</v>
      </c>
      <c r="R92" s="1">
        <v>45</v>
      </c>
    </row>
    <row r="93" spans="1:18" ht="24" customHeight="1">
      <c r="A93" s="81">
        <v>43</v>
      </c>
      <c r="B93" s="31" t="s">
        <v>89</v>
      </c>
      <c r="C93" s="35">
        <v>267446.5</v>
      </c>
      <c r="D93" s="35">
        <v>267629.3</v>
      </c>
      <c r="E93" s="104">
        <f t="shared" si="20"/>
        <v>182.79999999998836</v>
      </c>
      <c r="F93" s="110">
        <v>18334</v>
      </c>
      <c r="G93" s="111">
        <v>226</v>
      </c>
      <c r="H93" s="10">
        <f t="shared" si="21"/>
        <v>0.80884955752207244</v>
      </c>
      <c r="I93" s="35">
        <v>267740.40000000002</v>
      </c>
      <c r="J93" s="106">
        <f t="shared" si="22"/>
        <v>111.10000000003492</v>
      </c>
      <c r="K93" s="110">
        <v>18353</v>
      </c>
      <c r="L93" s="107">
        <f t="shared" si="23"/>
        <v>19</v>
      </c>
      <c r="M93" s="111">
        <v>157</v>
      </c>
      <c r="N93" s="28">
        <f t="shared" si="24"/>
        <v>0.70764331210213327</v>
      </c>
      <c r="O93" s="84">
        <f t="shared" si="25"/>
        <v>293.90000000002328</v>
      </c>
      <c r="P93" s="79">
        <f t="shared" si="26"/>
        <v>383</v>
      </c>
      <c r="Q93" s="34">
        <f t="shared" si="27"/>
        <v>0.76736292428204511</v>
      </c>
      <c r="R93" s="1">
        <v>30</v>
      </c>
    </row>
    <row r="94" spans="1:18" ht="24" customHeight="1">
      <c r="A94" s="81">
        <v>44</v>
      </c>
      <c r="B94" s="31" t="s">
        <v>90</v>
      </c>
      <c r="C94" s="104">
        <v>244905.1</v>
      </c>
      <c r="D94" s="104">
        <v>244905.1</v>
      </c>
      <c r="E94" s="104">
        <f t="shared" si="20"/>
        <v>0</v>
      </c>
      <c r="F94" s="110">
        <v>17660</v>
      </c>
      <c r="G94" s="111">
        <v>0</v>
      </c>
      <c r="H94" s="10">
        <f>IFERROR(E94/G94,0)</f>
        <v>0</v>
      </c>
      <c r="I94" s="104">
        <v>244980.1</v>
      </c>
      <c r="J94" s="106">
        <f t="shared" si="22"/>
        <v>75</v>
      </c>
      <c r="K94" s="110">
        <v>17671</v>
      </c>
      <c r="L94" s="107">
        <f t="shared" si="23"/>
        <v>11</v>
      </c>
      <c r="M94" s="111">
        <v>122</v>
      </c>
      <c r="N94" s="28">
        <f t="shared" si="24"/>
        <v>0.61475409836065575</v>
      </c>
      <c r="O94" s="84">
        <f t="shared" si="25"/>
        <v>75</v>
      </c>
      <c r="P94" s="79">
        <f t="shared" si="26"/>
        <v>122</v>
      </c>
      <c r="Q94" s="34">
        <f t="shared" si="27"/>
        <v>0.61475409836065575</v>
      </c>
      <c r="R94" s="1">
        <v>31</v>
      </c>
    </row>
    <row r="95" spans="1:18" ht="24" customHeight="1">
      <c r="A95" s="81">
        <v>45</v>
      </c>
      <c r="B95" s="31" t="s">
        <v>91</v>
      </c>
      <c r="C95" s="104">
        <v>254153.9</v>
      </c>
      <c r="D95" s="104">
        <v>254153.9</v>
      </c>
      <c r="E95" s="104">
        <f t="shared" si="20"/>
        <v>0</v>
      </c>
      <c r="F95" s="110">
        <v>17731</v>
      </c>
      <c r="G95" s="111">
        <v>0</v>
      </c>
      <c r="H95" s="10">
        <f t="shared" si="21"/>
        <v>0</v>
      </c>
      <c r="I95" s="104">
        <v>254153.9</v>
      </c>
      <c r="J95" s="106">
        <f t="shared" si="22"/>
        <v>0</v>
      </c>
      <c r="K95" s="110">
        <v>17731</v>
      </c>
      <c r="L95" s="107">
        <f t="shared" si="23"/>
        <v>0</v>
      </c>
      <c r="M95" s="111">
        <v>0</v>
      </c>
      <c r="N95" s="28">
        <f t="shared" si="24"/>
        <v>0</v>
      </c>
      <c r="O95" s="84">
        <f t="shared" si="25"/>
        <v>0</v>
      </c>
      <c r="P95" s="79">
        <f t="shared" si="26"/>
        <v>0</v>
      </c>
      <c r="Q95" s="34">
        <f t="shared" si="27"/>
        <v>0</v>
      </c>
      <c r="R95" s="1">
        <v>0</v>
      </c>
    </row>
    <row r="96" spans="1:18" ht="24" customHeight="1">
      <c r="A96" s="81">
        <v>46</v>
      </c>
      <c r="B96" s="31" t="s">
        <v>92</v>
      </c>
      <c r="C96" s="35">
        <v>238973.6</v>
      </c>
      <c r="D96" s="35">
        <v>239100.79999999999</v>
      </c>
      <c r="E96" s="104">
        <f>D96-C96</f>
        <v>127.19999999998254</v>
      </c>
      <c r="F96" s="110">
        <v>17311</v>
      </c>
      <c r="G96" s="111">
        <v>188</v>
      </c>
      <c r="H96" s="10">
        <f t="shared" si="21"/>
        <v>0.67659574468075823</v>
      </c>
      <c r="I96" s="35">
        <v>239253.1</v>
      </c>
      <c r="J96" s="106">
        <f>I96-D96</f>
        <v>152.30000000001746</v>
      </c>
      <c r="K96" s="110">
        <v>17331</v>
      </c>
      <c r="L96" s="107">
        <f t="shared" si="23"/>
        <v>20</v>
      </c>
      <c r="M96" s="111">
        <v>182</v>
      </c>
      <c r="N96" s="28">
        <f t="shared" si="24"/>
        <v>0.83681318681328276</v>
      </c>
      <c r="O96" s="84">
        <f t="shared" si="25"/>
        <v>279.5</v>
      </c>
      <c r="P96" s="79">
        <f>G96+M96</f>
        <v>370</v>
      </c>
      <c r="Q96" s="34">
        <f t="shared" si="27"/>
        <v>0.75540540540540535</v>
      </c>
      <c r="R96" s="1">
        <v>37</v>
      </c>
    </row>
    <row r="97" spans="1:19" ht="24" customHeight="1">
      <c r="A97" s="81">
        <v>47</v>
      </c>
      <c r="B97" s="31" t="s">
        <v>93</v>
      </c>
      <c r="C97" s="104">
        <v>247402.2</v>
      </c>
      <c r="D97" s="104">
        <v>247583</v>
      </c>
      <c r="E97" s="104">
        <f>D97-C97</f>
        <v>180.79999999998836</v>
      </c>
      <c r="F97" s="110">
        <v>16782</v>
      </c>
      <c r="G97" s="111">
        <v>231</v>
      </c>
      <c r="H97" s="10">
        <f t="shared" si="21"/>
        <v>0.78268398268393224</v>
      </c>
      <c r="I97" s="104">
        <v>247713.5</v>
      </c>
      <c r="J97" s="106">
        <f>I97-D97</f>
        <v>130.5</v>
      </c>
      <c r="K97" s="110">
        <v>16802</v>
      </c>
      <c r="L97" s="107">
        <f t="shared" si="23"/>
        <v>20</v>
      </c>
      <c r="M97" s="111">
        <v>154</v>
      </c>
      <c r="N97" s="28">
        <f t="shared" si="24"/>
        <v>0.84740259740259738</v>
      </c>
      <c r="O97" s="84">
        <f t="shared" si="25"/>
        <v>311.29999999998836</v>
      </c>
      <c r="P97" s="79">
        <f t="shared" si="26"/>
        <v>385</v>
      </c>
      <c r="Q97" s="34">
        <f t="shared" si="27"/>
        <v>0.8085714285713983</v>
      </c>
      <c r="R97" s="1">
        <v>37</v>
      </c>
      <c r="S97" t="s">
        <v>94</v>
      </c>
    </row>
    <row r="98" spans="1:19" ht="24" customHeight="1">
      <c r="A98" s="81">
        <v>48</v>
      </c>
      <c r="B98" s="31" t="s">
        <v>95</v>
      </c>
      <c r="C98" s="104">
        <v>244466</v>
      </c>
      <c r="D98" s="104">
        <v>244633.2</v>
      </c>
      <c r="E98" s="104">
        <f t="shared" si="20"/>
        <v>167.20000000001164</v>
      </c>
      <c r="F98" s="110">
        <v>18222</v>
      </c>
      <c r="G98" s="111">
        <v>214</v>
      </c>
      <c r="H98" s="10">
        <f t="shared" si="21"/>
        <v>0.78130841121500771</v>
      </c>
      <c r="I98" s="104">
        <v>244738</v>
      </c>
      <c r="J98" s="106">
        <f t="shared" si="22"/>
        <v>104.79999999998836</v>
      </c>
      <c r="K98" s="110">
        <v>18241</v>
      </c>
      <c r="L98" s="107">
        <f t="shared" si="23"/>
        <v>19</v>
      </c>
      <c r="M98" s="111">
        <v>151</v>
      </c>
      <c r="N98" s="28">
        <f t="shared" si="24"/>
        <v>0.69403973509926065</v>
      </c>
      <c r="O98" s="84">
        <f t="shared" si="25"/>
        <v>272</v>
      </c>
      <c r="P98" s="79">
        <f t="shared" si="26"/>
        <v>365</v>
      </c>
      <c r="Q98" s="34">
        <f t="shared" si="27"/>
        <v>0.74520547945205484</v>
      </c>
      <c r="R98" s="1">
        <v>31</v>
      </c>
    </row>
    <row r="99" spans="1:19" ht="24" customHeight="1">
      <c r="A99" s="81">
        <v>49</v>
      </c>
      <c r="B99" s="31" t="s">
        <v>96</v>
      </c>
      <c r="C99" s="35">
        <v>249013.9</v>
      </c>
      <c r="D99" s="35">
        <v>249162.3</v>
      </c>
      <c r="E99" s="104">
        <f t="shared" si="20"/>
        <v>148.39999999999418</v>
      </c>
      <c r="F99" s="110">
        <v>17904</v>
      </c>
      <c r="G99" s="111">
        <v>181</v>
      </c>
      <c r="H99" s="10">
        <f>IFERROR(E99/G99,0)</f>
        <v>0.8198895027623988</v>
      </c>
      <c r="I99" s="35">
        <v>249234</v>
      </c>
      <c r="J99" s="106">
        <f t="shared" si="22"/>
        <v>71.700000000011642</v>
      </c>
      <c r="K99" s="110">
        <v>17920</v>
      </c>
      <c r="L99" s="107">
        <f t="shared" si="23"/>
        <v>16</v>
      </c>
      <c r="M99" s="111">
        <v>90</v>
      </c>
      <c r="N99" s="28">
        <f t="shared" si="24"/>
        <v>0.79666666666679598</v>
      </c>
      <c r="O99" s="84">
        <f t="shared" si="25"/>
        <v>220.10000000000582</v>
      </c>
      <c r="P99" s="79">
        <f t="shared" si="26"/>
        <v>271</v>
      </c>
      <c r="Q99" s="34">
        <f t="shared" si="27"/>
        <v>0.81217712177123924</v>
      </c>
      <c r="R99" s="1">
        <v>36</v>
      </c>
    </row>
    <row r="100" spans="1:19" ht="24" customHeight="1">
      <c r="A100" s="81">
        <v>50</v>
      </c>
      <c r="B100" s="31" t="s">
        <v>97</v>
      </c>
      <c r="C100" s="104">
        <v>237697</v>
      </c>
      <c r="D100" s="104">
        <v>237871.7</v>
      </c>
      <c r="E100" s="104">
        <f t="shared" si="20"/>
        <v>174.70000000001164</v>
      </c>
      <c r="F100" s="110">
        <v>16417</v>
      </c>
      <c r="G100" s="111">
        <v>238</v>
      </c>
      <c r="H100" s="10">
        <f t="shared" si="21"/>
        <v>0.73403361344542706</v>
      </c>
      <c r="I100" s="104">
        <v>237995.5</v>
      </c>
      <c r="J100" s="106">
        <f t="shared" si="22"/>
        <v>123.79999999998836</v>
      </c>
      <c r="K100" s="110">
        <v>16437</v>
      </c>
      <c r="L100" s="107">
        <f t="shared" si="23"/>
        <v>20</v>
      </c>
      <c r="M100" s="111">
        <v>149</v>
      </c>
      <c r="N100" s="28">
        <f t="shared" si="24"/>
        <v>0.83087248322139839</v>
      </c>
      <c r="O100" s="84">
        <f t="shared" si="25"/>
        <v>298.5</v>
      </c>
      <c r="P100" s="79">
        <f t="shared" si="26"/>
        <v>387</v>
      </c>
      <c r="Q100" s="34">
        <f t="shared" si="27"/>
        <v>0.77131782945736438</v>
      </c>
      <c r="R100" s="1">
        <v>36</v>
      </c>
    </row>
    <row r="101" spans="1:19" ht="24" customHeight="1">
      <c r="A101" s="81">
        <v>51</v>
      </c>
      <c r="B101" s="121" t="s">
        <v>166</v>
      </c>
      <c r="C101" s="104">
        <v>205735</v>
      </c>
      <c r="D101" s="104">
        <v>205817</v>
      </c>
      <c r="E101" s="118">
        <f t="shared" si="20"/>
        <v>82</v>
      </c>
      <c r="F101" s="110">
        <v>17506</v>
      </c>
      <c r="G101" s="111">
        <v>111</v>
      </c>
      <c r="H101" s="55">
        <f t="shared" si="21"/>
        <v>0.73873873873873874</v>
      </c>
      <c r="I101" s="104">
        <v>205867</v>
      </c>
      <c r="J101" s="119">
        <f t="shared" si="22"/>
        <v>50</v>
      </c>
      <c r="K101" s="110">
        <v>17525</v>
      </c>
      <c r="L101" s="120">
        <f t="shared" si="23"/>
        <v>19</v>
      </c>
      <c r="M101" s="111">
        <v>91</v>
      </c>
      <c r="N101" s="28">
        <f t="shared" si="24"/>
        <v>0.5494505494505495</v>
      </c>
      <c r="O101" s="58">
        <f t="shared" si="25"/>
        <v>132</v>
      </c>
      <c r="P101" s="79">
        <f t="shared" si="26"/>
        <v>202</v>
      </c>
      <c r="Q101" s="34">
        <f t="shared" si="27"/>
        <v>0.65346534653465349</v>
      </c>
      <c r="R101" s="1">
        <v>67</v>
      </c>
    </row>
    <row r="102" spans="1:19" ht="24" customHeight="1">
      <c r="A102" s="81">
        <v>52</v>
      </c>
      <c r="B102" s="121" t="s">
        <v>167</v>
      </c>
      <c r="C102" s="104">
        <v>186406</v>
      </c>
      <c r="D102" s="104">
        <v>186406</v>
      </c>
      <c r="E102" s="118">
        <f t="shared" si="20"/>
        <v>0</v>
      </c>
      <c r="F102" s="110">
        <v>16317</v>
      </c>
      <c r="G102" s="111">
        <v>0</v>
      </c>
      <c r="H102" s="55">
        <f t="shared" si="21"/>
        <v>0</v>
      </c>
      <c r="I102" s="104">
        <v>186406</v>
      </c>
      <c r="J102" s="119">
        <f t="shared" si="22"/>
        <v>0</v>
      </c>
      <c r="K102" s="110">
        <v>16317</v>
      </c>
      <c r="L102" s="120">
        <f t="shared" si="23"/>
        <v>0</v>
      </c>
      <c r="M102" s="111">
        <v>0</v>
      </c>
      <c r="N102" s="28">
        <f t="shared" si="24"/>
        <v>0</v>
      </c>
      <c r="O102" s="58">
        <f t="shared" si="25"/>
        <v>0</v>
      </c>
      <c r="P102" s="79">
        <f t="shared" si="26"/>
        <v>0</v>
      </c>
      <c r="Q102" s="34">
        <f t="shared" si="27"/>
        <v>0</v>
      </c>
      <c r="R102" s="1">
        <v>0</v>
      </c>
    </row>
    <row r="103" spans="1:19" ht="24" customHeight="1">
      <c r="A103" s="81">
        <v>53</v>
      </c>
      <c r="B103" s="121" t="s">
        <v>168</v>
      </c>
      <c r="C103" s="104">
        <v>192707</v>
      </c>
      <c r="D103" s="104">
        <v>192797</v>
      </c>
      <c r="E103" s="118">
        <f t="shared" si="20"/>
        <v>90</v>
      </c>
      <c r="F103" s="110">
        <v>17183</v>
      </c>
      <c r="G103" s="111">
        <v>127</v>
      </c>
      <c r="H103" s="55">
        <f t="shared" si="21"/>
        <v>0.70866141732283461</v>
      </c>
      <c r="I103" s="104">
        <v>192861</v>
      </c>
      <c r="J103" s="119">
        <f t="shared" si="22"/>
        <v>64</v>
      </c>
      <c r="K103" s="110">
        <v>17204</v>
      </c>
      <c r="L103" s="120">
        <f t="shared" si="23"/>
        <v>21</v>
      </c>
      <c r="M103" s="111">
        <v>105</v>
      </c>
      <c r="N103" s="28">
        <f t="shared" si="24"/>
        <v>0.60952380952380958</v>
      </c>
      <c r="O103" s="58">
        <f t="shared" si="25"/>
        <v>154</v>
      </c>
      <c r="P103" s="79">
        <f t="shared" si="26"/>
        <v>232</v>
      </c>
      <c r="Q103" s="34">
        <f t="shared" si="27"/>
        <v>0.66379310344827591</v>
      </c>
      <c r="R103" s="1">
        <v>58</v>
      </c>
    </row>
    <row r="104" spans="1:19" ht="24" customHeight="1">
      <c r="A104" s="81">
        <v>54</v>
      </c>
      <c r="B104" s="121" t="s">
        <v>169</v>
      </c>
      <c r="C104" s="104">
        <v>196704</v>
      </c>
      <c r="D104" s="104">
        <v>196809</v>
      </c>
      <c r="E104" s="118">
        <f t="shared" si="20"/>
        <v>105</v>
      </c>
      <c r="F104" s="110">
        <v>16665</v>
      </c>
      <c r="G104" s="111">
        <v>182</v>
      </c>
      <c r="H104" s="55">
        <f t="shared" si="21"/>
        <v>0.57692307692307687</v>
      </c>
      <c r="I104" s="104">
        <v>196931</v>
      </c>
      <c r="J104" s="119">
        <f t="shared" si="22"/>
        <v>122</v>
      </c>
      <c r="K104" s="110">
        <v>16686</v>
      </c>
      <c r="L104" s="120">
        <f t="shared" si="23"/>
        <v>21</v>
      </c>
      <c r="M104" s="111">
        <v>141</v>
      </c>
      <c r="N104" s="28">
        <f t="shared" si="24"/>
        <v>0.86524822695035464</v>
      </c>
      <c r="O104" s="58">
        <f t="shared" si="25"/>
        <v>227</v>
      </c>
      <c r="P104" s="79">
        <f t="shared" si="26"/>
        <v>323</v>
      </c>
      <c r="Q104" s="34">
        <f t="shared" si="27"/>
        <v>0.70278637770897834</v>
      </c>
      <c r="R104" s="1">
        <v>47</v>
      </c>
    </row>
    <row r="105" spans="1:19" ht="24" customHeight="1">
      <c r="A105" s="81">
        <v>55</v>
      </c>
      <c r="B105" s="121" t="s">
        <v>104</v>
      </c>
      <c r="C105" s="104">
        <v>71591.8</v>
      </c>
      <c r="D105" s="104">
        <v>71764.100000000006</v>
      </c>
      <c r="E105" s="118">
        <f t="shared" si="20"/>
        <v>172.30000000000291</v>
      </c>
      <c r="F105" s="110">
        <v>4841</v>
      </c>
      <c r="G105" s="111">
        <v>240</v>
      </c>
      <c r="H105" s="78">
        <f t="shared" si="21"/>
        <v>0.71791666666667875</v>
      </c>
      <c r="I105" s="104">
        <v>71863.600000000006</v>
      </c>
      <c r="J105" s="112">
        <f t="shared" si="22"/>
        <v>99.5</v>
      </c>
      <c r="K105" s="110">
        <v>4858</v>
      </c>
      <c r="L105" s="107">
        <f t="shared" si="23"/>
        <v>17</v>
      </c>
      <c r="M105" s="111">
        <v>117</v>
      </c>
      <c r="N105" s="28">
        <f t="shared" si="24"/>
        <v>0.8504273504273504</v>
      </c>
      <c r="O105" s="58">
        <f t="shared" si="25"/>
        <v>271.80000000000291</v>
      </c>
      <c r="P105" s="79">
        <f t="shared" si="26"/>
        <v>357</v>
      </c>
      <c r="Q105" s="34">
        <f t="shared" si="27"/>
        <v>0.76134453781513423</v>
      </c>
      <c r="R105" s="1">
        <v>36</v>
      </c>
    </row>
    <row r="106" spans="1:19" ht="24" customHeight="1">
      <c r="A106" s="81">
        <v>56</v>
      </c>
      <c r="B106" s="121" t="s">
        <v>105</v>
      </c>
      <c r="C106" s="35">
        <v>70455.100000000006</v>
      </c>
      <c r="D106" s="35">
        <v>70669.5</v>
      </c>
      <c r="E106" s="122">
        <f t="shared" si="20"/>
        <v>214.39999999999418</v>
      </c>
      <c r="F106" s="110">
        <v>4862</v>
      </c>
      <c r="G106" s="111">
        <v>279.66000000000003</v>
      </c>
      <c r="H106" s="78">
        <f t="shared" si="21"/>
        <v>0.76664521204317437</v>
      </c>
      <c r="I106" s="35">
        <v>70758.7</v>
      </c>
      <c r="J106" s="112">
        <f t="shared" si="22"/>
        <v>89.19999999999709</v>
      </c>
      <c r="K106" s="110">
        <v>4881</v>
      </c>
      <c r="L106" s="107">
        <f t="shared" si="23"/>
        <v>19</v>
      </c>
      <c r="M106" s="111">
        <v>112</v>
      </c>
      <c r="N106" s="28">
        <f t="shared" si="24"/>
        <v>0.7964285714285454</v>
      </c>
      <c r="O106" s="58">
        <f t="shared" si="25"/>
        <v>303.59999999999127</v>
      </c>
      <c r="P106" s="79">
        <f t="shared" si="26"/>
        <v>391.66</v>
      </c>
      <c r="Q106" s="34">
        <f t="shared" si="27"/>
        <v>0.77516213041921889</v>
      </c>
      <c r="R106" s="1">
        <v>35</v>
      </c>
    </row>
    <row r="107" spans="1:19" ht="24" customHeight="1">
      <c r="A107" s="81">
        <v>57</v>
      </c>
      <c r="B107" s="121" t="s">
        <v>106</v>
      </c>
      <c r="C107" s="104">
        <v>68304.600000000006</v>
      </c>
      <c r="D107" s="104">
        <v>68475.8</v>
      </c>
      <c r="E107" s="122">
        <f t="shared" si="20"/>
        <v>171.19999999999709</v>
      </c>
      <c r="F107" s="110">
        <v>4881</v>
      </c>
      <c r="G107" s="111">
        <v>204</v>
      </c>
      <c r="H107" s="78">
        <f t="shared" si="21"/>
        <v>0.8392156862744955</v>
      </c>
      <c r="I107" s="104">
        <v>68612.7</v>
      </c>
      <c r="J107" s="112">
        <f t="shared" si="22"/>
        <v>136.89999999999418</v>
      </c>
      <c r="K107" s="110">
        <v>4901</v>
      </c>
      <c r="L107" s="107">
        <f t="shared" si="23"/>
        <v>20</v>
      </c>
      <c r="M107" s="111">
        <v>172</v>
      </c>
      <c r="N107" s="28">
        <f t="shared" si="24"/>
        <v>0.79593023255810569</v>
      </c>
      <c r="O107" s="58">
        <f t="shared" si="25"/>
        <v>308.09999999999127</v>
      </c>
      <c r="P107" s="79">
        <f t="shared" si="26"/>
        <v>376</v>
      </c>
      <c r="Q107" s="34">
        <f t="shared" si="27"/>
        <v>0.81941489361699804</v>
      </c>
      <c r="R107" s="1">
        <v>47</v>
      </c>
    </row>
    <row r="108" spans="1:19" ht="24" customHeight="1">
      <c r="A108" s="81">
        <v>58</v>
      </c>
      <c r="B108" s="121" t="s">
        <v>107</v>
      </c>
      <c r="C108" s="104">
        <v>70516.600000000006</v>
      </c>
      <c r="D108" s="104">
        <v>70702</v>
      </c>
      <c r="E108" s="122">
        <f t="shared" si="20"/>
        <v>185.39999999999418</v>
      </c>
      <c r="F108" s="110">
        <v>4881</v>
      </c>
      <c r="G108" s="111">
        <v>230</v>
      </c>
      <c r="H108" s="78">
        <f t="shared" si="21"/>
        <v>0.8060869565217138</v>
      </c>
      <c r="I108" s="104">
        <v>70822.8</v>
      </c>
      <c r="J108" s="112">
        <f t="shared" si="22"/>
        <v>120.80000000000291</v>
      </c>
      <c r="K108" s="110">
        <v>4902</v>
      </c>
      <c r="L108" s="107">
        <f t="shared" si="23"/>
        <v>21</v>
      </c>
      <c r="M108" s="111">
        <v>154</v>
      </c>
      <c r="N108" s="28">
        <f t="shared" si="24"/>
        <v>0.78441558441560333</v>
      </c>
      <c r="O108" s="58">
        <f t="shared" si="25"/>
        <v>306.19999999999709</v>
      </c>
      <c r="P108" s="79">
        <f t="shared" si="26"/>
        <v>384</v>
      </c>
      <c r="Q108" s="34">
        <f t="shared" si="27"/>
        <v>0.79739583333332575</v>
      </c>
      <c r="R108" s="1">
        <v>33</v>
      </c>
    </row>
    <row r="109" spans="1:19" ht="24" customHeight="1">
      <c r="A109" s="81">
        <v>59</v>
      </c>
      <c r="B109" s="121" t="s">
        <v>108</v>
      </c>
      <c r="C109" s="104">
        <v>69649.3</v>
      </c>
      <c r="D109" s="104">
        <v>69841.899999999994</v>
      </c>
      <c r="E109" s="122">
        <f t="shared" si="20"/>
        <v>192.59999999999127</v>
      </c>
      <c r="F109" s="110">
        <v>4852</v>
      </c>
      <c r="G109" s="111">
        <v>235</v>
      </c>
      <c r="H109" s="78">
        <f t="shared" si="21"/>
        <v>0.81957446808506917</v>
      </c>
      <c r="I109" s="104">
        <v>69961.399999999994</v>
      </c>
      <c r="J109" s="112">
        <f t="shared" si="22"/>
        <v>119.5</v>
      </c>
      <c r="K109" s="110">
        <v>4872</v>
      </c>
      <c r="L109" s="107">
        <f t="shared" si="23"/>
        <v>20</v>
      </c>
      <c r="M109" s="111">
        <v>177</v>
      </c>
      <c r="N109" s="28">
        <f t="shared" si="24"/>
        <v>0.67514124293785316</v>
      </c>
      <c r="O109" s="58">
        <f t="shared" si="25"/>
        <v>312.09999999999127</v>
      </c>
      <c r="P109" s="79">
        <f t="shared" si="26"/>
        <v>412</v>
      </c>
      <c r="Q109" s="34">
        <f t="shared" si="27"/>
        <v>0.757524271844639</v>
      </c>
      <c r="R109" s="1">
        <v>34</v>
      </c>
    </row>
    <row r="110" spans="1:19" ht="24" customHeight="1">
      <c r="A110" s="81">
        <v>60</v>
      </c>
      <c r="B110" s="121" t="s">
        <v>109</v>
      </c>
      <c r="C110" s="104">
        <v>71509.5</v>
      </c>
      <c r="D110" s="104">
        <v>71709.899999999994</v>
      </c>
      <c r="E110" s="118">
        <f t="shared" si="20"/>
        <v>200.39999999999418</v>
      </c>
      <c r="F110" s="110">
        <v>4941</v>
      </c>
      <c r="G110" s="111">
        <v>258</v>
      </c>
      <c r="H110" s="55">
        <f t="shared" si="21"/>
        <v>0.77674418604648909</v>
      </c>
      <c r="I110" s="104">
        <v>71851.8</v>
      </c>
      <c r="J110" s="119">
        <f t="shared" si="22"/>
        <v>141.90000000000873</v>
      </c>
      <c r="K110" s="110">
        <v>4962</v>
      </c>
      <c r="L110" s="120">
        <f t="shared" si="23"/>
        <v>21</v>
      </c>
      <c r="M110" s="111">
        <v>177</v>
      </c>
      <c r="N110" s="28">
        <f t="shared" si="24"/>
        <v>0.8016949152542866</v>
      </c>
      <c r="O110" s="58">
        <f t="shared" si="25"/>
        <v>342.30000000000291</v>
      </c>
      <c r="P110" s="79">
        <f t="shared" si="26"/>
        <v>435</v>
      </c>
      <c r="Q110" s="34">
        <f t="shared" si="27"/>
        <v>0.78689655172414463</v>
      </c>
      <c r="R110" s="1">
        <v>37</v>
      </c>
    </row>
    <row r="111" spans="1:19" ht="24" customHeight="1">
      <c r="A111" s="81">
        <v>61</v>
      </c>
      <c r="B111" s="121" t="s">
        <v>176</v>
      </c>
      <c r="C111" s="104">
        <v>53285.3</v>
      </c>
      <c r="D111" s="104">
        <v>53468.6</v>
      </c>
      <c r="E111" s="118">
        <f t="shared" si="20"/>
        <v>183.29999999999563</v>
      </c>
      <c r="F111" s="110">
        <v>4305</v>
      </c>
      <c r="G111" s="111">
        <v>257</v>
      </c>
      <c r="H111" s="55">
        <f t="shared" si="21"/>
        <v>0.71322957198441883</v>
      </c>
      <c r="I111" s="104">
        <v>53581</v>
      </c>
      <c r="J111" s="119">
        <f t="shared" si="22"/>
        <v>112.40000000000146</v>
      </c>
      <c r="K111" s="110">
        <v>4324</v>
      </c>
      <c r="L111" s="120">
        <f t="shared" si="23"/>
        <v>19</v>
      </c>
      <c r="M111" s="111">
        <v>130</v>
      </c>
      <c r="N111" s="28">
        <f t="shared" si="24"/>
        <v>0.86461538461539578</v>
      </c>
      <c r="O111" s="58">
        <f t="shared" si="25"/>
        <v>295.69999999999709</v>
      </c>
      <c r="P111" s="79">
        <f t="shared" si="26"/>
        <v>387</v>
      </c>
      <c r="Q111" s="34">
        <f t="shared" si="27"/>
        <v>0.76408268733849383</v>
      </c>
      <c r="R111" s="1">
        <v>28</v>
      </c>
    </row>
    <row r="112" spans="1:19" ht="24" customHeight="1">
      <c r="A112" s="81">
        <v>62</v>
      </c>
      <c r="B112" s="121" t="s">
        <v>177</v>
      </c>
      <c r="C112" s="104">
        <v>52340</v>
      </c>
      <c r="D112" s="104">
        <v>52498.9</v>
      </c>
      <c r="E112" s="118">
        <f t="shared" si="20"/>
        <v>158.90000000000146</v>
      </c>
      <c r="F112" s="110">
        <v>4342</v>
      </c>
      <c r="G112" s="111">
        <v>212</v>
      </c>
      <c r="H112" s="55">
        <f t="shared" si="21"/>
        <v>0.74952830188679931</v>
      </c>
      <c r="I112" s="104">
        <v>52634.5</v>
      </c>
      <c r="J112" s="119">
        <f t="shared" si="22"/>
        <v>135.59999999999854</v>
      </c>
      <c r="K112" s="110">
        <v>4361</v>
      </c>
      <c r="L112" s="120">
        <f t="shared" si="23"/>
        <v>19</v>
      </c>
      <c r="M112" s="111">
        <v>160</v>
      </c>
      <c r="N112" s="28">
        <f t="shared" si="24"/>
        <v>0.84749999999999093</v>
      </c>
      <c r="O112" s="58">
        <f t="shared" si="25"/>
        <v>294.5</v>
      </c>
      <c r="P112" s="79">
        <f t="shared" si="26"/>
        <v>372</v>
      </c>
      <c r="Q112" s="34">
        <f t="shared" si="27"/>
        <v>0.79166666666666663</v>
      </c>
      <c r="R112" s="1">
        <v>36</v>
      </c>
    </row>
    <row r="113" spans="1:18" ht="24" customHeight="1">
      <c r="A113" s="81">
        <v>63</v>
      </c>
      <c r="B113" s="121" t="s">
        <v>178</v>
      </c>
      <c r="C113" s="104">
        <v>50870.3</v>
      </c>
      <c r="D113" s="104">
        <v>51014.6</v>
      </c>
      <c r="E113" s="118">
        <f t="shared" si="20"/>
        <v>144.29999999999563</v>
      </c>
      <c r="F113" s="110">
        <v>4083</v>
      </c>
      <c r="G113" s="111">
        <v>192</v>
      </c>
      <c r="H113" s="55">
        <f t="shared" si="21"/>
        <v>0.75156249999997726</v>
      </c>
      <c r="I113" s="104">
        <v>51156.3</v>
      </c>
      <c r="J113" s="119">
        <f t="shared" si="22"/>
        <v>141.70000000000437</v>
      </c>
      <c r="K113" s="110">
        <v>4104</v>
      </c>
      <c r="L113" s="120">
        <f t="shared" si="23"/>
        <v>21</v>
      </c>
      <c r="M113" s="111">
        <v>192</v>
      </c>
      <c r="N113" s="28">
        <f t="shared" si="24"/>
        <v>0.73802083333335611</v>
      </c>
      <c r="O113" s="58">
        <f t="shared" si="25"/>
        <v>286</v>
      </c>
      <c r="P113" s="79">
        <f t="shared" si="26"/>
        <v>384</v>
      </c>
      <c r="Q113" s="34">
        <f t="shared" si="27"/>
        <v>0.74479166666666663</v>
      </c>
      <c r="R113" s="1">
        <v>23</v>
      </c>
    </row>
    <row r="114" spans="1:18" ht="24" customHeight="1">
      <c r="A114" s="81">
        <v>64</v>
      </c>
      <c r="B114" s="121" t="s">
        <v>179</v>
      </c>
      <c r="C114" s="104">
        <v>51816.6</v>
      </c>
      <c r="D114" s="104">
        <v>51975.3</v>
      </c>
      <c r="E114" s="118">
        <f t="shared" si="20"/>
        <v>158.70000000000437</v>
      </c>
      <c r="F114" s="110">
        <v>4249</v>
      </c>
      <c r="G114" s="111">
        <v>245</v>
      </c>
      <c r="H114" s="55">
        <f t="shared" si="21"/>
        <v>0.6477551020408342</v>
      </c>
      <c r="I114" s="104">
        <v>52093.4</v>
      </c>
      <c r="J114" s="119">
        <f t="shared" si="22"/>
        <v>118.09999999999854</v>
      </c>
      <c r="K114" s="110">
        <v>4269</v>
      </c>
      <c r="L114" s="120">
        <f t="shared" si="23"/>
        <v>20</v>
      </c>
      <c r="M114" s="111">
        <v>145</v>
      </c>
      <c r="N114" s="28">
        <f t="shared" si="24"/>
        <v>0.81448275862067965</v>
      </c>
      <c r="O114" s="58">
        <f t="shared" si="25"/>
        <v>276.80000000000291</v>
      </c>
      <c r="P114" s="79">
        <f t="shared" si="26"/>
        <v>390</v>
      </c>
      <c r="Q114" s="34">
        <f t="shared" si="27"/>
        <v>0.70974358974359719</v>
      </c>
      <c r="R114" s="1">
        <v>51</v>
      </c>
    </row>
    <row r="115" spans="1:18" ht="24" customHeight="1">
      <c r="A115" s="81">
        <v>65</v>
      </c>
      <c r="B115" s="121" t="s">
        <v>180</v>
      </c>
      <c r="C115" s="104">
        <v>52213.5</v>
      </c>
      <c r="D115" s="104">
        <v>52378.7</v>
      </c>
      <c r="E115" s="118">
        <f t="shared" si="20"/>
        <v>165.19999999999709</v>
      </c>
      <c r="F115" s="110">
        <v>4205</v>
      </c>
      <c r="G115" s="111">
        <v>222</v>
      </c>
      <c r="H115" s="55">
        <f t="shared" si="21"/>
        <v>0.74414414414413099</v>
      </c>
      <c r="I115" s="104">
        <v>52515.4</v>
      </c>
      <c r="J115" s="119">
        <f t="shared" si="22"/>
        <v>136.70000000000437</v>
      </c>
      <c r="K115" s="110">
        <v>4225</v>
      </c>
      <c r="L115" s="120">
        <f t="shared" si="23"/>
        <v>20</v>
      </c>
      <c r="M115" s="111">
        <v>182</v>
      </c>
      <c r="N115" s="28">
        <f t="shared" si="24"/>
        <v>0.75109890109892508</v>
      </c>
      <c r="O115" s="58">
        <f t="shared" si="25"/>
        <v>301.90000000000146</v>
      </c>
      <c r="P115" s="79">
        <f t="shared" si="26"/>
        <v>404</v>
      </c>
      <c r="Q115" s="34">
        <f t="shared" si="27"/>
        <v>0.74727722772277583</v>
      </c>
      <c r="R115" s="1">
        <v>22</v>
      </c>
    </row>
    <row r="116" spans="1:18" ht="24" customHeight="1">
      <c r="A116" s="81">
        <v>66</v>
      </c>
      <c r="B116" s="121" t="s">
        <v>110</v>
      </c>
      <c r="C116" s="104">
        <v>35404.199999999997</v>
      </c>
      <c r="D116" s="104">
        <v>35568.5</v>
      </c>
      <c r="E116" s="118">
        <f t="shared" si="20"/>
        <v>164.30000000000291</v>
      </c>
      <c r="F116" s="110">
        <v>2855</v>
      </c>
      <c r="G116" s="111">
        <v>199</v>
      </c>
      <c r="H116" s="55">
        <f t="shared" si="21"/>
        <v>0.82562814070353219</v>
      </c>
      <c r="I116" s="104">
        <v>35652.5</v>
      </c>
      <c r="J116" s="119">
        <f t="shared" si="22"/>
        <v>84</v>
      </c>
      <c r="K116" s="110">
        <v>2874</v>
      </c>
      <c r="L116" s="120">
        <f t="shared" si="23"/>
        <v>19</v>
      </c>
      <c r="M116" s="111">
        <v>105</v>
      </c>
      <c r="N116" s="28">
        <f t="shared" si="24"/>
        <v>0.8</v>
      </c>
      <c r="O116" s="58">
        <f t="shared" si="25"/>
        <v>248.30000000000291</v>
      </c>
      <c r="P116" s="79">
        <f t="shared" si="26"/>
        <v>304</v>
      </c>
      <c r="Q116" s="34">
        <f t="shared" si="27"/>
        <v>0.81677631578948329</v>
      </c>
      <c r="R116" s="1">
        <v>27</v>
      </c>
    </row>
    <row r="117" spans="1:18" ht="22.2" customHeight="1">
      <c r="A117" s="123" t="s">
        <v>28</v>
      </c>
      <c r="B117" s="123"/>
      <c r="C117" s="40"/>
      <c r="D117" s="123"/>
      <c r="E117" s="124">
        <f>SUM(E51:E116)</f>
        <v>7298.9000000000524</v>
      </c>
      <c r="F117" s="125"/>
      <c r="G117" s="126">
        <f>SUM(G51:G116)</f>
        <v>10416.34</v>
      </c>
      <c r="H117" s="39"/>
      <c r="I117" s="40"/>
      <c r="J117" s="40">
        <f>SUM(J51:J116)</f>
        <v>5909.0999999999403</v>
      </c>
      <c r="K117" s="127"/>
      <c r="L117" s="128">
        <f>SUM(L51:L116)</f>
        <v>1125.7700000000004</v>
      </c>
      <c r="M117" s="128">
        <f>SUM(M51:M116)</f>
        <v>8199.0300000000007</v>
      </c>
      <c r="N117" s="28">
        <f>IFERROR(J117/M117,0)</f>
        <v>0.72070720560846102</v>
      </c>
      <c r="O117" s="129">
        <f>SUM(O51:O116)</f>
        <v>13207.999999999993</v>
      </c>
      <c r="P117" s="79">
        <f>G117+M117</f>
        <v>18615.370000000003</v>
      </c>
      <c r="Q117" s="34">
        <f>IFERROR(O117/P117,0)</f>
        <v>0.70952121821913783</v>
      </c>
      <c r="R117" s="130">
        <f>SUM(R51:R116)</f>
        <v>2427</v>
      </c>
    </row>
    <row r="118" spans="1:18" ht="22.2" customHeight="1" thickBot="1">
      <c r="A118" s="206" t="s">
        <v>111</v>
      </c>
      <c r="B118" s="207"/>
      <c r="C118" s="207"/>
      <c r="D118" s="207"/>
      <c r="E118" s="207"/>
      <c r="F118" s="207"/>
      <c r="G118" s="207"/>
      <c r="H118" s="207"/>
      <c r="I118" s="207"/>
      <c r="J118" s="207"/>
      <c r="K118" s="207"/>
      <c r="L118" s="208"/>
      <c r="M118" s="131"/>
      <c r="N118" s="132"/>
      <c r="O118" s="133"/>
    </row>
    <row r="119" spans="1:18" ht="22.2" customHeight="1">
      <c r="A119" s="209" t="s">
        <v>3</v>
      </c>
      <c r="B119" s="211" t="s">
        <v>4</v>
      </c>
      <c r="C119" s="213" t="s">
        <v>5</v>
      </c>
      <c r="D119" s="214"/>
      <c r="E119" s="214"/>
      <c r="F119" s="214"/>
      <c r="G119" s="215"/>
      <c r="H119" s="216" t="s">
        <v>6</v>
      </c>
      <c r="I119" s="217"/>
      <c r="J119" s="217"/>
      <c r="K119" s="218"/>
      <c r="L119" s="48"/>
      <c r="M119" s="219" t="s">
        <v>7</v>
      </c>
      <c r="N119" s="194" t="s">
        <v>8</v>
      </c>
      <c r="O119" s="37"/>
    </row>
    <row r="120" spans="1:18" ht="27.6" customHeight="1" thickBot="1">
      <c r="A120" s="210"/>
      <c r="B120" s="212"/>
      <c r="C120" s="49" t="s">
        <v>11</v>
      </c>
      <c r="D120" s="49" t="s">
        <v>12</v>
      </c>
      <c r="E120" s="49" t="s">
        <v>13</v>
      </c>
      <c r="F120" s="6" t="s">
        <v>14</v>
      </c>
      <c r="G120" s="6" t="s">
        <v>8</v>
      </c>
      <c r="H120" s="49" t="s">
        <v>12</v>
      </c>
      <c r="I120" s="49" t="s">
        <v>13</v>
      </c>
      <c r="J120" s="49" t="s">
        <v>14</v>
      </c>
      <c r="K120" s="7" t="s">
        <v>8</v>
      </c>
      <c r="L120" s="50" t="s">
        <v>15</v>
      </c>
      <c r="M120" s="220"/>
      <c r="N120" s="195"/>
      <c r="O120" s="37"/>
    </row>
    <row r="121" spans="1:18" ht="22.2" customHeight="1">
      <c r="A121" s="76">
        <v>1</v>
      </c>
      <c r="B121" s="31" t="s">
        <v>112</v>
      </c>
      <c r="C121" s="35">
        <v>121832</v>
      </c>
      <c r="D121" s="35">
        <v>121832</v>
      </c>
      <c r="E121" s="17">
        <f>D121-C121</f>
        <v>0</v>
      </c>
      <c r="F121" s="33">
        <v>0</v>
      </c>
      <c r="G121" s="10">
        <f>IFERROR(F121/E121,0)</f>
        <v>0</v>
      </c>
      <c r="H121" s="35">
        <v>122082</v>
      </c>
      <c r="I121" s="19">
        <f>H121-D121</f>
        <v>250</v>
      </c>
      <c r="J121" s="33">
        <v>39</v>
      </c>
      <c r="K121" s="28">
        <f t="shared" ref="K121:K138" si="28">IFERROR(J121/I121,0)</f>
        <v>0.156</v>
      </c>
      <c r="L121" s="18">
        <f t="shared" ref="L121:M138" si="29">E121+I121</f>
        <v>250</v>
      </c>
      <c r="M121" s="22">
        <f>F121+J121</f>
        <v>39</v>
      </c>
      <c r="N121" s="71">
        <f>IFERROR(L121/M121,0)</f>
        <v>6.4102564102564106</v>
      </c>
      <c r="O121" s="37"/>
    </row>
    <row r="122" spans="1:18" ht="22.2" customHeight="1">
      <c r="A122" s="76">
        <v>2</v>
      </c>
      <c r="B122" s="31" t="s">
        <v>113</v>
      </c>
      <c r="C122" s="35">
        <v>4298.33</v>
      </c>
      <c r="D122" s="35">
        <v>4298.33</v>
      </c>
      <c r="E122" s="17">
        <f t="shared" ref="E122:E138" si="30">D122-C122</f>
        <v>0</v>
      </c>
      <c r="F122" s="33">
        <v>0</v>
      </c>
      <c r="G122" s="10">
        <f t="shared" ref="G122:G138" si="31">IFERROR(F122/E122,0)</f>
        <v>0</v>
      </c>
      <c r="H122" s="35">
        <v>4298.33</v>
      </c>
      <c r="I122" s="19">
        <f>H122-D122</f>
        <v>0</v>
      </c>
      <c r="J122" s="33">
        <v>0</v>
      </c>
      <c r="K122" s="28">
        <f t="shared" si="28"/>
        <v>0</v>
      </c>
      <c r="L122" s="18">
        <f t="shared" si="29"/>
        <v>0</v>
      </c>
      <c r="M122" s="22">
        <f t="shared" si="29"/>
        <v>0</v>
      </c>
      <c r="N122" s="71">
        <f t="shared" ref="N122:N138" si="32">IFERROR(L122/M122,0)</f>
        <v>0</v>
      </c>
      <c r="O122" s="134"/>
    </row>
    <row r="123" spans="1:18" ht="22.2" customHeight="1">
      <c r="A123" s="76">
        <v>3</v>
      </c>
      <c r="B123" s="31" t="s">
        <v>114</v>
      </c>
      <c r="C123" s="35">
        <v>168.1</v>
      </c>
      <c r="D123" s="35">
        <v>168.1</v>
      </c>
      <c r="E123" s="17">
        <f t="shared" si="30"/>
        <v>0</v>
      </c>
      <c r="F123" s="33">
        <v>0</v>
      </c>
      <c r="G123" s="10">
        <f t="shared" si="31"/>
        <v>0</v>
      </c>
      <c r="H123" s="35">
        <v>168.1</v>
      </c>
      <c r="I123" s="19">
        <f t="shared" ref="I123:I138" si="33">H123-D123</f>
        <v>0</v>
      </c>
      <c r="J123" s="33">
        <v>0</v>
      </c>
      <c r="K123" s="28">
        <f t="shared" si="28"/>
        <v>0</v>
      </c>
      <c r="L123" s="18">
        <f t="shared" si="29"/>
        <v>0</v>
      </c>
      <c r="M123" s="22">
        <f t="shared" si="29"/>
        <v>0</v>
      </c>
      <c r="N123" s="71">
        <f t="shared" si="32"/>
        <v>0</v>
      </c>
      <c r="O123" s="37"/>
    </row>
    <row r="124" spans="1:18" ht="22.2" customHeight="1">
      <c r="A124" s="76">
        <v>4</v>
      </c>
      <c r="B124" s="31" t="s">
        <v>115</v>
      </c>
      <c r="C124" s="136">
        <v>140707</v>
      </c>
      <c r="D124" s="136">
        <v>140707</v>
      </c>
      <c r="E124" s="17">
        <f t="shared" si="30"/>
        <v>0</v>
      </c>
      <c r="F124" s="33">
        <v>0</v>
      </c>
      <c r="G124" s="10">
        <f t="shared" si="31"/>
        <v>0</v>
      </c>
      <c r="H124" s="136">
        <v>141080</v>
      </c>
      <c r="I124" s="19">
        <f t="shared" si="33"/>
        <v>373</v>
      </c>
      <c r="J124" s="33">
        <v>36.880000000000003</v>
      </c>
      <c r="K124" s="28">
        <f t="shared" si="28"/>
        <v>9.8873994638069715E-2</v>
      </c>
      <c r="L124" s="18">
        <f t="shared" si="29"/>
        <v>373</v>
      </c>
      <c r="M124" s="22">
        <f t="shared" si="29"/>
        <v>36.880000000000003</v>
      </c>
      <c r="N124" s="71">
        <f t="shared" si="32"/>
        <v>10.113882863340564</v>
      </c>
      <c r="O124" s="137"/>
    </row>
    <row r="125" spans="1:18" ht="22.2" customHeight="1">
      <c r="A125" s="76">
        <v>5</v>
      </c>
      <c r="B125" s="31" t="s">
        <v>116</v>
      </c>
      <c r="C125" s="35">
        <v>44558.9</v>
      </c>
      <c r="D125" s="35">
        <v>44558.9</v>
      </c>
      <c r="E125" s="17">
        <f t="shared" si="30"/>
        <v>0</v>
      </c>
      <c r="F125" s="33">
        <v>0</v>
      </c>
      <c r="G125" s="10">
        <f t="shared" si="31"/>
        <v>0</v>
      </c>
      <c r="H125" s="35">
        <v>44558.9</v>
      </c>
      <c r="I125" s="19">
        <f t="shared" si="33"/>
        <v>0</v>
      </c>
      <c r="J125" s="33">
        <v>0</v>
      </c>
      <c r="K125" s="28">
        <f t="shared" si="28"/>
        <v>0</v>
      </c>
      <c r="L125" s="18">
        <f t="shared" si="29"/>
        <v>0</v>
      </c>
      <c r="M125" s="22">
        <f t="shared" si="29"/>
        <v>0</v>
      </c>
      <c r="N125" s="71">
        <f t="shared" si="32"/>
        <v>0</v>
      </c>
      <c r="O125" s="77"/>
    </row>
    <row r="126" spans="1:18" ht="22.2" customHeight="1">
      <c r="A126" s="76">
        <v>6</v>
      </c>
      <c r="B126" s="31" t="s">
        <v>117</v>
      </c>
      <c r="C126" s="35">
        <v>100669.6</v>
      </c>
      <c r="D126" s="35">
        <v>100669.6</v>
      </c>
      <c r="E126" s="17">
        <f t="shared" si="30"/>
        <v>0</v>
      </c>
      <c r="F126" s="33">
        <v>0</v>
      </c>
      <c r="G126" s="10">
        <f t="shared" si="31"/>
        <v>0</v>
      </c>
      <c r="H126" s="35">
        <v>100669.6</v>
      </c>
      <c r="I126" s="19">
        <f t="shared" si="33"/>
        <v>0</v>
      </c>
      <c r="J126" s="33">
        <v>0</v>
      </c>
      <c r="K126" s="28">
        <f t="shared" si="28"/>
        <v>0</v>
      </c>
      <c r="L126" s="18">
        <f t="shared" si="29"/>
        <v>0</v>
      </c>
      <c r="M126" s="22">
        <f t="shared" si="29"/>
        <v>0</v>
      </c>
      <c r="N126" s="71">
        <f t="shared" si="32"/>
        <v>0</v>
      </c>
      <c r="O126" s="37"/>
    </row>
    <row r="127" spans="1:18" ht="22.2" customHeight="1">
      <c r="A127" s="76">
        <v>7</v>
      </c>
      <c r="B127" s="31" t="s">
        <v>118</v>
      </c>
      <c r="C127" s="35">
        <v>152282.79999999999</v>
      </c>
      <c r="D127" s="35">
        <v>152282.79999999999</v>
      </c>
      <c r="E127" s="17">
        <f t="shared" si="30"/>
        <v>0</v>
      </c>
      <c r="F127" s="33">
        <v>0</v>
      </c>
      <c r="G127" s="10">
        <f t="shared" si="31"/>
        <v>0</v>
      </c>
      <c r="H127" s="35">
        <v>152282.79999999999</v>
      </c>
      <c r="I127" s="19">
        <f t="shared" si="33"/>
        <v>0</v>
      </c>
      <c r="J127" s="33">
        <v>0</v>
      </c>
      <c r="K127" s="28">
        <f t="shared" si="28"/>
        <v>0</v>
      </c>
      <c r="L127" s="18">
        <f t="shared" si="29"/>
        <v>0</v>
      </c>
      <c r="M127" s="22">
        <f>F127+J127</f>
        <v>0</v>
      </c>
      <c r="N127" s="71">
        <f t="shared" si="32"/>
        <v>0</v>
      </c>
      <c r="O127" s="37"/>
    </row>
    <row r="128" spans="1:18" ht="22.2" customHeight="1">
      <c r="A128" s="76">
        <v>8</v>
      </c>
      <c r="B128" s="138" t="s">
        <v>119</v>
      </c>
      <c r="C128" s="136">
        <v>40650.800000000003</v>
      </c>
      <c r="D128" s="136">
        <v>40650.800000000003</v>
      </c>
      <c r="E128" s="17">
        <f t="shared" si="30"/>
        <v>0</v>
      </c>
      <c r="F128" s="33">
        <v>0</v>
      </c>
      <c r="G128" s="10">
        <f t="shared" si="31"/>
        <v>0</v>
      </c>
      <c r="H128" s="136">
        <v>40766.5</v>
      </c>
      <c r="I128" s="19">
        <f t="shared" si="33"/>
        <v>115.69999999999709</v>
      </c>
      <c r="J128" s="33">
        <v>133</v>
      </c>
      <c r="K128" s="28">
        <f t="shared" si="28"/>
        <v>1.1495246326707289</v>
      </c>
      <c r="L128" s="18">
        <f t="shared" si="29"/>
        <v>115.69999999999709</v>
      </c>
      <c r="M128" s="22">
        <f>F128+J128</f>
        <v>133</v>
      </c>
      <c r="N128" s="71">
        <f t="shared" si="32"/>
        <v>0.86992481203005334</v>
      </c>
      <c r="O128" s="37"/>
    </row>
    <row r="129" spans="1:17" ht="22.2" customHeight="1">
      <c r="A129" s="76">
        <v>9</v>
      </c>
      <c r="B129" s="138" t="s">
        <v>120</v>
      </c>
      <c r="C129" s="35">
        <v>33988</v>
      </c>
      <c r="D129" s="35">
        <v>33988</v>
      </c>
      <c r="E129" s="17">
        <f t="shared" si="30"/>
        <v>0</v>
      </c>
      <c r="F129" s="33">
        <v>0</v>
      </c>
      <c r="G129" s="10">
        <f t="shared" si="31"/>
        <v>0</v>
      </c>
      <c r="H129" s="35">
        <v>33988</v>
      </c>
      <c r="I129" s="19">
        <f t="shared" si="33"/>
        <v>0</v>
      </c>
      <c r="J129" s="33">
        <v>0</v>
      </c>
      <c r="K129" s="28">
        <f t="shared" si="28"/>
        <v>0</v>
      </c>
      <c r="L129" s="18">
        <f t="shared" si="29"/>
        <v>0</v>
      </c>
      <c r="M129" s="22">
        <f t="shared" si="29"/>
        <v>0</v>
      </c>
      <c r="N129" s="71">
        <f t="shared" si="32"/>
        <v>0</v>
      </c>
      <c r="O129" s="37"/>
    </row>
    <row r="130" spans="1:17" ht="22.2" customHeight="1">
      <c r="A130" s="76">
        <v>10</v>
      </c>
      <c r="B130" s="31" t="s">
        <v>121</v>
      </c>
      <c r="C130" s="35">
        <v>155370</v>
      </c>
      <c r="D130" s="35">
        <v>155651</v>
      </c>
      <c r="E130" s="17">
        <f t="shared" si="30"/>
        <v>281</v>
      </c>
      <c r="F130" s="33">
        <v>27.07</v>
      </c>
      <c r="G130" s="10">
        <f t="shared" si="31"/>
        <v>9.6334519572953733E-2</v>
      </c>
      <c r="H130" s="35">
        <v>155651</v>
      </c>
      <c r="I130" s="19">
        <f t="shared" si="33"/>
        <v>0</v>
      </c>
      <c r="J130" s="33">
        <v>0</v>
      </c>
      <c r="K130" s="28">
        <f t="shared" si="28"/>
        <v>0</v>
      </c>
      <c r="L130" s="18">
        <f t="shared" si="29"/>
        <v>281</v>
      </c>
      <c r="M130" s="22">
        <f t="shared" si="29"/>
        <v>27.07</v>
      </c>
      <c r="N130" s="71">
        <f t="shared" si="32"/>
        <v>10.380495012929442</v>
      </c>
      <c r="O130" s="137"/>
    </row>
    <row r="131" spans="1:17" ht="23.4" customHeight="1">
      <c r="A131" s="76">
        <v>11</v>
      </c>
      <c r="B131" s="138" t="s">
        <v>122</v>
      </c>
      <c r="C131" s="35">
        <v>36866</v>
      </c>
      <c r="D131" s="35">
        <v>36866</v>
      </c>
      <c r="E131" s="17">
        <f t="shared" si="30"/>
        <v>0</v>
      </c>
      <c r="F131" s="33">
        <v>0</v>
      </c>
      <c r="G131" s="10">
        <f t="shared" si="31"/>
        <v>0</v>
      </c>
      <c r="H131" s="35">
        <v>36866</v>
      </c>
      <c r="I131" s="19">
        <f t="shared" si="33"/>
        <v>0</v>
      </c>
      <c r="J131" s="33">
        <v>0</v>
      </c>
      <c r="K131" s="28">
        <f t="shared" si="28"/>
        <v>0</v>
      </c>
      <c r="L131" s="18">
        <f t="shared" si="29"/>
        <v>0</v>
      </c>
      <c r="M131" s="22">
        <f t="shared" si="29"/>
        <v>0</v>
      </c>
      <c r="N131" s="71">
        <f t="shared" si="32"/>
        <v>0</v>
      </c>
      <c r="O131" s="37"/>
      <c r="Q131" s="38"/>
    </row>
    <row r="132" spans="1:17" ht="22.2" customHeight="1">
      <c r="A132" s="76">
        <v>12</v>
      </c>
      <c r="B132" s="138" t="s">
        <v>123</v>
      </c>
      <c r="C132" s="35">
        <v>16149</v>
      </c>
      <c r="D132" s="35">
        <v>16149</v>
      </c>
      <c r="E132" s="17">
        <f t="shared" si="30"/>
        <v>0</v>
      </c>
      <c r="F132" s="33">
        <v>0</v>
      </c>
      <c r="G132" s="78">
        <f t="shared" si="31"/>
        <v>0</v>
      </c>
      <c r="H132" s="35">
        <v>16418</v>
      </c>
      <c r="I132" s="19">
        <f t="shared" si="33"/>
        <v>269</v>
      </c>
      <c r="J132" s="33">
        <v>56</v>
      </c>
      <c r="K132" s="28">
        <f t="shared" si="28"/>
        <v>0.20817843866171004</v>
      </c>
      <c r="L132" s="18">
        <f t="shared" si="29"/>
        <v>269</v>
      </c>
      <c r="M132" s="79">
        <f t="shared" si="29"/>
        <v>56</v>
      </c>
      <c r="N132" s="71">
        <f t="shared" si="32"/>
        <v>4.8035714285714288</v>
      </c>
      <c r="O132" s="37"/>
      <c r="Q132" s="45"/>
    </row>
    <row r="133" spans="1:17" ht="21.6" customHeight="1">
      <c r="A133" s="76">
        <v>13</v>
      </c>
      <c r="B133" s="171" t="s">
        <v>124</v>
      </c>
      <c r="C133" s="35">
        <v>890.2</v>
      </c>
      <c r="D133" s="35">
        <v>890.2</v>
      </c>
      <c r="E133" s="17">
        <f t="shared" si="30"/>
        <v>0</v>
      </c>
      <c r="F133" s="35">
        <v>0</v>
      </c>
      <c r="G133" s="78">
        <f t="shared" si="31"/>
        <v>0</v>
      </c>
      <c r="H133" s="35">
        <v>890.2</v>
      </c>
      <c r="I133" s="19">
        <f t="shared" si="33"/>
        <v>0</v>
      </c>
      <c r="J133" s="35">
        <v>0</v>
      </c>
      <c r="K133" s="28">
        <f t="shared" si="28"/>
        <v>0</v>
      </c>
      <c r="L133" s="18">
        <f t="shared" si="29"/>
        <v>0</v>
      </c>
      <c r="M133" s="79">
        <f t="shared" si="29"/>
        <v>0</v>
      </c>
      <c r="N133" s="71">
        <f t="shared" si="32"/>
        <v>0</v>
      </c>
      <c r="O133" s="37"/>
      <c r="Q133" s="45"/>
    </row>
    <row r="134" spans="1:17" ht="21.6" customHeight="1">
      <c r="A134" s="76">
        <v>14</v>
      </c>
      <c r="B134" s="171" t="s">
        <v>174</v>
      </c>
      <c r="C134" s="35">
        <v>2791</v>
      </c>
      <c r="D134" s="35">
        <v>2791</v>
      </c>
      <c r="E134" s="17">
        <f t="shared" si="30"/>
        <v>0</v>
      </c>
      <c r="F134" s="35">
        <v>0</v>
      </c>
      <c r="G134" s="78">
        <f t="shared" si="31"/>
        <v>0</v>
      </c>
      <c r="H134" s="35">
        <v>2791</v>
      </c>
      <c r="I134" s="19">
        <f t="shared" si="33"/>
        <v>0</v>
      </c>
      <c r="J134" s="141">
        <v>0</v>
      </c>
      <c r="K134" s="28">
        <f t="shared" si="28"/>
        <v>0</v>
      </c>
      <c r="L134" s="18">
        <f t="shared" si="29"/>
        <v>0</v>
      </c>
      <c r="M134" s="79">
        <f t="shared" si="29"/>
        <v>0</v>
      </c>
      <c r="N134" s="71">
        <f t="shared" si="32"/>
        <v>0</v>
      </c>
      <c r="O134" s="37"/>
      <c r="Q134" s="45"/>
    </row>
    <row r="135" spans="1:17" ht="25.2" customHeight="1">
      <c r="A135" s="76">
        <v>15</v>
      </c>
      <c r="B135" s="138" t="s">
        <v>127</v>
      </c>
      <c r="C135" s="35">
        <v>0</v>
      </c>
      <c r="D135" s="35">
        <v>0</v>
      </c>
      <c r="E135" s="17">
        <f t="shared" si="30"/>
        <v>0</v>
      </c>
      <c r="F135" s="33">
        <v>0</v>
      </c>
      <c r="G135" s="78">
        <f t="shared" si="31"/>
        <v>0</v>
      </c>
      <c r="H135" s="35">
        <v>0</v>
      </c>
      <c r="I135" s="19">
        <f t="shared" si="33"/>
        <v>0</v>
      </c>
      <c r="J135" s="33">
        <v>0</v>
      </c>
      <c r="K135" s="28">
        <f t="shared" si="28"/>
        <v>0</v>
      </c>
      <c r="L135" s="18">
        <f t="shared" si="29"/>
        <v>0</v>
      </c>
      <c r="M135" s="79">
        <f t="shared" si="29"/>
        <v>0</v>
      </c>
      <c r="N135" s="71">
        <f t="shared" si="32"/>
        <v>0</v>
      </c>
      <c r="O135" s="77"/>
      <c r="Q135" s="45"/>
    </row>
    <row r="136" spans="1:17" ht="25.2" customHeight="1">
      <c r="A136" s="76">
        <v>16</v>
      </c>
      <c r="B136" s="138" t="s">
        <v>183</v>
      </c>
      <c r="C136" s="35">
        <v>295805</v>
      </c>
      <c r="D136" s="35">
        <v>295805</v>
      </c>
      <c r="E136" s="17">
        <f t="shared" si="30"/>
        <v>0</v>
      </c>
      <c r="F136" s="33">
        <v>0</v>
      </c>
      <c r="G136" s="78">
        <f t="shared" si="31"/>
        <v>0</v>
      </c>
      <c r="H136" s="35">
        <v>295805</v>
      </c>
      <c r="I136" s="19">
        <f t="shared" si="33"/>
        <v>0</v>
      </c>
      <c r="J136" s="33">
        <v>0</v>
      </c>
      <c r="K136" s="28">
        <f t="shared" si="28"/>
        <v>0</v>
      </c>
      <c r="L136" s="18">
        <f t="shared" si="29"/>
        <v>0</v>
      </c>
      <c r="M136" s="79">
        <f t="shared" si="29"/>
        <v>0</v>
      </c>
      <c r="N136" s="71">
        <f t="shared" si="32"/>
        <v>0</v>
      </c>
      <c r="O136" s="77"/>
      <c r="Q136" s="45"/>
    </row>
    <row r="137" spans="1:17" ht="25.2" customHeight="1">
      <c r="A137" s="76">
        <v>17</v>
      </c>
      <c r="B137" s="138" t="s">
        <v>184</v>
      </c>
      <c r="C137" s="35">
        <v>77139.3</v>
      </c>
      <c r="D137" s="35">
        <v>77139.3</v>
      </c>
      <c r="E137" s="17">
        <f t="shared" si="30"/>
        <v>0</v>
      </c>
      <c r="F137" s="33">
        <v>0</v>
      </c>
      <c r="G137" s="78">
        <f t="shared" si="31"/>
        <v>0</v>
      </c>
      <c r="H137" s="35">
        <v>77139.3</v>
      </c>
      <c r="I137" s="19">
        <f t="shared" si="33"/>
        <v>0</v>
      </c>
      <c r="J137" s="33">
        <v>0</v>
      </c>
      <c r="K137" s="28">
        <f t="shared" si="28"/>
        <v>0</v>
      </c>
      <c r="L137" s="18">
        <f t="shared" si="29"/>
        <v>0</v>
      </c>
      <c r="M137" s="79">
        <f t="shared" si="29"/>
        <v>0</v>
      </c>
      <c r="N137" s="71">
        <f t="shared" si="32"/>
        <v>0</v>
      </c>
      <c r="O137" s="77"/>
      <c r="Q137" s="45"/>
    </row>
    <row r="138" spans="1:17" ht="25.2" customHeight="1">
      <c r="A138" s="76">
        <v>18</v>
      </c>
      <c r="B138" s="138" t="s">
        <v>185</v>
      </c>
      <c r="C138" s="35">
        <v>113495.8</v>
      </c>
      <c r="D138" s="35">
        <v>113495.8</v>
      </c>
      <c r="E138" s="17">
        <f t="shared" si="30"/>
        <v>0</v>
      </c>
      <c r="F138" s="33">
        <v>0</v>
      </c>
      <c r="G138" s="78">
        <f t="shared" si="31"/>
        <v>0</v>
      </c>
      <c r="H138" s="35">
        <v>113495.8</v>
      </c>
      <c r="I138" s="19">
        <f t="shared" si="33"/>
        <v>0</v>
      </c>
      <c r="J138" s="33">
        <v>0</v>
      </c>
      <c r="K138" s="28">
        <f t="shared" si="28"/>
        <v>0</v>
      </c>
      <c r="L138" s="18">
        <f t="shared" si="29"/>
        <v>0</v>
      </c>
      <c r="M138" s="79">
        <f t="shared" si="29"/>
        <v>0</v>
      </c>
      <c r="N138" s="71">
        <f t="shared" si="32"/>
        <v>0</v>
      </c>
      <c r="O138" s="77"/>
      <c r="Q138" s="45"/>
    </row>
    <row r="139" spans="1:17" ht="18">
      <c r="A139" s="196" t="s">
        <v>28</v>
      </c>
      <c r="B139" s="197"/>
      <c r="C139" s="123"/>
      <c r="D139" s="123"/>
      <c r="E139" s="40">
        <f>SUM(E121:E138)</f>
        <v>281</v>
      </c>
      <c r="F139" s="40">
        <f>SUM(F121:F138)</f>
        <v>27.07</v>
      </c>
      <c r="G139" s="39"/>
      <c r="H139" s="39"/>
      <c r="I139" s="40">
        <f>SUM(I121:I138)</f>
        <v>1007.6999999999971</v>
      </c>
      <c r="J139" s="40">
        <f>SUM(J121:J138)</f>
        <v>264.88</v>
      </c>
      <c r="K139" s="145"/>
      <c r="L139" s="146">
        <f>SUM(L121:L138)</f>
        <v>1288.6999999999971</v>
      </c>
      <c r="M139" s="147">
        <f>SUM(M121:M138)</f>
        <v>291.95</v>
      </c>
      <c r="N139" s="34"/>
      <c r="O139" s="37"/>
      <c r="P139" s="72"/>
    </row>
    <row r="140" spans="1:17" ht="21.6" thickBot="1">
      <c r="A140" s="148"/>
      <c r="B140" s="149"/>
      <c r="C140" s="149"/>
      <c r="D140" s="149"/>
      <c r="E140" s="149" t="s">
        <v>139</v>
      </c>
      <c r="F140" s="150">
        <f>F19+F25+F34+F40+F47+G117+F139</f>
        <v>16013.3</v>
      </c>
      <c r="G140" s="149"/>
      <c r="H140" s="149"/>
      <c r="I140" s="151" t="s">
        <v>140</v>
      </c>
      <c r="J140" s="150">
        <f>J19+J25+J34+J40+J47+M117+J139</f>
        <v>13113.75</v>
      </c>
      <c r="K140" s="198" t="s">
        <v>141</v>
      </c>
      <c r="L140" s="198"/>
      <c r="M140" s="198"/>
      <c r="N140" s="198"/>
      <c r="O140" s="152"/>
    </row>
    <row r="141" spans="1:17" ht="15">
      <c r="B141" s="153"/>
      <c r="C141" s="152"/>
      <c r="D141" s="152"/>
      <c r="E141" s="152"/>
      <c r="F141" s="152"/>
      <c r="G141" s="152"/>
      <c r="H141" s="152"/>
      <c r="I141" s="152"/>
      <c r="J141" s="154"/>
      <c r="K141" s="155" t="s">
        <v>142</v>
      </c>
      <c r="L141" s="199">
        <f>N2</f>
        <v>46218</v>
      </c>
      <c r="M141" s="200"/>
      <c r="N141" s="156"/>
      <c r="O141" s="157">
        <f>M139-N147</f>
        <v>158.94999999999999</v>
      </c>
    </row>
    <row r="142" spans="1:17" ht="18">
      <c r="B142" s="158" t="s">
        <v>143</v>
      </c>
      <c r="C142" s="159">
        <f>F140</f>
        <v>16013.3</v>
      </c>
      <c r="D142" s="160"/>
      <c r="E142" s="160"/>
      <c r="F142" s="159"/>
      <c r="G142" s="160"/>
      <c r="H142" s="160"/>
      <c r="I142" s="160"/>
      <c r="J142" s="45"/>
      <c r="K142" s="188" t="s">
        <v>144</v>
      </c>
      <c r="L142" s="189"/>
      <c r="M142" s="190"/>
      <c r="N142" s="161">
        <f>P117</f>
        <v>18615.370000000003</v>
      </c>
      <c r="O142" s="152"/>
    </row>
    <row r="143" spans="1:17" ht="18">
      <c r="B143" s="158" t="s">
        <v>145</v>
      </c>
      <c r="C143" s="159">
        <f>J140</f>
        <v>13113.75</v>
      </c>
      <c r="D143" s="160"/>
      <c r="E143" s="160"/>
      <c r="F143" s="159"/>
      <c r="G143" s="159"/>
      <c r="H143" s="160"/>
      <c r="I143" s="160"/>
      <c r="J143" s="45"/>
      <c r="K143" s="188" t="s">
        <v>146</v>
      </c>
      <c r="L143" s="189"/>
      <c r="M143" s="190"/>
      <c r="N143" s="161">
        <f>M19</f>
        <v>7145.57</v>
      </c>
      <c r="O143" s="152"/>
    </row>
    <row r="144" spans="1:17" ht="18">
      <c r="B144" s="158" t="s">
        <v>28</v>
      </c>
      <c r="C144" s="159">
        <f>C142+C143</f>
        <v>29127.05</v>
      </c>
      <c r="D144" s="160"/>
      <c r="E144" s="160"/>
      <c r="F144" s="160"/>
      <c r="G144" s="159"/>
      <c r="H144" s="160"/>
      <c r="I144" s="160"/>
      <c r="K144" s="188" t="s">
        <v>147</v>
      </c>
      <c r="L144" s="189"/>
      <c r="M144" s="190"/>
      <c r="N144" s="161">
        <f>M34</f>
        <v>1651.7000000000003</v>
      </c>
    </row>
    <row r="145" spans="1:16" ht="18">
      <c r="C145" s="45"/>
      <c r="D145" s="45"/>
      <c r="E145" s="45"/>
      <c r="F145" s="45"/>
      <c r="G145" s="45"/>
      <c r="H145" s="160" t="s">
        <v>94</v>
      </c>
      <c r="I145" s="45"/>
      <c r="K145" s="188" t="s">
        <v>148</v>
      </c>
      <c r="L145" s="189"/>
      <c r="M145" s="190"/>
      <c r="N145" s="161">
        <f>M40</f>
        <v>517.52</v>
      </c>
    </row>
    <row r="146" spans="1:16" ht="25.2" customHeight="1">
      <c r="B146" s="162" t="s">
        <v>149</v>
      </c>
      <c r="C146" s="193"/>
      <c r="D146" s="193"/>
      <c r="E146" s="193"/>
      <c r="F146" s="193"/>
      <c r="G146" s="193"/>
      <c r="H146" s="193"/>
      <c r="I146" s="193"/>
      <c r="J146" s="193"/>
      <c r="K146" s="188" t="s">
        <v>150</v>
      </c>
      <c r="L146" s="189"/>
      <c r="M146" s="190"/>
      <c r="N146" s="161">
        <f>M47</f>
        <v>433.51</v>
      </c>
    </row>
    <row r="147" spans="1:16" ht="18">
      <c r="C147" s="45"/>
      <c r="D147" s="45"/>
      <c r="E147" s="26"/>
      <c r="F147" s="26"/>
      <c r="G147" s="45"/>
      <c r="H147" s="160"/>
      <c r="I147" s="45"/>
      <c r="K147" s="188" t="s">
        <v>151</v>
      </c>
      <c r="L147" s="189"/>
      <c r="M147" s="190"/>
      <c r="N147" s="161">
        <f>M125+M126+M127+M128</f>
        <v>133</v>
      </c>
    </row>
    <row r="148" spans="1:16" ht="18">
      <c r="E148" s="38"/>
      <c r="F148" s="45"/>
      <c r="G148" s="45"/>
      <c r="H148" s="160"/>
      <c r="I148" s="45"/>
      <c r="K148" s="188" t="s">
        <v>152</v>
      </c>
      <c r="L148" s="189"/>
      <c r="M148" s="190"/>
      <c r="N148" s="161">
        <f>O141</f>
        <v>158.94999999999999</v>
      </c>
    </row>
    <row r="149" spans="1:16" ht="18.600000000000001" thickBot="1">
      <c r="C149" s="38"/>
      <c r="D149" s="38"/>
      <c r="G149" s="163"/>
      <c r="H149" s="160"/>
      <c r="K149" s="188" t="s">
        <v>153</v>
      </c>
      <c r="L149" s="189"/>
      <c r="M149" s="190"/>
      <c r="N149" s="164">
        <f>M25</f>
        <v>471.43</v>
      </c>
      <c r="P149" s="38"/>
    </row>
    <row r="150" spans="1:16" ht="16.8" thickBot="1">
      <c r="C150" s="38"/>
      <c r="D150" s="38"/>
      <c r="E150" s="38"/>
      <c r="F150" s="38"/>
      <c r="H150" s="38"/>
      <c r="K150" s="191" t="s">
        <v>154</v>
      </c>
      <c r="L150" s="192"/>
      <c r="M150" s="192"/>
      <c r="N150" s="165">
        <f>SUM(N142:N149)</f>
        <v>29127.050000000003</v>
      </c>
    </row>
    <row r="151" spans="1:16">
      <c r="C151" s="38"/>
      <c r="D151" s="38"/>
      <c r="E151" s="159"/>
      <c r="F151" s="159"/>
      <c r="H151" s="38"/>
      <c r="I151" s="38"/>
    </row>
    <row r="152" spans="1:16">
      <c r="C152" s="38"/>
      <c r="D152" s="38"/>
      <c r="E152" s="38"/>
      <c r="F152" s="38"/>
      <c r="H152" s="160"/>
    </row>
    <row r="153" spans="1:16">
      <c r="A153" s="159"/>
      <c r="B153" s="159"/>
      <c r="C153" s="159"/>
      <c r="D153" s="159"/>
      <c r="E153" s="159"/>
      <c r="F153" s="159"/>
      <c r="G153" s="38"/>
      <c r="H153" s="38"/>
      <c r="N153" s="45"/>
    </row>
    <row r="154" spans="1:16">
      <c r="A154" s="159"/>
    </row>
  </sheetData>
  <mergeCells count="72">
    <mergeCell ref="A1:N1"/>
    <mergeCell ref="A2:L2"/>
    <mergeCell ref="A3:A4"/>
    <mergeCell ref="B3:B4"/>
    <mergeCell ref="C3:G3"/>
    <mergeCell ref="H3:L3"/>
    <mergeCell ref="M3:M4"/>
    <mergeCell ref="N3:N4"/>
    <mergeCell ref="O3:O4"/>
    <mergeCell ref="P3:P4"/>
    <mergeCell ref="A19:B19"/>
    <mergeCell ref="A20:L20"/>
    <mergeCell ref="A21:A22"/>
    <mergeCell ref="B21:B22"/>
    <mergeCell ref="C21:G21"/>
    <mergeCell ref="H21:K21"/>
    <mergeCell ref="M21:M22"/>
    <mergeCell ref="N21:N22"/>
    <mergeCell ref="A25:B25"/>
    <mergeCell ref="A26:L26"/>
    <mergeCell ref="A27:A28"/>
    <mergeCell ref="B27:B28"/>
    <mergeCell ref="C27:G27"/>
    <mergeCell ref="H27:K27"/>
    <mergeCell ref="M27:M28"/>
    <mergeCell ref="N27:N28"/>
    <mergeCell ref="A34:B34"/>
    <mergeCell ref="A35:L35"/>
    <mergeCell ref="A36:A37"/>
    <mergeCell ref="B36:B37"/>
    <mergeCell ref="C36:G36"/>
    <mergeCell ref="H36:K36"/>
    <mergeCell ref="M36:M37"/>
    <mergeCell ref="N36:N37"/>
    <mergeCell ref="A40:B40"/>
    <mergeCell ref="A41:L41"/>
    <mergeCell ref="A42:A43"/>
    <mergeCell ref="B42:B43"/>
    <mergeCell ref="C42:G42"/>
    <mergeCell ref="H42:K42"/>
    <mergeCell ref="M42:M43"/>
    <mergeCell ref="N42:N43"/>
    <mergeCell ref="A47:B47"/>
    <mergeCell ref="A48:L48"/>
    <mergeCell ref="A49:A50"/>
    <mergeCell ref="B49:B50"/>
    <mergeCell ref="C49:H49"/>
    <mergeCell ref="I49:N49"/>
    <mergeCell ref="K143:M143"/>
    <mergeCell ref="O49:O50"/>
    <mergeCell ref="P49:P50"/>
    <mergeCell ref="Q49:Q50"/>
    <mergeCell ref="R49:R50"/>
    <mergeCell ref="A118:L118"/>
    <mergeCell ref="A119:A120"/>
    <mergeCell ref="B119:B120"/>
    <mergeCell ref="C119:G119"/>
    <mergeCell ref="H119:K119"/>
    <mergeCell ref="M119:M120"/>
    <mergeCell ref="N119:N120"/>
    <mergeCell ref="A139:B139"/>
    <mergeCell ref="K140:N140"/>
    <mergeCell ref="L141:M141"/>
    <mergeCell ref="K142:M142"/>
    <mergeCell ref="K149:M149"/>
    <mergeCell ref="K150:M150"/>
    <mergeCell ref="K144:M144"/>
    <mergeCell ref="K145:M145"/>
    <mergeCell ref="C146:J146"/>
    <mergeCell ref="K146:M146"/>
    <mergeCell ref="K147:M147"/>
    <mergeCell ref="K148:M148"/>
  </mergeCells>
  <conditionalFormatting sqref="N7:N20 N23:N24 N29:N33 N38:N39 N44:N46">
    <cfRule type="cellIs" dxfId="23" priority="2" operator="greaterThan">
      <formula>40</formula>
    </cfRule>
  </conditionalFormatting>
  <conditionalFormatting sqref="Q51:Q117">
    <cfRule type="cellIs" dxfId="22" priority="1" operator="lessThan">
      <formula>0.5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D5C2C-4367-4D2C-9F01-96BC7BE103A6}">
  <dimension ref="A1:AA155"/>
  <sheetViews>
    <sheetView zoomScale="74" zoomScaleNormal="74" workbookViewId="0">
      <pane ySplit="1" topLeftCell="A38" activePane="bottomLeft" state="frozen"/>
      <selection pane="bottomLeft" activeCell="H44" sqref="H44:H46"/>
    </sheetView>
  </sheetViews>
  <sheetFormatPr defaultColWidth="9" defaultRowHeight="14.4"/>
  <cols>
    <col min="1" max="1" width="8.5546875" customWidth="1"/>
    <col min="2" max="2" width="29.44140625" bestFit="1" customWidth="1"/>
    <col min="3" max="3" width="11.6640625" customWidth="1"/>
    <col min="4" max="4" width="11.21875" customWidth="1"/>
    <col min="5" max="5" width="9.77734375" customWidth="1"/>
    <col min="6" max="6" width="13.6640625" customWidth="1"/>
    <col min="7" max="7" width="10" customWidth="1"/>
    <col min="8" max="8" width="9.77734375" customWidth="1"/>
    <col min="9" max="9" width="12.77734375" bestFit="1" customWidth="1"/>
    <col min="10" max="10" width="10.6640625" bestFit="1" customWidth="1"/>
    <col min="11" max="11" width="15.77734375" customWidth="1"/>
    <col min="12" max="12" width="10.77734375" customWidth="1"/>
    <col min="13" max="13" width="12.5546875" customWidth="1"/>
    <col min="14" max="14" width="17.88671875" customWidth="1"/>
    <col min="15" max="15" width="13.44140625" customWidth="1"/>
    <col min="16" max="16" width="17" customWidth="1"/>
    <col min="17" max="17" width="11.109375" bestFit="1" customWidth="1"/>
    <col min="19" max="19" width="9.21875" bestFit="1" customWidth="1"/>
    <col min="20" max="20" width="8.21875" bestFit="1" customWidth="1"/>
    <col min="21" max="22" width="11.21875" customWidth="1"/>
  </cols>
  <sheetData>
    <row r="1" spans="1:22" ht="18.600000000000001" thickBot="1">
      <c r="A1" s="249" t="s">
        <v>0</v>
      </c>
      <c r="B1" s="249"/>
      <c r="C1" s="249"/>
      <c r="D1" s="249"/>
      <c r="E1" s="249"/>
      <c r="F1" s="249"/>
      <c r="G1" s="249"/>
      <c r="H1" s="249"/>
      <c r="I1" s="249"/>
      <c r="J1" s="249"/>
      <c r="K1" s="249"/>
      <c r="L1" s="249"/>
      <c r="M1" s="249"/>
      <c r="N1" s="249"/>
      <c r="O1" s="1"/>
      <c r="V1" s="2"/>
    </row>
    <row r="2" spans="1:22" ht="19.8" customHeight="1" thickBot="1">
      <c r="A2" s="250" t="s">
        <v>1</v>
      </c>
      <c r="B2" s="251"/>
      <c r="C2" s="252"/>
      <c r="D2" s="252"/>
      <c r="E2" s="252"/>
      <c r="F2" s="252"/>
      <c r="G2" s="252"/>
      <c r="H2" s="252"/>
      <c r="I2" s="252"/>
      <c r="J2" s="252"/>
      <c r="K2" s="252"/>
      <c r="L2" s="251"/>
      <c r="M2" s="3" t="s">
        <v>2</v>
      </c>
      <c r="N2" s="4">
        <v>46219</v>
      </c>
      <c r="O2" s="1"/>
    </row>
    <row r="3" spans="1:22" ht="18" customHeight="1">
      <c r="A3" s="209" t="s">
        <v>3</v>
      </c>
      <c r="B3" s="211" t="s">
        <v>4</v>
      </c>
      <c r="C3" s="213" t="s">
        <v>5</v>
      </c>
      <c r="D3" s="214"/>
      <c r="E3" s="214"/>
      <c r="F3" s="214"/>
      <c r="G3" s="215"/>
      <c r="H3" s="253" t="s">
        <v>6</v>
      </c>
      <c r="I3" s="254"/>
      <c r="J3" s="254"/>
      <c r="K3" s="254"/>
      <c r="L3" s="255"/>
      <c r="M3" s="219" t="s">
        <v>7</v>
      </c>
      <c r="N3" s="194" t="s">
        <v>8</v>
      </c>
      <c r="O3" s="243" t="s">
        <v>9</v>
      </c>
      <c r="P3" s="222" t="s">
        <v>10</v>
      </c>
    </row>
    <row r="4" spans="1:22" ht="22.8" customHeight="1">
      <c r="A4" s="247"/>
      <c r="B4" s="248"/>
      <c r="C4" s="6" t="s">
        <v>11</v>
      </c>
      <c r="D4" s="6" t="s">
        <v>12</v>
      </c>
      <c r="E4" s="6" t="s">
        <v>13</v>
      </c>
      <c r="F4" s="6" t="s">
        <v>14</v>
      </c>
      <c r="G4" s="6" t="s">
        <v>8</v>
      </c>
      <c r="H4" s="6" t="s">
        <v>12</v>
      </c>
      <c r="I4" s="6" t="s">
        <v>13</v>
      </c>
      <c r="J4" s="6" t="s">
        <v>14</v>
      </c>
      <c r="K4" s="7" t="s">
        <v>8</v>
      </c>
      <c r="L4" s="8" t="s">
        <v>15</v>
      </c>
      <c r="M4" s="236"/>
      <c r="N4" s="237"/>
      <c r="O4" s="248"/>
      <c r="P4" s="243"/>
    </row>
    <row r="5" spans="1:22" ht="22.8" customHeight="1">
      <c r="A5" s="5">
        <v>1</v>
      </c>
      <c r="B5" s="9" t="s">
        <v>175</v>
      </c>
      <c r="C5" s="2">
        <v>32052.1</v>
      </c>
      <c r="D5" s="2">
        <v>32062.6</v>
      </c>
      <c r="E5" s="2">
        <f>D5-C5</f>
        <v>10.5</v>
      </c>
      <c r="F5" s="2">
        <v>224.92</v>
      </c>
      <c r="G5" s="10">
        <f>IFERROR(F5/E5,0)</f>
        <v>21.420952380952379</v>
      </c>
      <c r="H5" s="2">
        <v>32062.6</v>
      </c>
      <c r="I5" s="167">
        <f>H5-D5</f>
        <v>0</v>
      </c>
      <c r="J5" s="2">
        <v>0</v>
      </c>
      <c r="K5" s="11">
        <f>IFERROR(J5/I5,0)</f>
        <v>0</v>
      </c>
      <c r="L5" s="12">
        <f t="shared" ref="L5:M17" si="0">E5+I5</f>
        <v>10.5</v>
      </c>
      <c r="M5" s="13">
        <f t="shared" si="0"/>
        <v>224.92</v>
      </c>
      <c r="N5" s="14">
        <f>IFERROR(M5/L5,0)</f>
        <v>21.420952380952379</v>
      </c>
      <c r="O5" s="2">
        <v>106</v>
      </c>
      <c r="P5" s="5"/>
    </row>
    <row r="6" spans="1:22" ht="22.8" customHeight="1">
      <c r="A6" s="81">
        <v>2</v>
      </c>
      <c r="B6" s="16" t="s">
        <v>170</v>
      </c>
      <c r="C6" s="49">
        <v>33885.9</v>
      </c>
      <c r="D6" s="49">
        <v>33896</v>
      </c>
      <c r="E6" s="2">
        <f>D6-C6</f>
        <v>10.099999999998545</v>
      </c>
      <c r="F6" s="49">
        <v>360</v>
      </c>
      <c r="G6" s="10">
        <f>IFERROR(F6/E6,0)</f>
        <v>35.643564356440777</v>
      </c>
      <c r="H6" s="49">
        <v>33896</v>
      </c>
      <c r="I6" s="167">
        <f>H6-D6</f>
        <v>0</v>
      </c>
      <c r="J6" s="49">
        <v>0</v>
      </c>
      <c r="K6" s="11">
        <f>IFERROR(J6/I6,0)</f>
        <v>0</v>
      </c>
      <c r="L6" s="12">
        <f t="shared" si="0"/>
        <v>10.099999999998545</v>
      </c>
      <c r="M6" s="13">
        <f t="shared" si="0"/>
        <v>360</v>
      </c>
      <c r="N6" s="14">
        <f>IFERROR(M6/L6,0)</f>
        <v>35.643564356440777</v>
      </c>
      <c r="O6" s="49">
        <v>119</v>
      </c>
      <c r="P6" s="81"/>
    </row>
    <row r="7" spans="1:22" ht="24" customHeight="1">
      <c r="A7" s="5">
        <v>3</v>
      </c>
      <c r="B7" s="16" t="s">
        <v>17</v>
      </c>
      <c r="C7" s="17">
        <v>32493.3</v>
      </c>
      <c r="D7" s="17">
        <v>32493.3</v>
      </c>
      <c r="E7" s="17">
        <f t="shared" ref="E7:E18" si="1">D7-C7</f>
        <v>0</v>
      </c>
      <c r="F7" s="18">
        <v>0</v>
      </c>
      <c r="G7" s="10">
        <f>IFERROR(F7/E7,0)</f>
        <v>0</v>
      </c>
      <c r="H7" s="17">
        <v>32493.3</v>
      </c>
      <c r="I7" s="19">
        <f t="shared" ref="I7:I14" si="2">H7-D7</f>
        <v>0</v>
      </c>
      <c r="J7" s="20">
        <v>0</v>
      </c>
      <c r="K7" s="21">
        <f>IFERROR(J7/I7,0)</f>
        <v>0</v>
      </c>
      <c r="L7" s="18">
        <f t="shared" si="0"/>
        <v>0</v>
      </c>
      <c r="M7" s="22">
        <f t="shared" si="0"/>
        <v>0</v>
      </c>
      <c r="N7" s="23">
        <f>IFERROR(M7/L7,0)</f>
        <v>0</v>
      </c>
      <c r="O7" s="24">
        <v>0</v>
      </c>
      <c r="P7" s="25"/>
      <c r="Q7" s="26"/>
    </row>
    <row r="8" spans="1:22" ht="25.8" customHeight="1">
      <c r="A8" s="81">
        <v>4</v>
      </c>
      <c r="B8" s="16" t="s">
        <v>18</v>
      </c>
      <c r="C8" s="17">
        <v>24725.5</v>
      </c>
      <c r="D8" s="17">
        <v>24737.200000000001</v>
      </c>
      <c r="E8" s="17">
        <f t="shared" si="1"/>
        <v>11.700000000000728</v>
      </c>
      <c r="F8" s="18">
        <v>359.63</v>
      </c>
      <c r="G8" s="10">
        <f t="shared" ref="G8:G13" si="3">IFERROR(F8/E8,0)</f>
        <v>30.737606837604925</v>
      </c>
      <c r="H8" s="17">
        <v>24745.599999999999</v>
      </c>
      <c r="I8" s="19">
        <f t="shared" si="2"/>
        <v>8.3999999999978172</v>
      </c>
      <c r="J8" s="20">
        <v>197</v>
      </c>
      <c r="K8" s="28">
        <f t="shared" ref="K8:K14" si="4">IFERROR(J8/I8,0)</f>
        <v>23.452380952387045</v>
      </c>
      <c r="L8" s="18">
        <f t="shared" si="0"/>
        <v>20.099999999998545</v>
      </c>
      <c r="M8" s="22">
        <f t="shared" si="0"/>
        <v>556.63</v>
      </c>
      <c r="N8" s="23">
        <f t="shared" ref="N8:N18" si="5">IFERROR(M8/L8,0)</f>
        <v>27.693034825872651</v>
      </c>
      <c r="O8" s="29">
        <v>117</v>
      </c>
      <c r="P8" s="30"/>
      <c r="Q8" s="26"/>
      <c r="S8" s="26"/>
    </row>
    <row r="9" spans="1:22" ht="25.8" customHeight="1">
      <c r="A9" s="5">
        <v>5</v>
      </c>
      <c r="B9" s="31" t="s">
        <v>19</v>
      </c>
      <c r="C9" s="17">
        <v>32624.6</v>
      </c>
      <c r="D9" s="17">
        <v>32635.3</v>
      </c>
      <c r="E9" s="17">
        <f t="shared" si="1"/>
        <v>10.700000000000728</v>
      </c>
      <c r="F9" s="32">
        <v>322.91000000000003</v>
      </c>
      <c r="G9" s="10">
        <f t="shared" si="3"/>
        <v>30.178504672895148</v>
      </c>
      <c r="H9" s="17">
        <v>32641.1</v>
      </c>
      <c r="I9" s="19">
        <f t="shared" si="2"/>
        <v>5.7999999999992724</v>
      </c>
      <c r="J9" s="33">
        <v>203</v>
      </c>
      <c r="K9" s="28">
        <f t="shared" si="4"/>
        <v>35.000000000004391</v>
      </c>
      <c r="L9" s="18">
        <f t="shared" si="0"/>
        <v>16.5</v>
      </c>
      <c r="M9" s="22">
        <f t="shared" si="0"/>
        <v>525.91000000000008</v>
      </c>
      <c r="N9" s="23">
        <f t="shared" si="5"/>
        <v>31.873333333333338</v>
      </c>
      <c r="O9" s="29">
        <v>210</v>
      </c>
      <c r="P9" s="30"/>
      <c r="Q9" s="26"/>
      <c r="S9" s="26"/>
    </row>
    <row r="10" spans="1:22" ht="25.8" customHeight="1">
      <c r="A10" s="81">
        <v>6</v>
      </c>
      <c r="B10" s="16" t="s">
        <v>20</v>
      </c>
      <c r="C10" s="17">
        <v>33602.300000000003</v>
      </c>
      <c r="D10" s="17">
        <v>33614.699999999997</v>
      </c>
      <c r="E10" s="17">
        <f>D10-C10</f>
        <v>12.399999999994179</v>
      </c>
      <c r="F10" s="34">
        <v>477</v>
      </c>
      <c r="G10" s="10">
        <f>IFERROR(F10/E10,0)</f>
        <v>38.467741935501927</v>
      </c>
      <c r="H10" s="17">
        <v>33614.699999999997</v>
      </c>
      <c r="I10" s="19">
        <f>H10-D10</f>
        <v>0</v>
      </c>
      <c r="J10" s="33">
        <v>0</v>
      </c>
      <c r="K10" s="28">
        <f>IFERROR(J10/I10,0)</f>
        <v>0</v>
      </c>
      <c r="L10" s="18">
        <f>E10+I10</f>
        <v>12.399999999994179</v>
      </c>
      <c r="M10" s="22">
        <f>F10+J10</f>
        <v>477</v>
      </c>
      <c r="N10" s="23">
        <f>IFERROR(M10/L10,0)</f>
        <v>38.467741935501927</v>
      </c>
      <c r="O10" s="29">
        <v>99</v>
      </c>
      <c r="P10" s="30"/>
      <c r="Q10" s="26"/>
      <c r="S10" s="26"/>
    </row>
    <row r="11" spans="1:22" ht="22.8" customHeight="1">
      <c r="A11" s="5">
        <v>7</v>
      </c>
      <c r="B11" s="16" t="s">
        <v>21</v>
      </c>
      <c r="C11" s="17">
        <v>28111.8</v>
      </c>
      <c r="D11" s="17">
        <v>28122.7</v>
      </c>
      <c r="E11" s="17">
        <f t="shared" si="1"/>
        <v>10.900000000001455</v>
      </c>
      <c r="F11" s="32">
        <v>305.60000000000002</v>
      </c>
      <c r="G11" s="10">
        <f t="shared" si="3"/>
        <v>28.03669724770268</v>
      </c>
      <c r="H11" s="17">
        <v>28122.7</v>
      </c>
      <c r="I11" s="19">
        <f t="shared" si="2"/>
        <v>0</v>
      </c>
      <c r="J11" s="20">
        <v>0</v>
      </c>
      <c r="K11" s="28">
        <f t="shared" si="4"/>
        <v>0</v>
      </c>
      <c r="L11" s="18">
        <f t="shared" si="0"/>
        <v>10.900000000001455</v>
      </c>
      <c r="M11" s="22">
        <f t="shared" si="0"/>
        <v>305.60000000000002</v>
      </c>
      <c r="N11" s="23">
        <f t="shared" si="5"/>
        <v>28.03669724770268</v>
      </c>
      <c r="O11" s="29">
        <v>88</v>
      </c>
      <c r="P11" s="30"/>
      <c r="Q11" s="26"/>
      <c r="S11" s="26"/>
    </row>
    <row r="12" spans="1:22" ht="22.8" customHeight="1">
      <c r="A12" s="81">
        <v>8</v>
      </c>
      <c r="B12" s="31" t="s">
        <v>22</v>
      </c>
      <c r="C12" s="35">
        <v>27491.599999999999</v>
      </c>
      <c r="D12" s="35">
        <v>27505.7</v>
      </c>
      <c r="E12" s="17">
        <f t="shared" si="1"/>
        <v>14.100000000002183</v>
      </c>
      <c r="F12" s="32">
        <v>438.71</v>
      </c>
      <c r="G12" s="10">
        <f t="shared" si="3"/>
        <v>31.114184397158301</v>
      </c>
      <c r="H12" s="35">
        <v>27515.7</v>
      </c>
      <c r="I12" s="19">
        <f t="shared" si="2"/>
        <v>10</v>
      </c>
      <c r="J12" s="33">
        <v>299</v>
      </c>
      <c r="K12" s="28">
        <f t="shared" si="4"/>
        <v>29.9</v>
      </c>
      <c r="L12" s="18">
        <f t="shared" si="0"/>
        <v>24.100000000002183</v>
      </c>
      <c r="M12" s="22">
        <f t="shared" si="0"/>
        <v>737.71</v>
      </c>
      <c r="N12" s="23">
        <f t="shared" si="5"/>
        <v>30.610373443980631</v>
      </c>
      <c r="O12" s="29">
        <v>152</v>
      </c>
      <c r="P12" s="30"/>
      <c r="Q12" s="26"/>
      <c r="S12" s="26"/>
    </row>
    <row r="13" spans="1:22" ht="24" customHeight="1">
      <c r="A13" s="5">
        <v>9</v>
      </c>
      <c r="B13" s="31" t="s">
        <v>23</v>
      </c>
      <c r="C13" s="17">
        <v>22630.86</v>
      </c>
      <c r="D13" s="17">
        <v>22640.06</v>
      </c>
      <c r="E13" s="17">
        <f t="shared" si="1"/>
        <v>9.2000000000007276</v>
      </c>
      <c r="F13" s="34">
        <v>294.04000000000002</v>
      </c>
      <c r="G13" s="10">
        <f t="shared" si="3"/>
        <v>31.960869565214868</v>
      </c>
      <c r="H13" s="17">
        <v>22645.98</v>
      </c>
      <c r="I13" s="19">
        <f t="shared" si="2"/>
        <v>5.9199999999982538</v>
      </c>
      <c r="J13" s="20">
        <v>180</v>
      </c>
      <c r="K13" s="28">
        <f t="shared" si="4"/>
        <v>30.405405405414374</v>
      </c>
      <c r="L13" s="18">
        <f t="shared" si="0"/>
        <v>15.119999999998981</v>
      </c>
      <c r="M13" s="22">
        <f t="shared" si="0"/>
        <v>474.04</v>
      </c>
      <c r="N13" s="23">
        <f t="shared" si="5"/>
        <v>31.351851851853965</v>
      </c>
      <c r="O13" s="29">
        <v>194</v>
      </c>
      <c r="P13" s="36"/>
      <c r="Q13" s="26"/>
      <c r="S13" s="26"/>
    </row>
    <row r="14" spans="1:22" ht="24" customHeight="1">
      <c r="A14" s="81">
        <v>10</v>
      </c>
      <c r="B14" s="31" t="s">
        <v>24</v>
      </c>
      <c r="C14" s="17">
        <v>22604.07</v>
      </c>
      <c r="D14" s="17">
        <v>22613.11</v>
      </c>
      <c r="E14" s="17">
        <f t="shared" si="1"/>
        <v>9.0400000000008731</v>
      </c>
      <c r="F14" s="32">
        <v>285</v>
      </c>
      <c r="G14" s="10">
        <f>IFERROR(F14/E14,0)</f>
        <v>31.526548672563326</v>
      </c>
      <c r="H14" s="17">
        <v>22613.11</v>
      </c>
      <c r="I14" s="19">
        <f t="shared" si="2"/>
        <v>0</v>
      </c>
      <c r="J14" s="20">
        <v>0</v>
      </c>
      <c r="K14" s="28">
        <f t="shared" si="4"/>
        <v>0</v>
      </c>
      <c r="L14" s="18">
        <f t="shared" si="0"/>
        <v>9.0400000000008731</v>
      </c>
      <c r="M14" s="22">
        <f t="shared" si="0"/>
        <v>285</v>
      </c>
      <c r="N14" s="23">
        <f t="shared" si="5"/>
        <v>31.526548672563326</v>
      </c>
      <c r="O14" s="29">
        <v>34</v>
      </c>
      <c r="P14" s="37"/>
      <c r="Q14" s="26"/>
      <c r="S14" s="26"/>
    </row>
    <row r="15" spans="1:22" ht="24" customHeight="1">
      <c r="A15" s="5">
        <v>11</v>
      </c>
      <c r="B15" s="31" t="s">
        <v>25</v>
      </c>
      <c r="C15" s="17">
        <v>20087.54</v>
      </c>
      <c r="D15" s="17">
        <v>20099.169999999998</v>
      </c>
      <c r="E15" s="17">
        <f t="shared" si="1"/>
        <v>11.629999999997381</v>
      </c>
      <c r="F15" s="32">
        <v>525.64</v>
      </c>
      <c r="G15" s="10">
        <f>IFERROR(F15/E15,0)</f>
        <v>45.196904557189889</v>
      </c>
      <c r="H15" s="17">
        <v>20105.04</v>
      </c>
      <c r="I15" s="19">
        <f>H15-D15</f>
        <v>5.8700000000026193</v>
      </c>
      <c r="J15" s="20">
        <v>237</v>
      </c>
      <c r="K15" s="28">
        <f>IFERROR(J15/I15,0)</f>
        <v>40.37478705279289</v>
      </c>
      <c r="L15" s="18">
        <f>E15+I15</f>
        <v>17.5</v>
      </c>
      <c r="M15" s="22">
        <f t="shared" si="0"/>
        <v>762.64</v>
      </c>
      <c r="N15" s="23">
        <f t="shared" si="5"/>
        <v>43.579428571428572</v>
      </c>
      <c r="O15" s="29">
        <v>181</v>
      </c>
      <c r="P15" s="37"/>
      <c r="Q15" s="26"/>
      <c r="S15" s="26"/>
      <c r="T15" s="38"/>
    </row>
    <row r="16" spans="1:22" ht="24" customHeight="1">
      <c r="A16" s="81">
        <v>12</v>
      </c>
      <c r="B16" s="31" t="s">
        <v>181</v>
      </c>
      <c r="C16" s="17">
        <v>10186.030000000001</v>
      </c>
      <c r="D16" s="17">
        <v>10186.030000000001</v>
      </c>
      <c r="E16" s="17">
        <f t="shared" si="1"/>
        <v>0</v>
      </c>
      <c r="F16" s="32">
        <v>0</v>
      </c>
      <c r="G16" s="10">
        <f>IFERROR(F16/E16,0)</f>
        <v>0</v>
      </c>
      <c r="H16" s="17">
        <v>10186.030000000001</v>
      </c>
      <c r="I16" s="19">
        <f>H16-D16</f>
        <v>0</v>
      </c>
      <c r="J16" s="20">
        <v>0</v>
      </c>
      <c r="K16" s="28">
        <f>IFERROR(J16/I16,0)</f>
        <v>0</v>
      </c>
      <c r="L16" s="18">
        <f>E16+I16</f>
        <v>0</v>
      </c>
      <c r="M16" s="22">
        <f t="shared" si="0"/>
        <v>0</v>
      </c>
      <c r="N16" s="23">
        <f t="shared" si="5"/>
        <v>0</v>
      </c>
      <c r="O16" s="29">
        <v>34</v>
      </c>
      <c r="P16" s="37"/>
      <c r="Q16" s="26"/>
      <c r="S16" s="26"/>
      <c r="T16" s="38"/>
    </row>
    <row r="17" spans="1:20" ht="24" customHeight="1">
      <c r="A17" s="5">
        <v>13</v>
      </c>
      <c r="B17" s="31" t="s">
        <v>27</v>
      </c>
      <c r="C17" s="17">
        <v>18255.400000000001</v>
      </c>
      <c r="D17" s="17">
        <v>18273.7</v>
      </c>
      <c r="E17" s="17">
        <f t="shared" si="1"/>
        <v>18.299999999999272</v>
      </c>
      <c r="F17" s="18">
        <v>237.48</v>
      </c>
      <c r="G17" s="10">
        <f>IFERROR(F17/E17,0)</f>
        <v>12.977049180328384</v>
      </c>
      <c r="H17" s="17">
        <v>18273.7</v>
      </c>
      <c r="I17" s="19">
        <f t="shared" ref="I17" si="6">H17-D17</f>
        <v>0</v>
      </c>
      <c r="J17" s="20">
        <v>0</v>
      </c>
      <c r="K17" s="28">
        <f t="shared" ref="K17" si="7">IFERROR(J17/I17,0)</f>
        <v>0</v>
      </c>
      <c r="L17" s="18">
        <f t="shared" ref="L17" si="8">E17+I17</f>
        <v>18.299999999999272</v>
      </c>
      <c r="M17" s="22">
        <f t="shared" si="0"/>
        <v>237.48</v>
      </c>
      <c r="N17" s="23">
        <f t="shared" si="5"/>
        <v>12.977049180328384</v>
      </c>
      <c r="O17" s="29">
        <v>0</v>
      </c>
      <c r="P17" s="172"/>
      <c r="Q17" s="26"/>
      <c r="S17" s="26"/>
      <c r="T17" s="38"/>
    </row>
    <row r="18" spans="1:20" ht="24" customHeight="1">
      <c r="A18" s="81">
        <v>14</v>
      </c>
      <c r="B18" s="31" t="s">
        <v>26</v>
      </c>
      <c r="C18" s="17">
        <v>15231.7</v>
      </c>
      <c r="D18" s="17">
        <v>15231.7</v>
      </c>
      <c r="E18" s="17">
        <f t="shared" si="1"/>
        <v>0</v>
      </c>
      <c r="F18" s="32">
        <v>0</v>
      </c>
      <c r="G18" s="10">
        <f>IFERROR(F18/E18,0)</f>
        <v>0</v>
      </c>
      <c r="H18" s="17">
        <v>15231.7</v>
      </c>
      <c r="I18" s="19">
        <f>H18-D18</f>
        <v>0</v>
      </c>
      <c r="J18" s="20">
        <v>0</v>
      </c>
      <c r="K18" s="28">
        <f>IFERROR(J18/I18,0)</f>
        <v>0</v>
      </c>
      <c r="L18" s="18">
        <f>E18+I18</f>
        <v>0</v>
      </c>
      <c r="M18" s="22">
        <f>F18+J18</f>
        <v>0</v>
      </c>
      <c r="N18" s="23">
        <f t="shared" si="5"/>
        <v>0</v>
      </c>
      <c r="O18" s="29">
        <v>0</v>
      </c>
      <c r="P18" s="37"/>
      <c r="Q18" s="26"/>
      <c r="S18" s="26"/>
      <c r="T18" s="38"/>
    </row>
    <row r="19" spans="1:20" ht="24" customHeight="1">
      <c r="A19" s="196" t="s">
        <v>28</v>
      </c>
      <c r="B19" s="197"/>
      <c r="C19" s="39"/>
      <c r="D19" s="39"/>
      <c r="E19" s="40">
        <f>SUM(E7:E18)</f>
        <v>107.96999999999753</v>
      </c>
      <c r="F19" s="41">
        <f>SUM(F5:F18)</f>
        <v>3830.93</v>
      </c>
      <c r="G19" s="39"/>
      <c r="H19" s="39"/>
      <c r="I19" s="40">
        <f>SUM(I7:I18)</f>
        <v>35.989999999997963</v>
      </c>
      <c r="J19" s="41">
        <f>SUM(J5:J18)</f>
        <v>1116</v>
      </c>
      <c r="K19" s="28">
        <f>IFERROR(J19/I19,0)</f>
        <v>31.008613503752798</v>
      </c>
      <c r="L19" s="42">
        <f>SUM(L7:L18)</f>
        <v>143.95999999999549</v>
      </c>
      <c r="M19" s="43">
        <f>SUM(M5:M18)</f>
        <v>4946.9299999999994</v>
      </c>
      <c r="N19" s="23">
        <f>IFERROR(M19/L19,0)</f>
        <v>34.363225896083314</v>
      </c>
      <c r="O19" s="44">
        <f>SUM(O5:O18)</f>
        <v>1334</v>
      </c>
      <c r="P19" s="45"/>
      <c r="S19" s="26"/>
    </row>
    <row r="20" spans="1:20" ht="18" customHeight="1" thickBot="1">
      <c r="A20" s="206" t="s">
        <v>29</v>
      </c>
      <c r="B20" s="207"/>
      <c r="C20" s="207"/>
      <c r="D20" s="207"/>
      <c r="E20" s="207"/>
      <c r="F20" s="207"/>
      <c r="G20" s="207"/>
      <c r="H20" s="207"/>
      <c r="I20" s="207"/>
      <c r="J20" s="207"/>
      <c r="K20" s="207"/>
      <c r="L20" s="208"/>
      <c r="M20" s="46"/>
      <c r="N20" s="47"/>
      <c r="O20" s="37"/>
    </row>
    <row r="21" spans="1:20" ht="22.8" customHeight="1">
      <c r="A21" s="209" t="s">
        <v>3</v>
      </c>
      <c r="B21" s="211" t="s">
        <v>4</v>
      </c>
      <c r="C21" s="234" t="s">
        <v>5</v>
      </c>
      <c r="D21" s="234"/>
      <c r="E21" s="234"/>
      <c r="F21" s="234"/>
      <c r="G21" s="234"/>
      <c r="H21" s="235" t="s">
        <v>6</v>
      </c>
      <c r="I21" s="235"/>
      <c r="J21" s="235"/>
      <c r="K21" s="235"/>
      <c r="L21" s="48"/>
      <c r="M21" s="219" t="s">
        <v>7</v>
      </c>
      <c r="N21" s="194" t="s">
        <v>8</v>
      </c>
      <c r="O21" s="37"/>
    </row>
    <row r="22" spans="1:20" s="51" customFormat="1" ht="24" customHeight="1" thickBot="1">
      <c r="A22" s="210"/>
      <c r="B22" s="212"/>
      <c r="C22" s="49" t="s">
        <v>11</v>
      </c>
      <c r="D22" s="49" t="s">
        <v>12</v>
      </c>
      <c r="E22" s="49" t="s">
        <v>13</v>
      </c>
      <c r="F22" s="2" t="s">
        <v>14</v>
      </c>
      <c r="G22" s="2" t="s">
        <v>8</v>
      </c>
      <c r="H22" s="49" t="s">
        <v>12</v>
      </c>
      <c r="I22" s="49" t="s">
        <v>13</v>
      </c>
      <c r="J22" s="49" t="s">
        <v>14</v>
      </c>
      <c r="K22" s="7" t="s">
        <v>8</v>
      </c>
      <c r="L22" s="50" t="s">
        <v>15</v>
      </c>
      <c r="M22" s="220"/>
      <c r="N22" s="195"/>
      <c r="O22" s="37"/>
      <c r="Q22"/>
      <c r="R22"/>
      <c r="S22"/>
      <c r="T22"/>
    </row>
    <row r="23" spans="1:20" s="51" customFormat="1" ht="24" customHeight="1">
      <c r="A23" s="27">
        <v>1</v>
      </c>
      <c r="B23" s="52" t="s">
        <v>30</v>
      </c>
      <c r="C23" s="6">
        <v>18877.599999999999</v>
      </c>
      <c r="D23" s="6">
        <v>18885.5</v>
      </c>
      <c r="E23" s="53">
        <f>D23-C23</f>
        <v>7.9000000000014552</v>
      </c>
      <c r="F23" s="54">
        <v>85.32</v>
      </c>
      <c r="G23" s="55">
        <f>IFERROR(F23/E23,0)</f>
        <v>10.799999999998009</v>
      </c>
      <c r="H23" s="6">
        <v>18894</v>
      </c>
      <c r="I23" s="56">
        <f>H23-D23</f>
        <v>8.5</v>
      </c>
      <c r="J23" s="54">
        <v>119</v>
      </c>
      <c r="K23" s="57">
        <f>IFERROR(J23/I23,0)</f>
        <v>14</v>
      </c>
      <c r="L23" s="58">
        <f>E23+I23</f>
        <v>16.400000000001455</v>
      </c>
      <c r="M23" s="59">
        <f t="shared" ref="M23:M24" si="9">F23+J23</f>
        <v>204.32</v>
      </c>
      <c r="N23" s="60">
        <f>IFERROR(M23/L23,0)</f>
        <v>12.458536585364747</v>
      </c>
      <c r="O23" s="61"/>
      <c r="Q23"/>
      <c r="R23"/>
      <c r="S23"/>
      <c r="T23"/>
    </row>
    <row r="24" spans="1:20" ht="24" customHeight="1">
      <c r="A24" s="62">
        <v>2</v>
      </c>
      <c r="B24" s="52" t="s">
        <v>31</v>
      </c>
      <c r="C24" s="63">
        <v>11270.7</v>
      </c>
      <c r="D24" s="63">
        <v>11276.9</v>
      </c>
      <c r="E24" s="53">
        <f>D24-C24</f>
        <v>6.1999999999989086</v>
      </c>
      <c r="F24" s="54">
        <v>110</v>
      </c>
      <c r="G24" s="55">
        <f>IFERROR(F24/E24,0)</f>
        <v>17.741935483874091</v>
      </c>
      <c r="H24" s="63">
        <v>11276.9</v>
      </c>
      <c r="I24" s="64">
        <f>H24-D24</f>
        <v>0</v>
      </c>
      <c r="J24" s="54">
        <v>0</v>
      </c>
      <c r="K24" s="57">
        <f>IFERROR(J24/I24,0)</f>
        <v>0</v>
      </c>
      <c r="L24" s="58">
        <f>E24+I24</f>
        <v>6.1999999999989086</v>
      </c>
      <c r="M24" s="59">
        <f t="shared" si="9"/>
        <v>110</v>
      </c>
      <c r="N24" s="60">
        <f>IFERROR(M24/L24,0)</f>
        <v>17.741935483874091</v>
      </c>
      <c r="O24" s="65"/>
    </row>
    <row r="25" spans="1:20" ht="24" customHeight="1" thickBot="1">
      <c r="A25" s="238" t="s">
        <v>28</v>
      </c>
      <c r="B25" s="239"/>
      <c r="C25" s="66"/>
      <c r="D25" s="66"/>
      <c r="E25" s="67">
        <f>SUM(E23:E24)</f>
        <v>14.100000000000364</v>
      </c>
      <c r="F25" s="67">
        <f>SUM(F23:F24)</f>
        <v>195.32</v>
      </c>
      <c r="G25" s="68"/>
      <c r="H25" s="68"/>
      <c r="I25" s="67">
        <f>SUM(I23:I24)</f>
        <v>8.5</v>
      </c>
      <c r="J25" s="67">
        <f>SUM(J23:J24)</f>
        <v>119</v>
      </c>
      <c r="K25" s="69">
        <f>SUM(K23:K24)</f>
        <v>14</v>
      </c>
      <c r="L25" s="70">
        <f>SUM(L23:L24)</f>
        <v>22.600000000000364</v>
      </c>
      <c r="M25" s="43">
        <f>SUM(M23:M24)</f>
        <v>314.32</v>
      </c>
      <c r="N25" s="71"/>
      <c r="O25" s="37"/>
      <c r="P25" s="72"/>
    </row>
    <row r="26" spans="1:20" ht="18" customHeight="1" thickBot="1">
      <c r="A26" s="245" t="s">
        <v>32</v>
      </c>
      <c r="B26" s="246"/>
      <c r="C26" s="226"/>
      <c r="D26" s="226"/>
      <c r="E26" s="226"/>
      <c r="F26" s="226"/>
      <c r="G26" s="226"/>
      <c r="H26" s="226"/>
      <c r="I26" s="226"/>
      <c r="J26" s="226"/>
      <c r="K26" s="226"/>
      <c r="L26" s="246"/>
      <c r="M26" s="46"/>
      <c r="N26" s="47"/>
      <c r="O26" s="37"/>
    </row>
    <row r="27" spans="1:20" ht="22.8" customHeight="1">
      <c r="A27" s="209" t="s">
        <v>3</v>
      </c>
      <c r="B27" s="211" t="s">
        <v>4</v>
      </c>
      <c r="C27" s="234" t="s">
        <v>5</v>
      </c>
      <c r="D27" s="234"/>
      <c r="E27" s="234"/>
      <c r="F27" s="234"/>
      <c r="G27" s="234"/>
      <c r="H27" s="235" t="s">
        <v>6</v>
      </c>
      <c r="I27" s="235"/>
      <c r="J27" s="235"/>
      <c r="K27" s="235"/>
      <c r="L27" s="48"/>
      <c r="M27" s="219" t="s">
        <v>7</v>
      </c>
      <c r="N27" s="194" t="s">
        <v>8</v>
      </c>
      <c r="O27" s="37"/>
      <c r="S27" s="51"/>
    </row>
    <row r="28" spans="1:20" ht="24" customHeight="1">
      <c r="A28" s="247"/>
      <c r="B28" s="248"/>
      <c r="C28" s="6" t="s">
        <v>11</v>
      </c>
      <c r="D28" s="6" t="s">
        <v>12</v>
      </c>
      <c r="E28" s="6" t="s">
        <v>13</v>
      </c>
      <c r="F28" s="6" t="s">
        <v>14</v>
      </c>
      <c r="G28" s="6" t="s">
        <v>8</v>
      </c>
      <c r="H28" s="6" t="s">
        <v>12</v>
      </c>
      <c r="I28" s="6" t="s">
        <v>13</v>
      </c>
      <c r="J28" s="6" t="s">
        <v>14</v>
      </c>
      <c r="K28" s="7" t="s">
        <v>8</v>
      </c>
      <c r="L28" s="73" t="s">
        <v>15</v>
      </c>
      <c r="M28" s="236"/>
      <c r="N28" s="237"/>
      <c r="O28" s="61"/>
      <c r="P28" s="74"/>
      <c r="S28" s="51"/>
      <c r="T28" s="75"/>
    </row>
    <row r="29" spans="1:20" ht="24" customHeight="1">
      <c r="A29" s="76">
        <v>1</v>
      </c>
      <c r="B29" s="31" t="s">
        <v>33</v>
      </c>
      <c r="C29" s="35">
        <v>21665.7</v>
      </c>
      <c r="D29" s="35">
        <v>21680.1</v>
      </c>
      <c r="E29" s="35">
        <f>D29-C29</f>
        <v>14.399999999997817</v>
      </c>
      <c r="F29" s="33">
        <v>379.78</v>
      </c>
      <c r="G29" s="10">
        <f t="shared" ref="G29:G33" si="10">IFERROR(F29/E29,0)</f>
        <v>26.373611111115107</v>
      </c>
      <c r="H29" s="35">
        <v>21689.1</v>
      </c>
      <c r="I29" s="56">
        <f>H29-D29</f>
        <v>9</v>
      </c>
      <c r="J29" s="33">
        <v>233</v>
      </c>
      <c r="K29" s="28">
        <f t="shared" ref="K29:K33" si="11">IFERROR(J29/I29,0)</f>
        <v>25.888888888888889</v>
      </c>
      <c r="L29" s="84">
        <f t="shared" ref="L29:M33" si="12">E29+I29</f>
        <v>23.399999999997817</v>
      </c>
      <c r="M29" s="79">
        <f t="shared" si="12"/>
        <v>612.78</v>
      </c>
      <c r="N29" s="34">
        <f>IFERROR(M29/L29,0)</f>
        <v>26.187179487181929</v>
      </c>
      <c r="O29" s="37"/>
    </row>
    <row r="30" spans="1:20" ht="24" customHeight="1">
      <c r="A30" s="76">
        <v>2</v>
      </c>
      <c r="B30" s="31" t="s">
        <v>34</v>
      </c>
      <c r="C30" s="35">
        <v>21139.9</v>
      </c>
      <c r="D30" s="35">
        <v>21151.5</v>
      </c>
      <c r="E30" s="35">
        <f>D30-C30</f>
        <v>11.599999999998545</v>
      </c>
      <c r="F30" s="33">
        <v>194.47</v>
      </c>
      <c r="G30" s="10">
        <f t="shared" si="10"/>
        <v>16.764655172415896</v>
      </c>
      <c r="H30" s="35">
        <v>21159.8</v>
      </c>
      <c r="I30" s="56">
        <f>H30-D30</f>
        <v>8.2999999999992724</v>
      </c>
      <c r="J30" s="33">
        <v>154</v>
      </c>
      <c r="K30" s="28">
        <f>IFERROR(J30/I30,0)</f>
        <v>18.554216867471506</v>
      </c>
      <c r="L30" s="18">
        <f t="shared" si="12"/>
        <v>19.899999999997817</v>
      </c>
      <c r="M30" s="22">
        <f t="shared" si="12"/>
        <v>348.47</v>
      </c>
      <c r="N30" s="23">
        <f>IFERROR(M30/L30,0)</f>
        <v>17.511055276383832</v>
      </c>
      <c r="O30" s="37"/>
    </row>
    <row r="31" spans="1:20" ht="24" customHeight="1">
      <c r="A31" s="76">
        <v>3</v>
      </c>
      <c r="B31" s="31" t="s">
        <v>35</v>
      </c>
      <c r="C31" s="35">
        <v>8962.7999999999993</v>
      </c>
      <c r="D31" s="35">
        <v>8965.4</v>
      </c>
      <c r="E31" s="17">
        <f t="shared" ref="E31:E33" si="13">D31-C31</f>
        <v>2.6000000000003638</v>
      </c>
      <c r="F31" s="33">
        <v>59</v>
      </c>
      <c r="G31" s="10">
        <f t="shared" si="10"/>
        <v>22.692307692304517</v>
      </c>
      <c r="H31" s="35">
        <v>8965.4</v>
      </c>
      <c r="I31" s="19">
        <f>H31-D31</f>
        <v>0</v>
      </c>
      <c r="J31" s="33">
        <v>0</v>
      </c>
      <c r="K31" s="28">
        <f t="shared" si="11"/>
        <v>0</v>
      </c>
      <c r="L31" s="18">
        <f t="shared" si="12"/>
        <v>2.6000000000003638</v>
      </c>
      <c r="M31" s="22">
        <f t="shared" si="12"/>
        <v>59</v>
      </c>
      <c r="N31" s="23">
        <f>IFERROR(M31/L31,0)</f>
        <v>22.692307692304517</v>
      </c>
      <c r="O31" s="77"/>
    </row>
    <row r="32" spans="1:20" ht="24.6" customHeight="1">
      <c r="A32" s="76">
        <v>4</v>
      </c>
      <c r="B32" s="31" t="s">
        <v>36</v>
      </c>
      <c r="C32" s="35">
        <v>3450.3</v>
      </c>
      <c r="D32" s="35">
        <v>3461.6</v>
      </c>
      <c r="E32" s="17">
        <f t="shared" si="13"/>
        <v>11.299999999999727</v>
      </c>
      <c r="F32" s="33">
        <v>275.82</v>
      </c>
      <c r="G32" s="78">
        <f t="shared" si="10"/>
        <v>24.408849557522714</v>
      </c>
      <c r="H32" s="35">
        <v>3469.1</v>
      </c>
      <c r="I32" s="19">
        <f t="shared" ref="I32:I33" si="14">H32-D32</f>
        <v>7.5</v>
      </c>
      <c r="J32" s="33">
        <v>200</v>
      </c>
      <c r="K32" s="28">
        <f t="shared" si="11"/>
        <v>26.666666666666668</v>
      </c>
      <c r="L32" s="18">
        <f t="shared" si="12"/>
        <v>18.799999999999727</v>
      </c>
      <c r="M32" s="79">
        <f t="shared" si="12"/>
        <v>475.82</v>
      </c>
      <c r="N32" s="23">
        <f>IFERROR(M32/L32,0)</f>
        <v>25.309574468085472</v>
      </c>
      <c r="O32" s="80"/>
    </row>
    <row r="33" spans="1:19" ht="24.6" customHeight="1">
      <c r="A33" s="76">
        <v>5</v>
      </c>
      <c r="B33" s="31" t="s">
        <v>37</v>
      </c>
      <c r="C33" s="35">
        <v>769.7</v>
      </c>
      <c r="D33" s="35">
        <v>777.7</v>
      </c>
      <c r="E33" s="17">
        <f t="shared" si="13"/>
        <v>8</v>
      </c>
      <c r="F33" s="33">
        <v>235</v>
      </c>
      <c r="G33" s="78">
        <f t="shared" si="10"/>
        <v>29.375</v>
      </c>
      <c r="H33" s="35">
        <v>777.7</v>
      </c>
      <c r="I33" s="19">
        <f t="shared" si="14"/>
        <v>0</v>
      </c>
      <c r="J33" s="33">
        <v>0</v>
      </c>
      <c r="K33" s="28">
        <f t="shared" si="11"/>
        <v>0</v>
      </c>
      <c r="L33" s="18">
        <f t="shared" si="12"/>
        <v>8</v>
      </c>
      <c r="M33" s="79">
        <f t="shared" si="12"/>
        <v>235</v>
      </c>
      <c r="N33" s="23">
        <f>IFERROR(M33/L33,0)</f>
        <v>29.375</v>
      </c>
      <c r="O33" s="80"/>
    </row>
    <row r="34" spans="1:19" ht="22.8" customHeight="1" thickBot="1">
      <c r="A34" s="238" t="s">
        <v>28</v>
      </c>
      <c r="B34" s="239"/>
      <c r="C34" s="66"/>
      <c r="D34" s="66"/>
      <c r="E34" s="67">
        <f>SUM(E29:E33)</f>
        <v>47.899999999996453</v>
      </c>
      <c r="F34" s="67">
        <f>SUM(F29:F33)</f>
        <v>1144.07</v>
      </c>
      <c r="G34" s="68"/>
      <c r="H34" s="68"/>
      <c r="I34" s="67">
        <f>SUM(I29:I33)</f>
        <v>24.799999999999272</v>
      </c>
      <c r="J34" s="67">
        <f>SUM(J29:J33)</f>
        <v>587</v>
      </c>
      <c r="K34" s="69">
        <f>SUM(K29:K33)</f>
        <v>71.109772423027067</v>
      </c>
      <c r="L34" s="70">
        <f>SUM(L29:L33)</f>
        <v>72.699999999995725</v>
      </c>
      <c r="M34" s="43">
        <f>SUM(M29:M33)</f>
        <v>1731.07</v>
      </c>
      <c r="N34" s="71">
        <f>IFERROR(M34/K34,0)</f>
        <v>24.343630151169457</v>
      </c>
      <c r="O34" s="37"/>
      <c r="P34" s="72"/>
      <c r="S34" s="51"/>
    </row>
    <row r="35" spans="1:19" ht="24" customHeight="1">
      <c r="A35" s="240" t="s">
        <v>38</v>
      </c>
      <c r="B35" s="241"/>
      <c r="C35" s="241"/>
      <c r="D35" s="241"/>
      <c r="E35" s="241"/>
      <c r="F35" s="241"/>
      <c r="G35" s="241"/>
      <c r="H35" s="241"/>
      <c r="I35" s="241"/>
      <c r="J35" s="241"/>
      <c r="K35" s="241"/>
      <c r="L35" s="242"/>
      <c r="M35" s="46"/>
      <c r="N35" s="47"/>
      <c r="O35" s="61"/>
      <c r="S35" s="51"/>
    </row>
    <row r="36" spans="1:19" ht="24" customHeight="1">
      <c r="A36" s="243" t="s">
        <v>3</v>
      </c>
      <c r="B36" s="243" t="s">
        <v>4</v>
      </c>
      <c r="C36" s="213" t="s">
        <v>5</v>
      </c>
      <c r="D36" s="214"/>
      <c r="E36" s="214"/>
      <c r="F36" s="214"/>
      <c r="G36" s="215"/>
      <c r="H36" s="216" t="s">
        <v>6</v>
      </c>
      <c r="I36" s="217"/>
      <c r="J36" s="217"/>
      <c r="K36" s="218"/>
      <c r="L36" s="5"/>
      <c r="M36" s="221" t="s">
        <v>7</v>
      </c>
      <c r="N36" s="222" t="s">
        <v>8</v>
      </c>
      <c r="O36" s="37"/>
    </row>
    <row r="37" spans="1:19" ht="24" customHeight="1">
      <c r="A37" s="244"/>
      <c r="B37" s="244"/>
      <c r="C37" s="2" t="s">
        <v>11</v>
      </c>
      <c r="D37" s="2" t="s">
        <v>12</v>
      </c>
      <c r="E37" s="2" t="s">
        <v>13</v>
      </c>
      <c r="F37" s="2" t="s">
        <v>14</v>
      </c>
      <c r="G37" s="2" t="s">
        <v>8</v>
      </c>
      <c r="H37" s="2" t="s">
        <v>12</v>
      </c>
      <c r="I37" s="2" t="s">
        <v>13</v>
      </c>
      <c r="J37" s="2" t="s">
        <v>14</v>
      </c>
      <c r="K37" s="82" t="s">
        <v>8</v>
      </c>
      <c r="L37" s="12" t="s">
        <v>15</v>
      </c>
      <c r="M37" s="221"/>
      <c r="N37" s="222"/>
      <c r="O37" s="37"/>
    </row>
    <row r="38" spans="1:19" ht="24" customHeight="1">
      <c r="A38" s="76">
        <v>1</v>
      </c>
      <c r="B38" s="31" t="s">
        <v>39</v>
      </c>
      <c r="C38" s="83">
        <v>16605.5</v>
      </c>
      <c r="D38" s="83">
        <v>16616.5</v>
      </c>
      <c r="E38" s="35">
        <f>D38-C38</f>
        <v>11</v>
      </c>
      <c r="F38" s="33">
        <v>136</v>
      </c>
      <c r="G38" s="78">
        <f t="shared" ref="G38:G39" si="15">IFERROR(F38/E38,0)</f>
        <v>12.363636363636363</v>
      </c>
      <c r="H38" s="83">
        <v>16622.7</v>
      </c>
      <c r="I38" s="56">
        <f>H38-D38</f>
        <v>6.2000000000007276</v>
      </c>
      <c r="J38" s="33">
        <v>101</v>
      </c>
      <c r="K38" s="28">
        <f>IFERROR(J38/I38,0)</f>
        <v>16.290322580643249</v>
      </c>
      <c r="L38" s="84">
        <f t="shared" ref="L38:L39" si="16">E38+I38</f>
        <v>17.200000000000728</v>
      </c>
      <c r="M38" s="79">
        <f>F38+J38</f>
        <v>237</v>
      </c>
      <c r="N38" s="34">
        <f>IFERROR(M38/L38,0)</f>
        <v>13.779069767441278</v>
      </c>
      <c r="O38" s="37"/>
    </row>
    <row r="39" spans="1:19" ht="27" customHeight="1">
      <c r="A39" s="76">
        <v>2</v>
      </c>
      <c r="B39" s="31" t="s">
        <v>40</v>
      </c>
      <c r="C39" s="35">
        <v>4466.8</v>
      </c>
      <c r="D39" s="35">
        <v>4476.7</v>
      </c>
      <c r="E39" s="17">
        <f>D39-C39</f>
        <v>9.8999999999996362</v>
      </c>
      <c r="F39" s="33">
        <v>173.22</v>
      </c>
      <c r="G39" s="10">
        <f t="shared" si="15"/>
        <v>17.496969696970339</v>
      </c>
      <c r="H39" s="35">
        <v>4486.3999999999996</v>
      </c>
      <c r="I39" s="19">
        <f>H39-D39</f>
        <v>9.6999999999998181</v>
      </c>
      <c r="J39" s="33">
        <v>240</v>
      </c>
      <c r="K39" s="28">
        <f>IFERROR(J39/I39,0)</f>
        <v>24.742268041237576</v>
      </c>
      <c r="L39" s="18">
        <f t="shared" si="16"/>
        <v>19.599999999999454</v>
      </c>
      <c r="M39" s="22">
        <f>F39+J39</f>
        <v>413.22</v>
      </c>
      <c r="N39" s="23">
        <f>IFERROR(M39/L39,0)</f>
        <v>21.082653061225077</v>
      </c>
      <c r="O39" s="37"/>
      <c r="S39" s="51"/>
    </row>
    <row r="40" spans="1:19" ht="22.8" customHeight="1" thickBot="1">
      <c r="A40" s="196" t="s">
        <v>28</v>
      </c>
      <c r="B40" s="233"/>
      <c r="C40" s="68"/>
      <c r="D40" s="66"/>
      <c r="E40" s="67">
        <f>SUM(E38:E39)</f>
        <v>20.899999999999636</v>
      </c>
      <c r="F40" s="67">
        <f>SUM(F38:F39:F39)</f>
        <v>309.22000000000003</v>
      </c>
      <c r="G40" s="68"/>
      <c r="H40" s="68"/>
      <c r="I40" s="67">
        <f>SUM(I38:I39)</f>
        <v>15.900000000000546</v>
      </c>
      <c r="J40" s="67">
        <f>SUM(J38:J39)</f>
        <v>341</v>
      </c>
      <c r="K40" s="69">
        <f>SUM(K38:K39)</f>
        <v>41.032590621880829</v>
      </c>
      <c r="L40" s="70">
        <f>SUM(L38:L39)</f>
        <v>36.800000000000182</v>
      </c>
      <c r="M40" s="43">
        <f>SUM(M38:M39)</f>
        <v>650.22</v>
      </c>
      <c r="N40" s="71">
        <f>IFERROR(M40/K40,0)</f>
        <v>15.846428171982566</v>
      </c>
      <c r="O40" s="37"/>
      <c r="P40" s="72"/>
      <c r="S40" s="51"/>
    </row>
    <row r="41" spans="1:19" ht="24" customHeight="1">
      <c r="A41" s="225" t="s">
        <v>41</v>
      </c>
      <c r="B41" s="226"/>
      <c r="C41" s="226"/>
      <c r="D41" s="226"/>
      <c r="E41" s="226"/>
      <c r="F41" s="226"/>
      <c r="G41" s="226"/>
      <c r="H41" s="226"/>
      <c r="I41" s="226"/>
      <c r="J41" s="226"/>
      <c r="K41" s="226"/>
      <c r="L41" s="226"/>
      <c r="M41" s="46"/>
      <c r="N41" s="47"/>
      <c r="O41" s="61"/>
    </row>
    <row r="42" spans="1:19" ht="24" customHeight="1">
      <c r="A42" s="222" t="s">
        <v>3</v>
      </c>
      <c r="B42" s="222" t="s">
        <v>4</v>
      </c>
      <c r="C42" s="234" t="s">
        <v>5</v>
      </c>
      <c r="D42" s="234"/>
      <c r="E42" s="234"/>
      <c r="F42" s="234"/>
      <c r="G42" s="234"/>
      <c r="H42" s="235" t="s">
        <v>6</v>
      </c>
      <c r="I42" s="235"/>
      <c r="J42" s="235"/>
      <c r="K42" s="235"/>
      <c r="L42" s="5"/>
      <c r="M42" s="221" t="s">
        <v>7</v>
      </c>
      <c r="N42" s="222" t="s">
        <v>8</v>
      </c>
      <c r="O42" s="37"/>
    </row>
    <row r="43" spans="1:19" ht="25.8" customHeight="1">
      <c r="A43" s="222"/>
      <c r="B43" s="222"/>
      <c r="C43" s="2" t="s">
        <v>11</v>
      </c>
      <c r="D43" s="2" t="s">
        <v>12</v>
      </c>
      <c r="E43" s="2" t="s">
        <v>13</v>
      </c>
      <c r="F43" s="2" t="s">
        <v>14</v>
      </c>
      <c r="G43" s="2" t="s">
        <v>8</v>
      </c>
      <c r="H43" s="2" t="s">
        <v>12</v>
      </c>
      <c r="I43" s="2" t="s">
        <v>13</v>
      </c>
      <c r="J43" s="2" t="s">
        <v>14</v>
      </c>
      <c r="K43" s="82" t="s">
        <v>8</v>
      </c>
      <c r="L43" s="12" t="s">
        <v>15</v>
      </c>
      <c r="M43" s="221"/>
      <c r="N43" s="222"/>
      <c r="O43" s="37"/>
    </row>
    <row r="44" spans="1:19" ht="25.8" customHeight="1">
      <c r="A44" s="5">
        <v>1</v>
      </c>
      <c r="B44" s="85" t="s">
        <v>186</v>
      </c>
      <c r="C44" s="2">
        <v>0</v>
      </c>
      <c r="D44" s="2">
        <v>0</v>
      </c>
      <c r="E44" s="20">
        <f>D44-C44</f>
        <v>0</v>
      </c>
      <c r="F44" s="2">
        <v>0</v>
      </c>
      <c r="G44" s="10">
        <f t="shared" ref="G44:G46" si="17">IFERROR(F44/E44,0)</f>
        <v>0</v>
      </c>
      <c r="H44" s="2">
        <v>0</v>
      </c>
      <c r="I44" s="86">
        <f>H44-D44</f>
        <v>0</v>
      </c>
      <c r="J44" s="2">
        <v>0</v>
      </c>
      <c r="K44" s="28">
        <f>IFERROR(J44/I44,0)</f>
        <v>0</v>
      </c>
      <c r="L44" s="18">
        <f>E44+I44</f>
        <v>0</v>
      </c>
      <c r="M44" s="22">
        <f>F44+J44</f>
        <v>0</v>
      </c>
      <c r="N44" s="23">
        <f>IFERROR(M44/L44,0)</f>
        <v>0</v>
      </c>
      <c r="O44" s="37"/>
    </row>
    <row r="45" spans="1:19" ht="24.6" customHeight="1">
      <c r="A45" s="76">
        <v>2</v>
      </c>
      <c r="B45" s="85" t="s">
        <v>42</v>
      </c>
      <c r="C45" s="33">
        <v>8665.4</v>
      </c>
      <c r="D45" s="33">
        <v>8665.4</v>
      </c>
      <c r="E45" s="20">
        <f>D45-C45</f>
        <v>0</v>
      </c>
      <c r="F45" s="33">
        <v>0</v>
      </c>
      <c r="G45" s="10">
        <f t="shared" si="17"/>
        <v>0</v>
      </c>
      <c r="H45" s="33">
        <v>8692.1</v>
      </c>
      <c r="I45" s="86">
        <f>H45-D45</f>
        <v>26.700000000000728</v>
      </c>
      <c r="J45" s="33">
        <v>1064.95</v>
      </c>
      <c r="K45" s="28">
        <f>IFERROR(J45/I45,0)</f>
        <v>39.885767790261085</v>
      </c>
      <c r="L45" s="18">
        <f>E45+I45</f>
        <v>26.700000000000728</v>
      </c>
      <c r="M45" s="22">
        <f>F45+J45</f>
        <v>1064.95</v>
      </c>
      <c r="N45" s="23">
        <f>IFERROR(M45/L45,0)</f>
        <v>39.885767790261085</v>
      </c>
      <c r="O45" s="87"/>
      <c r="S45" s="51"/>
    </row>
    <row r="46" spans="1:19" ht="22.8" customHeight="1">
      <c r="A46" s="76">
        <v>3</v>
      </c>
      <c r="B46" s="85" t="s">
        <v>43</v>
      </c>
      <c r="C46" s="33">
        <v>1620.6</v>
      </c>
      <c r="D46" s="33">
        <v>1647.1</v>
      </c>
      <c r="E46" s="20">
        <f>D46-C46</f>
        <v>26.5</v>
      </c>
      <c r="F46" s="33">
        <v>898.07</v>
      </c>
      <c r="G46" s="10">
        <f t="shared" si="17"/>
        <v>33.88943396226415</v>
      </c>
      <c r="H46" s="33">
        <v>1647.1</v>
      </c>
      <c r="I46" s="86">
        <f>H46-D46</f>
        <v>0</v>
      </c>
      <c r="J46" s="33">
        <v>0</v>
      </c>
      <c r="K46" s="28">
        <f>IFERROR(J46/I46,0)</f>
        <v>0</v>
      </c>
      <c r="L46" s="18">
        <f>E46+I46</f>
        <v>26.5</v>
      </c>
      <c r="M46" s="22">
        <f t="shared" ref="M46" si="18">F46+J46</f>
        <v>898.07</v>
      </c>
      <c r="N46" s="23">
        <f>IFERROR(M46/L46,0)</f>
        <v>33.88943396226415</v>
      </c>
      <c r="O46" s="87"/>
      <c r="P46" s="88"/>
      <c r="Q46" s="89"/>
    </row>
    <row r="47" spans="1:19" ht="24" customHeight="1" thickBot="1">
      <c r="A47" s="223" t="s">
        <v>28</v>
      </c>
      <c r="B47" s="224"/>
      <c r="C47" s="90"/>
      <c r="D47" s="90"/>
      <c r="E47" s="91">
        <f>SUM(E45:E46)</f>
        <v>26.5</v>
      </c>
      <c r="F47" s="91">
        <f>SUM(F45:F46)</f>
        <v>898.07</v>
      </c>
      <c r="G47" s="92"/>
      <c r="H47" s="92"/>
      <c r="I47" s="91">
        <f>SUM(I44:I46)</f>
        <v>26.700000000000728</v>
      </c>
      <c r="J47" s="91">
        <f>SUM(J44:J46)</f>
        <v>1064.95</v>
      </c>
      <c r="K47" s="93">
        <f>SUM(K44:K46)</f>
        <v>39.885767790261085</v>
      </c>
      <c r="L47" s="94">
        <f>SUM(L44:L46)</f>
        <v>53.200000000000728</v>
      </c>
      <c r="M47" s="95">
        <f>SUM(M44:M46)</f>
        <v>1963.02</v>
      </c>
      <c r="N47" s="96">
        <f>M47/L47</f>
        <v>36.898872180450624</v>
      </c>
      <c r="O47" s="37"/>
      <c r="P47" s="97"/>
      <c r="Q47" s="89"/>
    </row>
    <row r="48" spans="1:19" ht="24" customHeight="1">
      <c r="A48" s="225" t="s">
        <v>44</v>
      </c>
      <c r="B48" s="226"/>
      <c r="C48" s="226"/>
      <c r="D48" s="226"/>
      <c r="E48" s="226"/>
      <c r="F48" s="226"/>
      <c r="G48" s="226"/>
      <c r="H48" s="226"/>
      <c r="I48" s="226"/>
      <c r="J48" s="226"/>
      <c r="K48" s="226"/>
      <c r="L48" s="226"/>
      <c r="M48" s="98"/>
      <c r="N48" s="99"/>
      <c r="O48" s="37"/>
      <c r="P48" s="100"/>
      <c r="Q48" s="100"/>
    </row>
    <row r="49" spans="1:27" ht="24" customHeight="1">
      <c r="A49" s="222" t="s">
        <v>3</v>
      </c>
      <c r="B49" s="222" t="s">
        <v>4</v>
      </c>
      <c r="C49" s="227" t="s">
        <v>5</v>
      </c>
      <c r="D49" s="228"/>
      <c r="E49" s="228"/>
      <c r="F49" s="228"/>
      <c r="G49" s="228"/>
      <c r="H49" s="229"/>
      <c r="I49" s="230" t="s">
        <v>6</v>
      </c>
      <c r="J49" s="231"/>
      <c r="K49" s="231"/>
      <c r="L49" s="231"/>
      <c r="M49" s="231"/>
      <c r="N49" s="232"/>
      <c r="O49" s="201" t="s">
        <v>45</v>
      </c>
      <c r="P49" s="203" t="s">
        <v>46</v>
      </c>
      <c r="Q49" s="203" t="s">
        <v>47</v>
      </c>
      <c r="R49" s="205" t="s">
        <v>48</v>
      </c>
      <c r="Z49" s="101"/>
    </row>
    <row r="50" spans="1:27" ht="33" customHeight="1">
      <c r="A50" s="222"/>
      <c r="B50" s="222"/>
      <c r="C50" s="2" t="s">
        <v>49</v>
      </c>
      <c r="D50" s="2" t="s">
        <v>50</v>
      </c>
      <c r="E50" s="2" t="s">
        <v>51</v>
      </c>
      <c r="F50" s="102" t="s">
        <v>11</v>
      </c>
      <c r="G50" s="2" t="s">
        <v>14</v>
      </c>
      <c r="H50" s="2" t="s">
        <v>8</v>
      </c>
      <c r="I50" s="2" t="s">
        <v>50</v>
      </c>
      <c r="J50" s="2" t="s">
        <v>45</v>
      </c>
      <c r="K50" s="102" t="s">
        <v>12</v>
      </c>
      <c r="L50" s="102" t="s">
        <v>15</v>
      </c>
      <c r="M50" s="2" t="s">
        <v>14</v>
      </c>
      <c r="N50" s="82" t="s">
        <v>8</v>
      </c>
      <c r="O50" s="202"/>
      <c r="P50" s="204"/>
      <c r="Q50" s="204"/>
      <c r="R50" s="205"/>
    </row>
    <row r="51" spans="1:27" ht="21" customHeight="1">
      <c r="A51" s="81">
        <v>1</v>
      </c>
      <c r="B51" s="103" t="s">
        <v>52</v>
      </c>
      <c r="C51" s="2">
        <v>279590.3</v>
      </c>
      <c r="D51" s="2">
        <v>279666.09999999998</v>
      </c>
      <c r="E51" s="104">
        <f t="shared" ref="E51:E116" si="19">D51-C51</f>
        <v>75.799999999988358</v>
      </c>
      <c r="F51" s="105">
        <v>22136.39</v>
      </c>
      <c r="G51" s="49">
        <v>119</v>
      </c>
      <c r="H51" s="10">
        <f t="shared" ref="H51:H116" si="20">IFERROR(E51/G51,0)</f>
        <v>0.63697478991586853</v>
      </c>
      <c r="I51" s="2">
        <v>279666.09999999998</v>
      </c>
      <c r="J51" s="106">
        <f t="shared" ref="J51:J116" si="21">I51-D51</f>
        <v>0</v>
      </c>
      <c r="K51" s="105">
        <v>22150.12</v>
      </c>
      <c r="L51" s="107">
        <f t="shared" ref="L51:L116" si="22">K51-F51</f>
        <v>13.729999999999563</v>
      </c>
      <c r="M51" s="2">
        <v>0</v>
      </c>
      <c r="N51" s="28">
        <f t="shared" ref="N51:N116" si="23">IFERROR(J51/M51,0)</f>
        <v>0</v>
      </c>
      <c r="O51" s="84">
        <f t="shared" ref="O51:O116" si="24">J51+E51</f>
        <v>75.799999999988358</v>
      </c>
      <c r="P51" s="79">
        <f t="shared" ref="P51:P116" si="25">G51+M51</f>
        <v>119</v>
      </c>
      <c r="Q51" s="34">
        <f t="shared" ref="Q51:Q116" si="26">IFERROR(O51/P51,0)</f>
        <v>0.63697478991586853</v>
      </c>
      <c r="R51" s="108">
        <v>18</v>
      </c>
    </row>
    <row r="52" spans="1:27" ht="21" customHeight="1">
      <c r="A52" s="81">
        <v>2</v>
      </c>
      <c r="B52" s="103" t="s">
        <v>155</v>
      </c>
      <c r="C52" s="2">
        <v>302370</v>
      </c>
      <c r="D52" s="2">
        <v>302456</v>
      </c>
      <c r="E52" s="104">
        <f t="shared" si="19"/>
        <v>86</v>
      </c>
      <c r="F52" s="105">
        <v>30568</v>
      </c>
      <c r="G52" s="49">
        <v>116.82</v>
      </c>
      <c r="H52" s="10">
        <f t="shared" si="20"/>
        <v>0.73617531244649892</v>
      </c>
      <c r="I52" s="2">
        <v>302456</v>
      </c>
      <c r="J52" s="106">
        <f t="shared" si="21"/>
        <v>0</v>
      </c>
      <c r="K52" s="105">
        <v>30581</v>
      </c>
      <c r="L52" s="107">
        <f t="shared" si="22"/>
        <v>13</v>
      </c>
      <c r="M52" s="2">
        <v>0</v>
      </c>
      <c r="N52" s="28">
        <f t="shared" si="23"/>
        <v>0</v>
      </c>
      <c r="O52" s="84">
        <f t="shared" si="24"/>
        <v>86</v>
      </c>
      <c r="P52" s="79">
        <f t="shared" si="25"/>
        <v>116.82</v>
      </c>
      <c r="Q52" s="34">
        <f t="shared" si="26"/>
        <v>0.73617531244649892</v>
      </c>
      <c r="R52" s="108">
        <v>30</v>
      </c>
    </row>
    <row r="53" spans="1:27" ht="21" customHeight="1">
      <c r="A53" s="81">
        <v>3</v>
      </c>
      <c r="B53" s="103" t="s">
        <v>171</v>
      </c>
      <c r="C53" s="2">
        <v>311412</v>
      </c>
      <c r="D53" s="2">
        <v>311558</v>
      </c>
      <c r="E53" s="104">
        <f t="shared" si="19"/>
        <v>146</v>
      </c>
      <c r="F53" s="105">
        <v>31119</v>
      </c>
      <c r="G53" s="49">
        <v>215</v>
      </c>
      <c r="H53" s="10">
        <f t="shared" si="20"/>
        <v>0.67906976744186043</v>
      </c>
      <c r="I53" s="2">
        <v>311558</v>
      </c>
      <c r="J53" s="106">
        <f t="shared" si="21"/>
        <v>0</v>
      </c>
      <c r="K53" s="105">
        <v>31131</v>
      </c>
      <c r="L53" s="107">
        <f t="shared" si="22"/>
        <v>12</v>
      </c>
      <c r="M53" s="2">
        <v>0</v>
      </c>
      <c r="N53" s="28">
        <f t="shared" si="23"/>
        <v>0</v>
      </c>
      <c r="O53" s="84">
        <f t="shared" si="24"/>
        <v>146</v>
      </c>
      <c r="P53" s="79">
        <f t="shared" si="25"/>
        <v>215</v>
      </c>
      <c r="Q53" s="34">
        <f t="shared" si="26"/>
        <v>0.67906976744186043</v>
      </c>
      <c r="R53" s="108">
        <v>19</v>
      </c>
    </row>
    <row r="54" spans="1:27" ht="21" customHeight="1">
      <c r="A54" s="81">
        <v>4</v>
      </c>
      <c r="B54" s="103" t="s">
        <v>156</v>
      </c>
      <c r="C54" s="2">
        <v>262293</v>
      </c>
      <c r="D54" s="2">
        <v>262397</v>
      </c>
      <c r="E54" s="104">
        <f t="shared" si="19"/>
        <v>104</v>
      </c>
      <c r="F54" s="105">
        <v>27802</v>
      </c>
      <c r="G54" s="49">
        <v>153</v>
      </c>
      <c r="H54" s="10">
        <f t="shared" si="20"/>
        <v>0.6797385620915033</v>
      </c>
      <c r="I54" s="2">
        <v>262397</v>
      </c>
      <c r="J54" s="106">
        <f t="shared" si="21"/>
        <v>0</v>
      </c>
      <c r="K54" s="105">
        <v>27814</v>
      </c>
      <c r="L54" s="107">
        <f t="shared" si="22"/>
        <v>12</v>
      </c>
      <c r="M54" s="2">
        <v>0</v>
      </c>
      <c r="N54" s="28">
        <f t="shared" si="23"/>
        <v>0</v>
      </c>
      <c r="O54" s="84">
        <f t="shared" si="24"/>
        <v>104</v>
      </c>
      <c r="P54" s="79">
        <f t="shared" si="25"/>
        <v>153</v>
      </c>
      <c r="Q54" s="34">
        <f t="shared" si="26"/>
        <v>0.6797385620915033</v>
      </c>
      <c r="R54" s="108">
        <v>15</v>
      </c>
    </row>
    <row r="55" spans="1:27" ht="21" customHeight="1">
      <c r="A55" s="81">
        <v>5</v>
      </c>
      <c r="B55" s="103" t="s">
        <v>157</v>
      </c>
      <c r="C55" s="2">
        <v>277463</v>
      </c>
      <c r="D55" s="2">
        <v>277583</v>
      </c>
      <c r="E55" s="104">
        <f t="shared" si="19"/>
        <v>120</v>
      </c>
      <c r="F55" s="105">
        <v>28143</v>
      </c>
      <c r="G55" s="49">
        <v>183</v>
      </c>
      <c r="H55" s="10">
        <f t="shared" si="20"/>
        <v>0.65573770491803274</v>
      </c>
      <c r="I55" s="2">
        <v>277583</v>
      </c>
      <c r="J55" s="106">
        <f t="shared" si="21"/>
        <v>0</v>
      </c>
      <c r="K55" s="105">
        <v>28152</v>
      </c>
      <c r="L55" s="107">
        <f t="shared" si="22"/>
        <v>9</v>
      </c>
      <c r="M55" s="2">
        <v>0</v>
      </c>
      <c r="N55" s="28">
        <f t="shared" si="23"/>
        <v>0</v>
      </c>
      <c r="O55" s="84">
        <f t="shared" si="24"/>
        <v>120</v>
      </c>
      <c r="P55" s="79">
        <f t="shared" si="25"/>
        <v>183</v>
      </c>
      <c r="Q55" s="34">
        <f t="shared" si="26"/>
        <v>0.65573770491803274</v>
      </c>
      <c r="R55" s="108">
        <v>10</v>
      </c>
    </row>
    <row r="56" spans="1:27" ht="21" customHeight="1">
      <c r="A56" s="81">
        <v>6</v>
      </c>
      <c r="B56" s="103" t="s">
        <v>172</v>
      </c>
      <c r="C56" s="2">
        <v>266944</v>
      </c>
      <c r="D56" s="2">
        <v>267105</v>
      </c>
      <c r="E56" s="104">
        <f t="shared" si="19"/>
        <v>161</v>
      </c>
      <c r="F56" s="105">
        <v>26420</v>
      </c>
      <c r="G56" s="49">
        <v>180</v>
      </c>
      <c r="H56" s="10">
        <f t="shared" si="20"/>
        <v>0.89444444444444449</v>
      </c>
      <c r="I56" s="2">
        <v>267105</v>
      </c>
      <c r="J56" s="106">
        <f t="shared" si="21"/>
        <v>0</v>
      </c>
      <c r="K56" s="105">
        <v>26433</v>
      </c>
      <c r="L56" s="107">
        <f t="shared" si="22"/>
        <v>13</v>
      </c>
      <c r="M56" s="2">
        <v>0</v>
      </c>
      <c r="N56" s="28">
        <f t="shared" si="23"/>
        <v>0</v>
      </c>
      <c r="O56" s="84">
        <f t="shared" si="24"/>
        <v>161</v>
      </c>
      <c r="P56" s="79">
        <f t="shared" si="25"/>
        <v>180</v>
      </c>
      <c r="Q56" s="34">
        <f t="shared" si="26"/>
        <v>0.89444444444444449</v>
      </c>
      <c r="R56" s="108">
        <v>20</v>
      </c>
    </row>
    <row r="57" spans="1:27" ht="21" customHeight="1">
      <c r="A57" s="81">
        <v>7</v>
      </c>
      <c r="B57" s="103" t="s">
        <v>173</v>
      </c>
      <c r="C57" s="2">
        <v>295838</v>
      </c>
      <c r="D57" s="2">
        <v>295916</v>
      </c>
      <c r="E57" s="104">
        <f t="shared" si="19"/>
        <v>78</v>
      </c>
      <c r="F57" s="105">
        <v>28783</v>
      </c>
      <c r="G57" s="49">
        <v>109</v>
      </c>
      <c r="H57" s="10">
        <f t="shared" si="20"/>
        <v>0.7155963302752294</v>
      </c>
      <c r="I57" s="2">
        <v>295916</v>
      </c>
      <c r="J57" s="106">
        <f t="shared" si="21"/>
        <v>0</v>
      </c>
      <c r="K57" s="105">
        <v>28794</v>
      </c>
      <c r="L57" s="107">
        <f t="shared" si="22"/>
        <v>11</v>
      </c>
      <c r="M57" s="2">
        <v>0</v>
      </c>
      <c r="N57" s="28">
        <f t="shared" si="23"/>
        <v>0</v>
      </c>
      <c r="O57" s="84">
        <f t="shared" si="24"/>
        <v>78</v>
      </c>
      <c r="P57" s="79">
        <f t="shared" si="25"/>
        <v>109</v>
      </c>
      <c r="Q57" s="34">
        <f t="shared" si="26"/>
        <v>0.7155963302752294</v>
      </c>
      <c r="R57" s="108">
        <v>19</v>
      </c>
    </row>
    <row r="58" spans="1:27" ht="24" customHeight="1">
      <c r="A58" s="81">
        <v>8</v>
      </c>
      <c r="B58" s="31" t="s">
        <v>53</v>
      </c>
      <c r="C58" s="35">
        <v>334801.90000000002</v>
      </c>
      <c r="D58" s="35">
        <v>334883.20000000001</v>
      </c>
      <c r="E58" s="104">
        <f t="shared" si="19"/>
        <v>81.299999999988358</v>
      </c>
      <c r="F58" s="110">
        <v>29899.13</v>
      </c>
      <c r="G58" s="111">
        <v>153.16</v>
      </c>
      <c r="H58" s="10">
        <f t="shared" si="20"/>
        <v>0.53081744580822909</v>
      </c>
      <c r="I58" s="35">
        <v>334962</v>
      </c>
      <c r="J58" s="106">
        <f t="shared" si="21"/>
        <v>78.799999999988358</v>
      </c>
      <c r="K58" s="110">
        <v>29915.200000000001</v>
      </c>
      <c r="L58" s="107">
        <f t="shared" si="22"/>
        <v>16.069999999999709</v>
      </c>
      <c r="M58" s="112">
        <v>141.43</v>
      </c>
      <c r="N58" s="28">
        <f t="shared" si="23"/>
        <v>0.55716608923133959</v>
      </c>
      <c r="O58" s="84">
        <f t="shared" si="24"/>
        <v>160.09999999997672</v>
      </c>
      <c r="P58" s="79">
        <f t="shared" si="25"/>
        <v>294.59000000000003</v>
      </c>
      <c r="Q58" s="34">
        <f t="shared" si="26"/>
        <v>0.54346719169006652</v>
      </c>
      <c r="R58" s="1">
        <v>25</v>
      </c>
    </row>
    <row r="59" spans="1:27" ht="24" customHeight="1">
      <c r="A59" s="81">
        <v>9</v>
      </c>
      <c r="B59" s="31" t="s">
        <v>54</v>
      </c>
      <c r="C59" s="104">
        <v>293492.8</v>
      </c>
      <c r="D59" s="104">
        <v>293600.3</v>
      </c>
      <c r="E59" s="104">
        <f t="shared" si="19"/>
        <v>107.5</v>
      </c>
      <c r="F59" s="110">
        <v>28118.17</v>
      </c>
      <c r="G59" s="111">
        <v>185</v>
      </c>
      <c r="H59" s="10">
        <f t="shared" si="20"/>
        <v>0.58108108108108103</v>
      </c>
      <c r="I59" s="104">
        <v>293683.59999999998</v>
      </c>
      <c r="J59" s="106">
        <f>I59-D59</f>
        <v>83.299999999988358</v>
      </c>
      <c r="K59" s="110">
        <v>28137.119999999999</v>
      </c>
      <c r="L59" s="107">
        <f t="shared" si="22"/>
        <v>18.950000000000728</v>
      </c>
      <c r="M59" s="111">
        <v>140.5</v>
      </c>
      <c r="N59" s="28">
        <f t="shared" si="23"/>
        <v>0.59288256227749725</v>
      </c>
      <c r="O59" s="84">
        <f t="shared" si="24"/>
        <v>190.79999999998836</v>
      </c>
      <c r="P59" s="79">
        <f t="shared" si="25"/>
        <v>325.5</v>
      </c>
      <c r="Q59" s="34">
        <f t="shared" si="26"/>
        <v>0.58617511520733756</v>
      </c>
      <c r="R59" s="1">
        <v>26</v>
      </c>
      <c r="AA59" s="101"/>
    </row>
    <row r="60" spans="1:27" ht="24" customHeight="1">
      <c r="A60" s="81">
        <v>10</v>
      </c>
      <c r="B60" s="31" t="s">
        <v>55</v>
      </c>
      <c r="C60" s="104">
        <v>298907.40000000002</v>
      </c>
      <c r="D60" s="104">
        <v>298907.40000000002</v>
      </c>
      <c r="E60" s="104">
        <f t="shared" si="19"/>
        <v>0</v>
      </c>
      <c r="F60" s="110">
        <v>27086</v>
      </c>
      <c r="G60" s="111">
        <v>0</v>
      </c>
      <c r="H60" s="10">
        <f t="shared" si="20"/>
        <v>0</v>
      </c>
      <c r="I60" s="104">
        <v>298907.40000000002</v>
      </c>
      <c r="J60" s="106">
        <f>I60-D60</f>
        <v>0</v>
      </c>
      <c r="K60" s="110">
        <v>27086</v>
      </c>
      <c r="L60" s="107">
        <f t="shared" si="22"/>
        <v>0</v>
      </c>
      <c r="M60" s="111">
        <v>0</v>
      </c>
      <c r="N60" s="28">
        <f t="shared" si="23"/>
        <v>0</v>
      </c>
      <c r="O60" s="84">
        <f t="shared" si="24"/>
        <v>0</v>
      </c>
      <c r="P60" s="79">
        <f t="shared" si="25"/>
        <v>0</v>
      </c>
      <c r="Q60" s="34">
        <f t="shared" si="26"/>
        <v>0</v>
      </c>
      <c r="R60" s="1">
        <v>0</v>
      </c>
      <c r="AA60" s="101"/>
    </row>
    <row r="61" spans="1:27" ht="24" customHeight="1">
      <c r="A61" s="81">
        <v>11</v>
      </c>
      <c r="B61" s="31" t="s">
        <v>56</v>
      </c>
      <c r="C61" s="104">
        <v>341292.3</v>
      </c>
      <c r="D61" s="104">
        <v>341410.8</v>
      </c>
      <c r="E61" s="104">
        <f t="shared" si="19"/>
        <v>118.5</v>
      </c>
      <c r="F61" s="110">
        <v>26974.29</v>
      </c>
      <c r="G61" s="111">
        <v>162</v>
      </c>
      <c r="H61" s="10">
        <f t="shared" si="20"/>
        <v>0.73148148148148151</v>
      </c>
      <c r="I61" s="104">
        <v>341410.8</v>
      </c>
      <c r="J61" s="106">
        <f>I61-D61</f>
        <v>0</v>
      </c>
      <c r="K61" s="110">
        <v>26986.34</v>
      </c>
      <c r="L61" s="107">
        <f t="shared" si="22"/>
        <v>12.049999999999272</v>
      </c>
      <c r="M61" s="111">
        <v>0</v>
      </c>
      <c r="N61" s="28">
        <f t="shared" si="23"/>
        <v>0</v>
      </c>
      <c r="O61" s="84">
        <f t="shared" si="24"/>
        <v>118.5</v>
      </c>
      <c r="P61" s="79">
        <f t="shared" si="25"/>
        <v>162</v>
      </c>
      <c r="Q61" s="34">
        <f t="shared" si="26"/>
        <v>0.73148148148148151</v>
      </c>
      <c r="R61" s="1">
        <v>7</v>
      </c>
      <c r="AA61" s="101"/>
    </row>
    <row r="62" spans="1:27" ht="24" customHeight="1">
      <c r="A62" s="81">
        <v>12</v>
      </c>
      <c r="B62" s="31" t="s">
        <v>57</v>
      </c>
      <c r="C62" s="104">
        <v>344529.9</v>
      </c>
      <c r="D62" s="104">
        <v>344722</v>
      </c>
      <c r="E62" s="104">
        <f t="shared" si="19"/>
        <v>192.09999999997672</v>
      </c>
      <c r="F62" s="110">
        <v>26788</v>
      </c>
      <c r="G62" s="111">
        <v>175</v>
      </c>
      <c r="H62" s="10">
        <f t="shared" si="20"/>
        <v>1.0977142857141526</v>
      </c>
      <c r="I62" s="104">
        <v>344722</v>
      </c>
      <c r="J62" s="106">
        <f>I62-D62</f>
        <v>0</v>
      </c>
      <c r="K62" s="110">
        <v>26806.48</v>
      </c>
      <c r="L62" s="107">
        <f t="shared" si="22"/>
        <v>18.479999999999563</v>
      </c>
      <c r="M62" s="111">
        <v>0</v>
      </c>
      <c r="N62" s="28">
        <f t="shared" si="23"/>
        <v>0</v>
      </c>
      <c r="O62" s="84">
        <f t="shared" si="24"/>
        <v>192.09999999997672</v>
      </c>
      <c r="P62" s="79">
        <f t="shared" si="25"/>
        <v>175</v>
      </c>
      <c r="Q62" s="34">
        <f t="shared" si="26"/>
        <v>1.0977142857141526</v>
      </c>
      <c r="R62" s="1">
        <v>8</v>
      </c>
      <c r="AA62" s="101"/>
    </row>
    <row r="63" spans="1:27" ht="24" customHeight="1">
      <c r="A63" s="81">
        <v>13</v>
      </c>
      <c r="B63" s="31" t="s">
        <v>58</v>
      </c>
      <c r="C63" s="35">
        <v>301067.5</v>
      </c>
      <c r="D63" s="35">
        <v>301176.09999999998</v>
      </c>
      <c r="E63" s="104">
        <f t="shared" si="19"/>
        <v>108.59999999997672</v>
      </c>
      <c r="F63" s="110">
        <v>26760.07</v>
      </c>
      <c r="G63" s="111">
        <v>166</v>
      </c>
      <c r="H63" s="10">
        <f t="shared" si="20"/>
        <v>0.65421686746973928</v>
      </c>
      <c r="I63" s="35">
        <v>301218</v>
      </c>
      <c r="J63" s="106">
        <f t="shared" si="21"/>
        <v>41.900000000023283</v>
      </c>
      <c r="K63" s="110">
        <v>26777.42</v>
      </c>
      <c r="L63" s="107">
        <f t="shared" si="22"/>
        <v>17.349999999998545</v>
      </c>
      <c r="M63" s="112">
        <v>60.13</v>
      </c>
      <c r="N63" s="28">
        <f>IFERROR(J63/M63,0)</f>
        <v>0.69682354897760324</v>
      </c>
      <c r="O63" s="84">
        <f t="shared" si="24"/>
        <v>150.5</v>
      </c>
      <c r="P63" s="79">
        <f t="shared" si="25"/>
        <v>226.13</v>
      </c>
      <c r="Q63" s="34">
        <f t="shared" si="26"/>
        <v>0.66554636713394955</v>
      </c>
      <c r="R63" s="1">
        <v>32</v>
      </c>
      <c r="U63" s="113"/>
    </row>
    <row r="64" spans="1:27" ht="24" customHeight="1">
      <c r="A64" s="81">
        <v>14</v>
      </c>
      <c r="B64" s="31" t="s">
        <v>59</v>
      </c>
      <c r="C64" s="35">
        <v>273285.90000000002</v>
      </c>
      <c r="D64" s="35">
        <v>273355.8</v>
      </c>
      <c r="E64" s="104">
        <f t="shared" si="19"/>
        <v>69.899999999965075</v>
      </c>
      <c r="F64" s="110">
        <v>25549.07</v>
      </c>
      <c r="G64" s="111">
        <v>118</v>
      </c>
      <c r="H64" s="10">
        <f t="shared" si="20"/>
        <v>0.59237288135563626</v>
      </c>
      <c r="I64" s="35">
        <v>273403.09999999998</v>
      </c>
      <c r="J64" s="106">
        <f>I64-D64</f>
        <v>47.299999999988358</v>
      </c>
      <c r="K64" s="110">
        <v>25563.040000000001</v>
      </c>
      <c r="L64" s="107">
        <f t="shared" si="22"/>
        <v>13.970000000001164</v>
      </c>
      <c r="M64" s="111">
        <v>61.07</v>
      </c>
      <c r="N64" s="28">
        <f>IFERROR(J64/M64,0)</f>
        <v>0.77452104142767908</v>
      </c>
      <c r="O64" s="84">
        <f t="shared" si="24"/>
        <v>117.19999999995343</v>
      </c>
      <c r="P64" s="79">
        <f t="shared" si="25"/>
        <v>179.07</v>
      </c>
      <c r="Q64" s="34">
        <f t="shared" si="26"/>
        <v>0.65449265650278343</v>
      </c>
      <c r="R64" s="1">
        <v>13</v>
      </c>
      <c r="X64" t="s">
        <v>60</v>
      </c>
    </row>
    <row r="65" spans="1:18" ht="24" customHeight="1">
      <c r="A65" s="81">
        <v>15</v>
      </c>
      <c r="B65" s="31" t="s">
        <v>61</v>
      </c>
      <c r="C65" s="104">
        <v>286300.09999999998</v>
      </c>
      <c r="D65" s="104">
        <v>286448.2</v>
      </c>
      <c r="E65" s="104">
        <f t="shared" si="19"/>
        <v>148.10000000003492</v>
      </c>
      <c r="F65" s="110">
        <v>26723.119999999999</v>
      </c>
      <c r="G65" s="111">
        <v>211</v>
      </c>
      <c r="H65" s="10">
        <f t="shared" si="20"/>
        <v>0.70189573459732191</v>
      </c>
      <c r="I65" s="104">
        <v>286500.40000000002</v>
      </c>
      <c r="J65" s="106">
        <f>I65-D65</f>
        <v>52.200000000011642</v>
      </c>
      <c r="K65" s="110">
        <v>26741.06</v>
      </c>
      <c r="L65" s="107">
        <f t="shared" si="22"/>
        <v>17.940000000002328</v>
      </c>
      <c r="M65" s="112">
        <v>66.53</v>
      </c>
      <c r="N65" s="28">
        <f t="shared" si="23"/>
        <v>0.78460844731717483</v>
      </c>
      <c r="O65" s="84">
        <f t="shared" si="24"/>
        <v>200.30000000004657</v>
      </c>
      <c r="P65" s="79">
        <f t="shared" si="25"/>
        <v>277.52999999999997</v>
      </c>
      <c r="Q65" s="34">
        <f t="shared" si="26"/>
        <v>0.72172377760979567</v>
      </c>
      <c r="R65" s="1">
        <v>44</v>
      </c>
    </row>
    <row r="66" spans="1:18" ht="24" customHeight="1">
      <c r="A66" s="81">
        <v>16</v>
      </c>
      <c r="B66" s="31" t="s">
        <v>62</v>
      </c>
      <c r="C66" s="35">
        <v>304591</v>
      </c>
      <c r="D66" s="35">
        <v>304591</v>
      </c>
      <c r="E66" s="104">
        <f t="shared" si="19"/>
        <v>0</v>
      </c>
      <c r="F66" s="110">
        <v>27407.27</v>
      </c>
      <c r="G66" s="111">
        <v>0</v>
      </c>
      <c r="H66" s="10">
        <f t="shared" si="20"/>
        <v>0</v>
      </c>
      <c r="I66" s="35">
        <v>304591</v>
      </c>
      <c r="J66" s="106">
        <f t="shared" si="21"/>
        <v>0</v>
      </c>
      <c r="K66" s="110">
        <v>27407.27</v>
      </c>
      <c r="L66" s="107">
        <f t="shared" si="22"/>
        <v>0</v>
      </c>
      <c r="M66" s="112">
        <v>0</v>
      </c>
      <c r="N66" s="28">
        <f t="shared" si="23"/>
        <v>0</v>
      </c>
      <c r="O66" s="84">
        <f t="shared" si="24"/>
        <v>0</v>
      </c>
      <c r="P66" s="79">
        <f t="shared" si="25"/>
        <v>0</v>
      </c>
      <c r="Q66" s="34">
        <f t="shared" si="26"/>
        <v>0</v>
      </c>
      <c r="R66" s="1">
        <v>0</v>
      </c>
    </row>
    <row r="67" spans="1:18" ht="24" customHeight="1">
      <c r="A67" s="81">
        <v>17</v>
      </c>
      <c r="B67" s="31" t="s">
        <v>158</v>
      </c>
      <c r="C67" s="17">
        <v>275840</v>
      </c>
      <c r="D67" s="17">
        <v>275956</v>
      </c>
      <c r="E67" s="104">
        <f t="shared" si="19"/>
        <v>116</v>
      </c>
      <c r="F67" s="110">
        <v>25160</v>
      </c>
      <c r="G67" s="111">
        <v>150.63999999999999</v>
      </c>
      <c r="H67" s="10">
        <f t="shared" si="20"/>
        <v>0.77004779607010099</v>
      </c>
      <c r="I67" s="17">
        <v>275956</v>
      </c>
      <c r="J67" s="106">
        <f t="shared" si="21"/>
        <v>0</v>
      </c>
      <c r="K67" s="110">
        <v>25171</v>
      </c>
      <c r="L67" s="107">
        <f t="shared" si="22"/>
        <v>11</v>
      </c>
      <c r="M67" s="111">
        <v>0</v>
      </c>
      <c r="N67" s="28">
        <f t="shared" si="23"/>
        <v>0</v>
      </c>
      <c r="O67" s="84">
        <f t="shared" si="24"/>
        <v>116</v>
      </c>
      <c r="P67" s="79">
        <f t="shared" si="25"/>
        <v>150.63999999999999</v>
      </c>
      <c r="Q67" s="34">
        <f t="shared" si="26"/>
        <v>0.77004779607010099</v>
      </c>
      <c r="R67" s="1">
        <v>29</v>
      </c>
    </row>
    <row r="68" spans="1:18" ht="24" customHeight="1">
      <c r="A68" s="81">
        <v>18</v>
      </c>
      <c r="B68" s="31" t="s">
        <v>159</v>
      </c>
      <c r="C68" s="17">
        <v>279225</v>
      </c>
      <c r="D68" s="17">
        <v>279389</v>
      </c>
      <c r="E68" s="104">
        <f t="shared" si="19"/>
        <v>164</v>
      </c>
      <c r="F68" s="110">
        <v>26015</v>
      </c>
      <c r="G68" s="111">
        <v>222</v>
      </c>
      <c r="H68" s="10">
        <f t="shared" si="20"/>
        <v>0.73873873873873874</v>
      </c>
      <c r="I68" s="17">
        <v>279389</v>
      </c>
      <c r="J68" s="106">
        <f t="shared" si="21"/>
        <v>0</v>
      </c>
      <c r="K68" s="110">
        <v>26027</v>
      </c>
      <c r="L68" s="107">
        <f t="shared" si="22"/>
        <v>12</v>
      </c>
      <c r="M68" s="111">
        <v>0</v>
      </c>
      <c r="N68" s="28">
        <f t="shared" si="23"/>
        <v>0</v>
      </c>
      <c r="O68" s="84">
        <f t="shared" si="24"/>
        <v>164</v>
      </c>
      <c r="P68" s="79">
        <f t="shared" si="25"/>
        <v>222</v>
      </c>
      <c r="Q68" s="34">
        <f t="shared" si="26"/>
        <v>0.73873873873873874</v>
      </c>
      <c r="R68" s="1">
        <v>21</v>
      </c>
    </row>
    <row r="69" spans="1:18" ht="24" customHeight="1">
      <c r="A69" s="81">
        <v>19</v>
      </c>
      <c r="B69" s="31" t="s">
        <v>160</v>
      </c>
      <c r="C69" s="17">
        <v>306234</v>
      </c>
      <c r="D69" s="17">
        <v>306374</v>
      </c>
      <c r="E69" s="104">
        <f t="shared" si="19"/>
        <v>140</v>
      </c>
      <c r="F69" s="110">
        <v>25199</v>
      </c>
      <c r="G69" s="111">
        <v>188</v>
      </c>
      <c r="H69" s="10">
        <f t="shared" si="20"/>
        <v>0.74468085106382975</v>
      </c>
      <c r="I69" s="17">
        <v>306374</v>
      </c>
      <c r="J69" s="106">
        <f t="shared" si="21"/>
        <v>0</v>
      </c>
      <c r="K69" s="110">
        <v>25211</v>
      </c>
      <c r="L69" s="107">
        <f t="shared" si="22"/>
        <v>12</v>
      </c>
      <c r="M69" s="111">
        <v>0</v>
      </c>
      <c r="N69" s="28">
        <f t="shared" si="23"/>
        <v>0</v>
      </c>
      <c r="O69" s="84">
        <f t="shared" si="24"/>
        <v>140</v>
      </c>
      <c r="P69" s="79">
        <f t="shared" si="25"/>
        <v>188</v>
      </c>
      <c r="Q69" s="34">
        <f t="shared" si="26"/>
        <v>0.74468085106382975</v>
      </c>
      <c r="R69" s="1">
        <v>12</v>
      </c>
    </row>
    <row r="70" spans="1:18" ht="24" customHeight="1">
      <c r="A70" s="81">
        <v>20</v>
      </c>
      <c r="B70" s="31" t="s">
        <v>161</v>
      </c>
      <c r="C70" s="17">
        <v>305470</v>
      </c>
      <c r="D70" s="17">
        <v>305675</v>
      </c>
      <c r="E70" s="104">
        <f t="shared" si="19"/>
        <v>205</v>
      </c>
      <c r="F70" s="110">
        <v>25528</v>
      </c>
      <c r="G70" s="116">
        <v>187</v>
      </c>
      <c r="H70" s="10">
        <f t="shared" si="20"/>
        <v>1.0962566844919786</v>
      </c>
      <c r="I70" s="17">
        <v>305675</v>
      </c>
      <c r="J70" s="106">
        <f t="shared" si="21"/>
        <v>0</v>
      </c>
      <c r="K70" s="110">
        <v>25539</v>
      </c>
      <c r="L70" s="107">
        <f t="shared" si="22"/>
        <v>11</v>
      </c>
      <c r="M70" s="111">
        <v>0</v>
      </c>
      <c r="N70" s="28">
        <f t="shared" si="23"/>
        <v>0</v>
      </c>
      <c r="O70" s="84">
        <f t="shared" si="24"/>
        <v>205</v>
      </c>
      <c r="P70" s="79">
        <f t="shared" si="25"/>
        <v>187</v>
      </c>
      <c r="Q70" s="34">
        <f t="shared" si="26"/>
        <v>1.0962566844919786</v>
      </c>
      <c r="R70" s="1">
        <v>11</v>
      </c>
    </row>
    <row r="71" spans="1:18" ht="24" customHeight="1">
      <c r="A71" s="81">
        <v>21</v>
      </c>
      <c r="B71" s="31" t="s">
        <v>162</v>
      </c>
      <c r="C71" s="17">
        <v>322170</v>
      </c>
      <c r="D71" s="17">
        <v>322291</v>
      </c>
      <c r="E71" s="104">
        <f t="shared" si="19"/>
        <v>121</v>
      </c>
      <c r="F71" s="110">
        <v>26727</v>
      </c>
      <c r="G71" s="111">
        <v>164</v>
      </c>
      <c r="H71" s="10">
        <f t="shared" si="20"/>
        <v>0.73780487804878048</v>
      </c>
      <c r="I71" s="17">
        <v>322291</v>
      </c>
      <c r="J71" s="106">
        <f t="shared" si="21"/>
        <v>0</v>
      </c>
      <c r="K71" s="110">
        <v>26739</v>
      </c>
      <c r="L71" s="107">
        <f t="shared" si="22"/>
        <v>12</v>
      </c>
      <c r="M71" s="111">
        <v>0</v>
      </c>
      <c r="N71" s="28">
        <f t="shared" si="23"/>
        <v>0</v>
      </c>
      <c r="O71" s="84">
        <f t="shared" si="24"/>
        <v>121</v>
      </c>
      <c r="P71" s="79">
        <f t="shared" si="25"/>
        <v>164</v>
      </c>
      <c r="Q71" s="34">
        <f t="shared" si="26"/>
        <v>0.73780487804878048</v>
      </c>
      <c r="R71" s="1">
        <v>11</v>
      </c>
    </row>
    <row r="72" spans="1:18" ht="24" customHeight="1">
      <c r="A72" s="81">
        <v>22</v>
      </c>
      <c r="B72" s="31" t="s">
        <v>68</v>
      </c>
      <c r="C72" s="17">
        <v>277692.7</v>
      </c>
      <c r="D72" s="17">
        <v>277769.90000000002</v>
      </c>
      <c r="E72" s="104">
        <f t="shared" si="19"/>
        <v>77.200000000011642</v>
      </c>
      <c r="F72" s="110">
        <v>22548</v>
      </c>
      <c r="G72" s="111">
        <v>158</v>
      </c>
      <c r="H72" s="10">
        <f t="shared" si="20"/>
        <v>0.48860759493678252</v>
      </c>
      <c r="I72" s="17">
        <v>277834.40000000002</v>
      </c>
      <c r="J72" s="106">
        <f t="shared" si="21"/>
        <v>64.5</v>
      </c>
      <c r="K72" s="110">
        <v>22564</v>
      </c>
      <c r="L72" s="107">
        <f t="shared" si="22"/>
        <v>16</v>
      </c>
      <c r="M72" s="112">
        <v>101.9</v>
      </c>
      <c r="N72" s="28">
        <f t="shared" si="23"/>
        <v>0.6329735034347399</v>
      </c>
      <c r="O72" s="84">
        <f t="shared" si="24"/>
        <v>141.70000000001164</v>
      </c>
      <c r="P72" s="79">
        <f t="shared" si="25"/>
        <v>259.89999999999998</v>
      </c>
      <c r="Q72" s="34">
        <f t="shared" si="26"/>
        <v>0.54520969603698211</v>
      </c>
      <c r="R72" s="1">
        <v>8</v>
      </c>
    </row>
    <row r="73" spans="1:18" ht="24" customHeight="1">
      <c r="A73" s="81">
        <v>23</v>
      </c>
      <c r="B73" s="31" t="s">
        <v>69</v>
      </c>
      <c r="C73" s="17">
        <v>259690.4</v>
      </c>
      <c r="D73" s="17">
        <v>259771.2</v>
      </c>
      <c r="E73" s="104">
        <f t="shared" si="19"/>
        <v>80.800000000017462</v>
      </c>
      <c r="F73" s="110">
        <v>19905</v>
      </c>
      <c r="G73" s="111">
        <v>113.39</v>
      </c>
      <c r="H73" s="10">
        <f t="shared" si="20"/>
        <v>0.71258488402872799</v>
      </c>
      <c r="I73" s="17">
        <v>259827.5</v>
      </c>
      <c r="J73" s="106">
        <f t="shared" si="21"/>
        <v>56.299999999988358</v>
      </c>
      <c r="K73" s="110">
        <v>19925</v>
      </c>
      <c r="L73" s="107">
        <f t="shared" si="22"/>
        <v>20</v>
      </c>
      <c r="M73" s="112">
        <v>115.73</v>
      </c>
      <c r="N73" s="28">
        <f t="shared" si="23"/>
        <v>0.48647714507896272</v>
      </c>
      <c r="O73" s="84">
        <f t="shared" si="24"/>
        <v>137.10000000000582</v>
      </c>
      <c r="P73" s="79">
        <f t="shared" si="25"/>
        <v>229.12</v>
      </c>
      <c r="Q73" s="34">
        <f t="shared" si="26"/>
        <v>0.59837639664807007</v>
      </c>
      <c r="R73" s="1">
        <v>53</v>
      </c>
    </row>
    <row r="74" spans="1:18" ht="24" customHeight="1">
      <c r="A74" s="81">
        <v>24</v>
      </c>
      <c r="B74" s="31" t="s">
        <v>70</v>
      </c>
      <c r="C74" s="104">
        <v>304102.2</v>
      </c>
      <c r="D74" s="104">
        <v>304215</v>
      </c>
      <c r="E74" s="104">
        <f t="shared" si="19"/>
        <v>112.79999999998836</v>
      </c>
      <c r="F74" s="110">
        <v>5084</v>
      </c>
      <c r="G74" s="111">
        <v>153</v>
      </c>
      <c r="H74" s="10">
        <f t="shared" si="20"/>
        <v>0.7372549019607082</v>
      </c>
      <c r="I74" s="104">
        <v>304340</v>
      </c>
      <c r="J74" s="106">
        <f t="shared" si="21"/>
        <v>125</v>
      </c>
      <c r="K74" s="110">
        <v>5102</v>
      </c>
      <c r="L74" s="107">
        <f t="shared" si="22"/>
        <v>18</v>
      </c>
      <c r="M74" s="111">
        <v>172.51</v>
      </c>
      <c r="N74" s="28">
        <f t="shared" si="23"/>
        <v>0.72459567561300797</v>
      </c>
      <c r="O74" s="84">
        <f t="shared" si="24"/>
        <v>237.79999999998836</v>
      </c>
      <c r="P74" s="79">
        <f t="shared" si="25"/>
        <v>325.51</v>
      </c>
      <c r="Q74" s="34">
        <f t="shared" si="26"/>
        <v>0.73054591256793455</v>
      </c>
      <c r="R74" s="1">
        <v>43</v>
      </c>
    </row>
    <row r="75" spans="1:18" ht="24" customHeight="1">
      <c r="A75" s="81">
        <v>25</v>
      </c>
      <c r="B75" s="31" t="s">
        <v>71</v>
      </c>
      <c r="C75" s="35">
        <v>314241</v>
      </c>
      <c r="D75" s="35">
        <v>314241</v>
      </c>
      <c r="E75" s="104">
        <f t="shared" si="19"/>
        <v>0</v>
      </c>
      <c r="F75" s="110">
        <v>22992</v>
      </c>
      <c r="G75" s="111">
        <v>0</v>
      </c>
      <c r="H75" s="10">
        <f t="shared" si="20"/>
        <v>0</v>
      </c>
      <c r="I75" s="35">
        <v>314241</v>
      </c>
      <c r="J75" s="106">
        <f t="shared" si="21"/>
        <v>0</v>
      </c>
      <c r="K75" s="110">
        <v>22992</v>
      </c>
      <c r="L75" s="107">
        <f t="shared" si="22"/>
        <v>0</v>
      </c>
      <c r="M75" s="111">
        <v>0</v>
      </c>
      <c r="N75" s="28">
        <f>IFERROR(J75/M75,0)</f>
        <v>0</v>
      </c>
      <c r="O75" s="84">
        <f t="shared" si="24"/>
        <v>0</v>
      </c>
      <c r="P75" s="79">
        <f>G75+M75</f>
        <v>0</v>
      </c>
      <c r="Q75" s="34">
        <f t="shared" si="26"/>
        <v>0</v>
      </c>
      <c r="R75" s="1">
        <v>20</v>
      </c>
    </row>
    <row r="76" spans="1:18" ht="24" customHeight="1">
      <c r="A76" s="81">
        <v>26</v>
      </c>
      <c r="B76" s="31" t="s">
        <v>72</v>
      </c>
      <c r="C76" s="35">
        <v>284692.5</v>
      </c>
      <c r="D76" s="35">
        <v>284848.40000000002</v>
      </c>
      <c r="E76" s="104">
        <f t="shared" si="19"/>
        <v>155.90000000002328</v>
      </c>
      <c r="F76" s="110">
        <v>20598</v>
      </c>
      <c r="G76" s="111">
        <v>178.14</v>
      </c>
      <c r="H76" s="10">
        <f t="shared" si="20"/>
        <v>0.87515437296521437</v>
      </c>
      <c r="I76" s="35">
        <v>284922.59999999998</v>
      </c>
      <c r="J76" s="106">
        <f t="shared" si="21"/>
        <v>74.199999999953434</v>
      </c>
      <c r="K76" s="110">
        <v>20619</v>
      </c>
      <c r="L76" s="107">
        <f t="shared" si="22"/>
        <v>21</v>
      </c>
      <c r="M76" s="112">
        <v>114.6</v>
      </c>
      <c r="N76" s="28">
        <f t="shared" si="23"/>
        <v>0.64746945898737729</v>
      </c>
      <c r="O76" s="84">
        <f t="shared" si="24"/>
        <v>230.09999999997672</v>
      </c>
      <c r="P76" s="79">
        <f t="shared" si="25"/>
        <v>292.74</v>
      </c>
      <c r="Q76" s="34">
        <f t="shared" si="26"/>
        <v>0.78602172576339657</v>
      </c>
      <c r="R76" s="1">
        <v>33</v>
      </c>
    </row>
    <row r="77" spans="1:18" ht="24" customHeight="1">
      <c r="A77" s="81">
        <v>27</v>
      </c>
      <c r="B77" s="31" t="s">
        <v>73</v>
      </c>
      <c r="C77" s="104">
        <v>313029.8</v>
      </c>
      <c r="D77" s="104">
        <v>313144.90000000002</v>
      </c>
      <c r="E77" s="104">
        <f t="shared" si="19"/>
        <v>115.10000000003492</v>
      </c>
      <c r="F77" s="110">
        <v>22737</v>
      </c>
      <c r="G77" s="111">
        <v>174.09</v>
      </c>
      <c r="H77" s="10">
        <f t="shared" si="20"/>
        <v>0.66115227755778572</v>
      </c>
      <c r="I77" s="104">
        <v>313229.2</v>
      </c>
      <c r="J77" s="106">
        <f t="shared" si="21"/>
        <v>84.299999999988358</v>
      </c>
      <c r="K77" s="110">
        <v>22754</v>
      </c>
      <c r="L77" s="107">
        <f t="shared" si="22"/>
        <v>17</v>
      </c>
      <c r="M77" s="112">
        <v>128.5</v>
      </c>
      <c r="N77" s="28">
        <f t="shared" si="23"/>
        <v>0.65603112840457867</v>
      </c>
      <c r="O77" s="84">
        <f t="shared" si="24"/>
        <v>199.40000000002328</v>
      </c>
      <c r="P77" s="79">
        <f t="shared" si="25"/>
        <v>302.59000000000003</v>
      </c>
      <c r="Q77" s="34">
        <f t="shared" si="26"/>
        <v>0.65897749429929364</v>
      </c>
      <c r="R77" s="1">
        <v>26</v>
      </c>
    </row>
    <row r="78" spans="1:18" ht="24" customHeight="1">
      <c r="A78" s="81">
        <v>28</v>
      </c>
      <c r="B78" s="31" t="s">
        <v>74</v>
      </c>
      <c r="C78" s="35">
        <v>283203.59999999998</v>
      </c>
      <c r="D78" s="35">
        <v>283285.3</v>
      </c>
      <c r="E78" s="104">
        <f t="shared" si="19"/>
        <v>81.700000000011642</v>
      </c>
      <c r="F78" s="110">
        <v>4256</v>
      </c>
      <c r="G78" s="111">
        <v>141</v>
      </c>
      <c r="H78" s="10">
        <f t="shared" si="20"/>
        <v>0.57943262411355778</v>
      </c>
      <c r="I78" s="35">
        <v>283406.7</v>
      </c>
      <c r="J78" s="106">
        <f t="shared" si="21"/>
        <v>121.40000000002328</v>
      </c>
      <c r="K78" s="110">
        <v>4276</v>
      </c>
      <c r="L78" s="107">
        <f>K78-F78</f>
        <v>20</v>
      </c>
      <c r="M78" s="111">
        <v>166.73</v>
      </c>
      <c r="N78" s="28">
        <f t="shared" si="23"/>
        <v>0.72812331314114609</v>
      </c>
      <c r="O78" s="84">
        <f t="shared" si="24"/>
        <v>203.10000000003492</v>
      </c>
      <c r="P78" s="79">
        <f t="shared" si="25"/>
        <v>307.73</v>
      </c>
      <c r="Q78" s="34">
        <f t="shared" si="26"/>
        <v>0.65999415071665068</v>
      </c>
      <c r="R78" s="1">
        <v>37</v>
      </c>
    </row>
    <row r="79" spans="1:18" ht="24" customHeight="1">
      <c r="A79" s="81">
        <v>29</v>
      </c>
      <c r="B79" s="31" t="s">
        <v>75</v>
      </c>
      <c r="C79" s="104">
        <v>301030.7</v>
      </c>
      <c r="D79" s="104">
        <v>301206.40000000002</v>
      </c>
      <c r="E79" s="104">
        <f t="shared" si="19"/>
        <v>175.70000000001164</v>
      </c>
      <c r="F79" s="110">
        <v>21684</v>
      </c>
      <c r="G79" s="111">
        <v>233</v>
      </c>
      <c r="H79" s="10">
        <f t="shared" si="20"/>
        <v>0.75407725321893404</v>
      </c>
      <c r="I79" s="104">
        <v>301315.59999999998</v>
      </c>
      <c r="J79" s="106">
        <f t="shared" si="21"/>
        <v>109.19999999995343</v>
      </c>
      <c r="K79" s="110">
        <v>21704</v>
      </c>
      <c r="L79" s="107">
        <f t="shared" si="22"/>
        <v>20</v>
      </c>
      <c r="M79" s="112">
        <v>169.44</v>
      </c>
      <c r="N79" s="28">
        <f t="shared" si="23"/>
        <v>0.6444759206796119</v>
      </c>
      <c r="O79" s="84">
        <f t="shared" si="24"/>
        <v>284.89999999996508</v>
      </c>
      <c r="P79" s="79">
        <f t="shared" si="25"/>
        <v>402.44</v>
      </c>
      <c r="Q79" s="34">
        <f t="shared" si="26"/>
        <v>0.70793161713538688</v>
      </c>
      <c r="R79" s="1">
        <v>36</v>
      </c>
    </row>
    <row r="80" spans="1:18" ht="24" customHeight="1">
      <c r="A80" s="81">
        <v>30</v>
      </c>
      <c r="B80" s="31" t="s">
        <v>76</v>
      </c>
      <c r="C80" s="104">
        <v>265711.5</v>
      </c>
      <c r="D80" s="104">
        <v>265804.79999999999</v>
      </c>
      <c r="E80" s="104">
        <f t="shared" si="19"/>
        <v>93.299999999988358</v>
      </c>
      <c r="F80" s="110">
        <v>19632</v>
      </c>
      <c r="G80" s="111">
        <v>133</v>
      </c>
      <c r="H80" s="10">
        <f t="shared" si="20"/>
        <v>0.7015037593984087</v>
      </c>
      <c r="I80" s="104">
        <v>265865.59999999998</v>
      </c>
      <c r="J80" s="106">
        <f t="shared" si="21"/>
        <v>60.799999999988358</v>
      </c>
      <c r="K80" s="110">
        <v>19653</v>
      </c>
      <c r="L80" s="107">
        <f t="shared" si="22"/>
        <v>21</v>
      </c>
      <c r="M80" s="111">
        <v>84.2</v>
      </c>
      <c r="N80" s="28">
        <f t="shared" si="23"/>
        <v>0.72209026128252207</v>
      </c>
      <c r="O80" s="84">
        <f t="shared" si="24"/>
        <v>154.09999999997672</v>
      </c>
      <c r="P80" s="79">
        <f t="shared" si="25"/>
        <v>217.2</v>
      </c>
      <c r="Q80" s="34">
        <f t="shared" si="26"/>
        <v>0.70948434622457057</v>
      </c>
      <c r="R80" s="1">
        <v>39</v>
      </c>
    </row>
    <row r="81" spans="1:18" ht="24" customHeight="1">
      <c r="A81" s="81">
        <v>31</v>
      </c>
      <c r="B81" s="31" t="s">
        <v>77</v>
      </c>
      <c r="C81" s="83">
        <v>263558</v>
      </c>
      <c r="D81" s="83">
        <v>263648.5</v>
      </c>
      <c r="E81" s="104">
        <f t="shared" si="19"/>
        <v>90.5</v>
      </c>
      <c r="F81" s="110">
        <v>19315</v>
      </c>
      <c r="G81" s="111">
        <v>145</v>
      </c>
      <c r="H81" s="10">
        <f t="shared" si="20"/>
        <v>0.62413793103448278</v>
      </c>
      <c r="I81" s="83">
        <v>263695.2</v>
      </c>
      <c r="J81" s="106">
        <f t="shared" si="21"/>
        <v>46.700000000011642</v>
      </c>
      <c r="K81" s="110">
        <v>19334</v>
      </c>
      <c r="L81" s="107">
        <f>K81-F81</f>
        <v>19</v>
      </c>
      <c r="M81" s="111">
        <v>76.739999999999995</v>
      </c>
      <c r="N81" s="28">
        <f t="shared" si="23"/>
        <v>0.60854834506139754</v>
      </c>
      <c r="O81" s="84">
        <f t="shared" si="24"/>
        <v>137.20000000001164</v>
      </c>
      <c r="P81" s="79">
        <f t="shared" si="25"/>
        <v>221.74</v>
      </c>
      <c r="Q81" s="34">
        <f t="shared" si="26"/>
        <v>0.6187426715974188</v>
      </c>
      <c r="R81" s="1">
        <v>40</v>
      </c>
    </row>
    <row r="82" spans="1:18" ht="24" customHeight="1">
      <c r="A82" s="81">
        <v>32</v>
      </c>
      <c r="B82" s="31" t="s">
        <v>78</v>
      </c>
      <c r="C82" s="104">
        <v>289652</v>
      </c>
      <c r="D82" s="104">
        <v>289652</v>
      </c>
      <c r="E82" s="104">
        <f t="shared" si="19"/>
        <v>0</v>
      </c>
      <c r="F82" s="110">
        <v>20915</v>
      </c>
      <c r="G82" s="111">
        <v>0</v>
      </c>
      <c r="H82" s="10">
        <f t="shared" si="20"/>
        <v>0</v>
      </c>
      <c r="I82" s="104">
        <v>289742.09999999998</v>
      </c>
      <c r="J82" s="106">
        <f t="shared" si="21"/>
        <v>90.099999999976717</v>
      </c>
      <c r="K82" s="110">
        <v>20928</v>
      </c>
      <c r="L82" s="107">
        <f t="shared" si="22"/>
        <v>13</v>
      </c>
      <c r="M82" s="111">
        <v>138.91</v>
      </c>
      <c r="N82" s="28">
        <f t="shared" si="23"/>
        <v>0.64862140954558145</v>
      </c>
      <c r="O82" s="84">
        <f t="shared" si="24"/>
        <v>90.099999999976717</v>
      </c>
      <c r="P82" s="79">
        <f t="shared" si="25"/>
        <v>138.91</v>
      </c>
      <c r="Q82" s="34">
        <f t="shared" si="26"/>
        <v>0.64862140954558145</v>
      </c>
      <c r="R82" s="1">
        <v>23</v>
      </c>
    </row>
    <row r="83" spans="1:18" ht="24" customHeight="1">
      <c r="A83" s="81">
        <v>33</v>
      </c>
      <c r="B83" s="31" t="s">
        <v>79</v>
      </c>
      <c r="C83" s="104">
        <v>304344.8</v>
      </c>
      <c r="D83" s="104">
        <v>304459.59999999998</v>
      </c>
      <c r="E83" s="104">
        <f t="shared" si="19"/>
        <v>114.79999999998836</v>
      </c>
      <c r="F83" s="110">
        <v>21661</v>
      </c>
      <c r="G83" s="111">
        <v>166.86</v>
      </c>
      <c r="H83" s="10">
        <f t="shared" si="20"/>
        <v>0.68800191777531072</v>
      </c>
      <c r="I83" s="104">
        <v>304551.8</v>
      </c>
      <c r="J83" s="106">
        <f t="shared" si="21"/>
        <v>92.200000000011642</v>
      </c>
      <c r="K83" s="110">
        <v>21679</v>
      </c>
      <c r="L83" s="107">
        <f t="shared" si="22"/>
        <v>18</v>
      </c>
      <c r="M83" s="111">
        <v>150.66999999999999</v>
      </c>
      <c r="N83" s="28">
        <f t="shared" si="23"/>
        <v>0.61193336430617673</v>
      </c>
      <c r="O83" s="84">
        <f t="shared" si="24"/>
        <v>207</v>
      </c>
      <c r="P83" s="79">
        <f t="shared" si="25"/>
        <v>317.52999999999997</v>
      </c>
      <c r="Q83" s="34">
        <f t="shared" si="26"/>
        <v>0.65190690643403781</v>
      </c>
      <c r="R83" s="1">
        <v>34</v>
      </c>
    </row>
    <row r="84" spans="1:18" ht="24" customHeight="1">
      <c r="A84" s="81">
        <v>34</v>
      </c>
      <c r="B84" s="31" t="s">
        <v>163</v>
      </c>
      <c r="C84" s="104">
        <v>245399.6</v>
      </c>
      <c r="D84" s="104">
        <v>245559.7</v>
      </c>
      <c r="E84" s="104">
        <f t="shared" si="19"/>
        <v>160.10000000000582</v>
      </c>
      <c r="F84" s="110">
        <v>18328</v>
      </c>
      <c r="G84" s="111">
        <v>218</v>
      </c>
      <c r="H84" s="10">
        <f t="shared" si="20"/>
        <v>0.73440366972479731</v>
      </c>
      <c r="I84" s="104">
        <v>245559.7</v>
      </c>
      <c r="J84" s="106">
        <f t="shared" si="21"/>
        <v>0</v>
      </c>
      <c r="K84" s="110">
        <v>18340</v>
      </c>
      <c r="L84" s="107">
        <f t="shared" si="22"/>
        <v>12</v>
      </c>
      <c r="M84" s="111">
        <v>0</v>
      </c>
      <c r="N84" s="28">
        <f t="shared" si="23"/>
        <v>0</v>
      </c>
      <c r="O84" s="84">
        <f t="shared" si="24"/>
        <v>160.10000000000582</v>
      </c>
      <c r="P84" s="79">
        <f t="shared" si="25"/>
        <v>218</v>
      </c>
      <c r="Q84" s="34">
        <f t="shared" si="26"/>
        <v>0.73440366972479731</v>
      </c>
      <c r="R84" s="1">
        <v>13</v>
      </c>
    </row>
    <row r="85" spans="1:18" ht="24" customHeight="1">
      <c r="A85" s="81">
        <v>35</v>
      </c>
      <c r="B85" s="31" t="s">
        <v>164</v>
      </c>
      <c r="C85" s="104">
        <v>244959.1</v>
      </c>
      <c r="D85" s="104">
        <v>245115.5</v>
      </c>
      <c r="E85" s="104">
        <f t="shared" si="19"/>
        <v>156.39999999999418</v>
      </c>
      <c r="F85" s="110">
        <v>18308</v>
      </c>
      <c r="G85" s="111">
        <v>188.27</v>
      </c>
      <c r="H85" s="10">
        <f t="shared" si="20"/>
        <v>0.83072183566151891</v>
      </c>
      <c r="I85" s="104">
        <v>245115.5</v>
      </c>
      <c r="J85" s="106">
        <f t="shared" si="21"/>
        <v>0</v>
      </c>
      <c r="K85" s="110">
        <v>18321</v>
      </c>
      <c r="L85" s="107">
        <f t="shared" si="22"/>
        <v>13</v>
      </c>
      <c r="M85" s="111">
        <v>0</v>
      </c>
      <c r="N85" s="28">
        <f t="shared" si="23"/>
        <v>0</v>
      </c>
      <c r="O85" s="84">
        <f t="shared" si="24"/>
        <v>156.39999999999418</v>
      </c>
      <c r="P85" s="79">
        <f t="shared" si="25"/>
        <v>188.27</v>
      </c>
      <c r="Q85" s="34">
        <f t="shared" si="26"/>
        <v>0.83072183566151891</v>
      </c>
      <c r="R85" s="1">
        <v>29</v>
      </c>
    </row>
    <row r="86" spans="1:18" ht="24" customHeight="1">
      <c r="A86" s="81">
        <v>36</v>
      </c>
      <c r="B86" s="31" t="s">
        <v>165</v>
      </c>
      <c r="C86" s="104">
        <v>251746.6</v>
      </c>
      <c r="D86" s="104">
        <v>251833.2</v>
      </c>
      <c r="E86" s="104">
        <f t="shared" si="19"/>
        <v>86.600000000005821</v>
      </c>
      <c r="F86" s="110">
        <v>17939</v>
      </c>
      <c r="G86" s="111">
        <v>122.13</v>
      </c>
      <c r="H86" s="10">
        <f t="shared" si="20"/>
        <v>0.70908048800463297</v>
      </c>
      <c r="I86" s="104">
        <v>251907.9</v>
      </c>
      <c r="J86" s="106">
        <f t="shared" si="21"/>
        <v>74.699999999982538</v>
      </c>
      <c r="K86" s="110">
        <v>17957</v>
      </c>
      <c r="L86" s="107">
        <f t="shared" si="22"/>
        <v>18</v>
      </c>
      <c r="M86" s="112">
        <v>111.01</v>
      </c>
      <c r="N86" s="28">
        <f t="shared" si="23"/>
        <v>0.67291235023855989</v>
      </c>
      <c r="O86" s="84">
        <f t="shared" si="24"/>
        <v>161.29999999998836</v>
      </c>
      <c r="P86" s="79">
        <f t="shared" si="25"/>
        <v>233.14</v>
      </c>
      <c r="Q86" s="34">
        <f t="shared" si="26"/>
        <v>0.69185896885986264</v>
      </c>
      <c r="R86" s="1">
        <v>40</v>
      </c>
    </row>
    <row r="87" spans="1:18" ht="24" customHeight="1">
      <c r="A87" s="81">
        <v>37</v>
      </c>
      <c r="B87" s="31" t="s">
        <v>83</v>
      </c>
      <c r="C87" s="104">
        <v>260193.3</v>
      </c>
      <c r="D87" s="104">
        <v>260343.1</v>
      </c>
      <c r="E87" s="104">
        <f t="shared" si="19"/>
        <v>149.80000000001746</v>
      </c>
      <c r="F87" s="110">
        <v>18466</v>
      </c>
      <c r="G87" s="111">
        <v>207</v>
      </c>
      <c r="H87" s="10">
        <f t="shared" si="20"/>
        <v>0.72367149758462546</v>
      </c>
      <c r="I87" s="104">
        <v>260417.1</v>
      </c>
      <c r="J87" s="106">
        <f t="shared" si="21"/>
        <v>74</v>
      </c>
      <c r="K87" s="110">
        <v>18483</v>
      </c>
      <c r="L87" s="107">
        <f t="shared" si="22"/>
        <v>17</v>
      </c>
      <c r="M87" s="112">
        <v>91.02</v>
      </c>
      <c r="N87" s="28">
        <f t="shared" si="23"/>
        <v>0.81300813008130079</v>
      </c>
      <c r="O87" s="84">
        <f t="shared" si="24"/>
        <v>223.80000000001746</v>
      </c>
      <c r="P87" s="79">
        <f t="shared" si="25"/>
        <v>298.02</v>
      </c>
      <c r="Q87" s="34">
        <f t="shared" si="26"/>
        <v>0.75095631165699439</v>
      </c>
      <c r="R87" s="1">
        <v>12</v>
      </c>
    </row>
    <row r="88" spans="1:18" ht="24" customHeight="1">
      <c r="A88" s="81">
        <v>38</v>
      </c>
      <c r="B88" s="31" t="s">
        <v>84</v>
      </c>
      <c r="C88" s="104">
        <v>271871</v>
      </c>
      <c r="D88" s="104">
        <v>272032.59999999998</v>
      </c>
      <c r="E88" s="104">
        <f t="shared" si="19"/>
        <v>161.59999999997672</v>
      </c>
      <c r="F88" s="110">
        <v>17836</v>
      </c>
      <c r="G88" s="111">
        <v>219</v>
      </c>
      <c r="H88" s="10">
        <f t="shared" si="20"/>
        <v>0.73789954337888908</v>
      </c>
      <c r="I88" s="104">
        <v>272149.7</v>
      </c>
      <c r="J88" s="106">
        <f t="shared" si="21"/>
        <v>117.10000000003492</v>
      </c>
      <c r="K88" s="110">
        <v>17855</v>
      </c>
      <c r="L88" s="107">
        <f t="shared" si="22"/>
        <v>19</v>
      </c>
      <c r="M88" s="112">
        <v>172.22</v>
      </c>
      <c r="N88" s="28">
        <f t="shared" si="23"/>
        <v>0.67994425734545882</v>
      </c>
      <c r="O88" s="84">
        <f t="shared" si="24"/>
        <v>278.70000000001164</v>
      </c>
      <c r="P88" s="79">
        <f t="shared" si="25"/>
        <v>391.22</v>
      </c>
      <c r="Q88" s="34">
        <f t="shared" si="26"/>
        <v>0.71238689228570018</v>
      </c>
      <c r="R88" s="1">
        <v>15</v>
      </c>
    </row>
    <row r="89" spans="1:18" ht="24" customHeight="1">
      <c r="A89" s="81">
        <v>39</v>
      </c>
      <c r="B89" s="31" t="s">
        <v>85</v>
      </c>
      <c r="C89" s="35">
        <v>279809.5</v>
      </c>
      <c r="D89" s="35">
        <v>279809.5</v>
      </c>
      <c r="E89" s="104">
        <f t="shared" si="19"/>
        <v>0</v>
      </c>
      <c r="F89" s="110">
        <v>19761</v>
      </c>
      <c r="G89" s="111">
        <v>0</v>
      </c>
      <c r="H89" s="10">
        <f t="shared" si="20"/>
        <v>0</v>
      </c>
      <c r="I89" s="35">
        <v>279972.8</v>
      </c>
      <c r="J89" s="106">
        <f t="shared" si="21"/>
        <v>163.29999999998836</v>
      </c>
      <c r="K89" s="110">
        <v>19773</v>
      </c>
      <c r="L89" s="107">
        <f t="shared" si="22"/>
        <v>12</v>
      </c>
      <c r="M89" s="112">
        <v>222.51</v>
      </c>
      <c r="N89" s="28">
        <f t="shared" si="23"/>
        <v>0.73389960001792443</v>
      </c>
      <c r="O89" s="84">
        <f t="shared" si="24"/>
        <v>163.29999999998836</v>
      </c>
      <c r="P89" s="79">
        <f t="shared" si="25"/>
        <v>222.51</v>
      </c>
      <c r="Q89" s="34">
        <f t="shared" si="26"/>
        <v>0.73389960001792443</v>
      </c>
      <c r="R89" s="1">
        <v>37</v>
      </c>
    </row>
    <row r="90" spans="1:18" ht="24" customHeight="1">
      <c r="A90" s="81">
        <v>40</v>
      </c>
      <c r="B90" s="31" t="s">
        <v>86</v>
      </c>
      <c r="C90" s="104">
        <v>250613</v>
      </c>
      <c r="D90" s="104">
        <v>250705</v>
      </c>
      <c r="E90" s="104">
        <f t="shared" si="19"/>
        <v>92</v>
      </c>
      <c r="F90" s="110">
        <v>17808</v>
      </c>
      <c r="G90" s="111">
        <v>131</v>
      </c>
      <c r="H90" s="10">
        <f t="shared" si="20"/>
        <v>0.70229007633587781</v>
      </c>
      <c r="I90" s="104">
        <v>250705</v>
      </c>
      <c r="J90" s="106">
        <f t="shared" si="21"/>
        <v>0</v>
      </c>
      <c r="K90" s="110">
        <v>17820</v>
      </c>
      <c r="L90" s="107">
        <f t="shared" si="22"/>
        <v>12</v>
      </c>
      <c r="M90" s="112">
        <v>0</v>
      </c>
      <c r="N90" s="28">
        <f t="shared" si="23"/>
        <v>0</v>
      </c>
      <c r="O90" s="84">
        <f t="shared" si="24"/>
        <v>92</v>
      </c>
      <c r="P90" s="79">
        <f t="shared" si="25"/>
        <v>131</v>
      </c>
      <c r="Q90" s="34">
        <f t="shared" si="26"/>
        <v>0.70229007633587781</v>
      </c>
      <c r="R90" s="1">
        <v>7</v>
      </c>
    </row>
    <row r="91" spans="1:18" ht="24" customHeight="1">
      <c r="A91" s="81">
        <v>41</v>
      </c>
      <c r="B91" s="31" t="s">
        <v>87</v>
      </c>
      <c r="C91" s="104">
        <v>279375</v>
      </c>
      <c r="D91" s="104">
        <v>279528.59999999998</v>
      </c>
      <c r="E91" s="104">
        <f t="shared" si="19"/>
        <v>153.59999999997672</v>
      </c>
      <c r="F91" s="110">
        <v>19306</v>
      </c>
      <c r="G91" s="111">
        <v>185</v>
      </c>
      <c r="H91" s="10">
        <f t="shared" si="20"/>
        <v>0.83027027027014444</v>
      </c>
      <c r="I91" s="104">
        <v>279528.59999999998</v>
      </c>
      <c r="J91" s="106">
        <f t="shared" si="21"/>
        <v>0</v>
      </c>
      <c r="K91" s="110">
        <v>19319</v>
      </c>
      <c r="L91" s="107">
        <f t="shared" si="22"/>
        <v>13</v>
      </c>
      <c r="M91" s="111">
        <v>0</v>
      </c>
      <c r="N91" s="28">
        <f t="shared" si="23"/>
        <v>0</v>
      </c>
      <c r="O91" s="84">
        <f t="shared" si="24"/>
        <v>153.59999999997672</v>
      </c>
      <c r="P91" s="79">
        <f t="shared" si="25"/>
        <v>185</v>
      </c>
      <c r="Q91" s="34">
        <f t="shared" si="26"/>
        <v>0.83027027027014444</v>
      </c>
      <c r="R91" s="1">
        <v>4</v>
      </c>
    </row>
    <row r="92" spans="1:18" ht="24" customHeight="1">
      <c r="A92" s="81">
        <v>42</v>
      </c>
      <c r="B92" s="31" t="s">
        <v>88</v>
      </c>
      <c r="C92" s="104">
        <v>275350.3</v>
      </c>
      <c r="D92" s="104">
        <v>275500.40000000002</v>
      </c>
      <c r="E92" s="104">
        <f t="shared" si="19"/>
        <v>150.10000000003492</v>
      </c>
      <c r="F92" s="110">
        <v>18703</v>
      </c>
      <c r="G92" s="111">
        <v>178</v>
      </c>
      <c r="H92" s="10">
        <f t="shared" si="20"/>
        <v>0.84325842696648834</v>
      </c>
      <c r="I92" s="104">
        <v>275500.40000000002</v>
      </c>
      <c r="J92" s="106">
        <f t="shared" si="21"/>
        <v>0</v>
      </c>
      <c r="K92" s="110">
        <v>18714</v>
      </c>
      <c r="L92" s="107">
        <f t="shared" si="22"/>
        <v>11</v>
      </c>
      <c r="M92" s="111">
        <v>0</v>
      </c>
      <c r="N92" s="28">
        <f t="shared" si="23"/>
        <v>0</v>
      </c>
      <c r="O92" s="84">
        <f t="shared" si="24"/>
        <v>150.10000000003492</v>
      </c>
      <c r="P92" s="79">
        <f t="shared" si="25"/>
        <v>178</v>
      </c>
      <c r="Q92" s="34">
        <f t="shared" si="26"/>
        <v>0.84325842696648834</v>
      </c>
      <c r="R92" s="1">
        <v>10</v>
      </c>
    </row>
    <row r="93" spans="1:18" ht="24" customHeight="1">
      <c r="A93" s="81">
        <v>43</v>
      </c>
      <c r="B93" s="31" t="s">
        <v>89</v>
      </c>
      <c r="C93" s="35">
        <v>267740.40000000002</v>
      </c>
      <c r="D93" s="35">
        <v>267865.2</v>
      </c>
      <c r="E93" s="104">
        <f t="shared" si="19"/>
        <v>124.79999999998836</v>
      </c>
      <c r="F93" s="110">
        <v>18353</v>
      </c>
      <c r="G93" s="111">
        <v>168</v>
      </c>
      <c r="H93" s="10">
        <f t="shared" si="20"/>
        <v>0.7428571428570736</v>
      </c>
      <c r="I93" s="35">
        <v>267991.40000000002</v>
      </c>
      <c r="J93" s="106">
        <f t="shared" si="21"/>
        <v>126.20000000001164</v>
      </c>
      <c r="K93" s="110">
        <v>18370</v>
      </c>
      <c r="L93" s="107">
        <f t="shared" si="22"/>
        <v>17</v>
      </c>
      <c r="M93" s="111">
        <v>169.53</v>
      </c>
      <c r="N93" s="28">
        <f t="shared" si="23"/>
        <v>0.74441101869882409</v>
      </c>
      <c r="O93" s="84">
        <f t="shared" si="24"/>
        <v>251</v>
      </c>
      <c r="P93" s="79">
        <f t="shared" si="25"/>
        <v>337.53</v>
      </c>
      <c r="Q93" s="34">
        <f t="shared" si="26"/>
        <v>0.74363760258347411</v>
      </c>
      <c r="R93" s="1">
        <v>36</v>
      </c>
    </row>
    <row r="94" spans="1:18" ht="24" customHeight="1">
      <c r="A94" s="81">
        <v>44</v>
      </c>
      <c r="B94" s="31" t="s">
        <v>90</v>
      </c>
      <c r="C94" s="104">
        <v>244980.1</v>
      </c>
      <c r="D94" s="104">
        <v>245113.1</v>
      </c>
      <c r="E94" s="104">
        <f t="shared" si="19"/>
        <v>133</v>
      </c>
      <c r="F94" s="110">
        <v>17671</v>
      </c>
      <c r="G94" s="111">
        <v>205</v>
      </c>
      <c r="H94" s="10">
        <f>IFERROR(E94/G94,0)</f>
        <v>0.64878048780487807</v>
      </c>
      <c r="I94" s="104">
        <v>245216.3</v>
      </c>
      <c r="J94" s="106">
        <f t="shared" si="21"/>
        <v>103.19999999998254</v>
      </c>
      <c r="K94" s="110">
        <v>17692</v>
      </c>
      <c r="L94" s="107">
        <f t="shared" si="22"/>
        <v>21</v>
      </c>
      <c r="M94" s="111">
        <v>131.07</v>
      </c>
      <c r="N94" s="28">
        <f t="shared" si="23"/>
        <v>0.78736552986940223</v>
      </c>
      <c r="O94" s="84">
        <f t="shared" si="24"/>
        <v>236.19999999998254</v>
      </c>
      <c r="P94" s="79">
        <f t="shared" si="25"/>
        <v>336.07</v>
      </c>
      <c r="Q94" s="34">
        <f t="shared" si="26"/>
        <v>0.70282976760788685</v>
      </c>
      <c r="R94" s="1">
        <v>14</v>
      </c>
    </row>
    <row r="95" spans="1:18" ht="24" customHeight="1">
      <c r="A95" s="81">
        <v>45</v>
      </c>
      <c r="B95" s="31" t="s">
        <v>91</v>
      </c>
      <c r="C95" s="104">
        <v>254153.9</v>
      </c>
      <c r="D95" s="104">
        <v>254153.9</v>
      </c>
      <c r="E95" s="104">
        <f t="shared" si="19"/>
        <v>0</v>
      </c>
      <c r="F95" s="110">
        <v>17731</v>
      </c>
      <c r="G95" s="111">
        <v>0</v>
      </c>
      <c r="H95" s="10">
        <f t="shared" si="20"/>
        <v>0</v>
      </c>
      <c r="I95" s="104">
        <v>254153.9</v>
      </c>
      <c r="J95" s="106">
        <f t="shared" si="21"/>
        <v>0</v>
      </c>
      <c r="K95" s="110">
        <v>17731</v>
      </c>
      <c r="L95" s="107">
        <f t="shared" si="22"/>
        <v>0</v>
      </c>
      <c r="M95" s="111">
        <v>0</v>
      </c>
      <c r="N95" s="28">
        <f t="shared" si="23"/>
        <v>0</v>
      </c>
      <c r="O95" s="84">
        <f t="shared" si="24"/>
        <v>0</v>
      </c>
      <c r="P95" s="79">
        <f t="shared" si="25"/>
        <v>0</v>
      </c>
      <c r="Q95" s="34">
        <f t="shared" si="26"/>
        <v>0</v>
      </c>
      <c r="R95" s="1">
        <v>0</v>
      </c>
    </row>
    <row r="96" spans="1:18" ht="24" customHeight="1">
      <c r="A96" s="81">
        <v>46</v>
      </c>
      <c r="B96" s="31" t="s">
        <v>92</v>
      </c>
      <c r="C96" s="35">
        <v>239253.1</v>
      </c>
      <c r="D96" s="35">
        <v>239414.5</v>
      </c>
      <c r="E96" s="104">
        <f>D96-C96</f>
        <v>161.39999999999418</v>
      </c>
      <c r="F96" s="110">
        <v>17331</v>
      </c>
      <c r="G96" s="111">
        <v>220</v>
      </c>
      <c r="H96" s="10">
        <f t="shared" si="20"/>
        <v>0.73363636363633722</v>
      </c>
      <c r="I96" s="35">
        <v>239527.5</v>
      </c>
      <c r="J96" s="106">
        <f>I96-D96</f>
        <v>113</v>
      </c>
      <c r="K96" s="110">
        <v>17351</v>
      </c>
      <c r="L96" s="107">
        <f t="shared" si="22"/>
        <v>20</v>
      </c>
      <c r="M96" s="111">
        <v>143.68</v>
      </c>
      <c r="N96" s="28">
        <f t="shared" si="23"/>
        <v>0.78646993318485514</v>
      </c>
      <c r="O96" s="84">
        <f t="shared" si="24"/>
        <v>274.39999999999418</v>
      </c>
      <c r="P96" s="79">
        <f>G96+M96</f>
        <v>363.68</v>
      </c>
      <c r="Q96" s="34">
        <f t="shared" si="26"/>
        <v>0.75450945886492016</v>
      </c>
      <c r="R96" s="1">
        <v>36</v>
      </c>
    </row>
    <row r="97" spans="1:19" ht="24" customHeight="1">
      <c r="A97" s="81">
        <v>47</v>
      </c>
      <c r="B97" s="31" t="s">
        <v>93</v>
      </c>
      <c r="C97" s="104">
        <v>247713.5</v>
      </c>
      <c r="D97" s="104">
        <v>247881.4</v>
      </c>
      <c r="E97" s="104">
        <f>D97-C97</f>
        <v>167.89999999999418</v>
      </c>
      <c r="F97" s="110">
        <v>16802</v>
      </c>
      <c r="G97" s="111">
        <v>234</v>
      </c>
      <c r="H97" s="10">
        <f t="shared" si="20"/>
        <v>0.71752136752134266</v>
      </c>
      <c r="I97" s="104">
        <v>248016.5</v>
      </c>
      <c r="J97" s="106">
        <f>I97-D97</f>
        <v>135.10000000000582</v>
      </c>
      <c r="K97" s="110">
        <v>16820</v>
      </c>
      <c r="L97" s="107">
        <f t="shared" si="22"/>
        <v>18</v>
      </c>
      <c r="M97" s="111">
        <v>174.04</v>
      </c>
      <c r="N97" s="28">
        <f t="shared" si="23"/>
        <v>0.7762583314180983</v>
      </c>
      <c r="O97" s="84">
        <f t="shared" si="24"/>
        <v>303</v>
      </c>
      <c r="P97" s="79">
        <f t="shared" si="25"/>
        <v>408.03999999999996</v>
      </c>
      <c r="Q97" s="34">
        <f t="shared" si="26"/>
        <v>0.74257425742574268</v>
      </c>
      <c r="R97" s="1">
        <v>17</v>
      </c>
      <c r="S97" t="s">
        <v>94</v>
      </c>
    </row>
    <row r="98" spans="1:19" ht="24" customHeight="1">
      <c r="A98" s="81">
        <v>48</v>
      </c>
      <c r="B98" s="31" t="s">
        <v>95</v>
      </c>
      <c r="C98" s="104">
        <v>244738</v>
      </c>
      <c r="D98" s="104">
        <v>244906.7</v>
      </c>
      <c r="E98" s="104">
        <f t="shared" si="19"/>
        <v>168.70000000001164</v>
      </c>
      <c r="F98" s="110">
        <v>18241</v>
      </c>
      <c r="G98" s="111">
        <v>234</v>
      </c>
      <c r="H98" s="10">
        <f t="shared" si="20"/>
        <v>0.72094017094022067</v>
      </c>
      <c r="I98" s="104">
        <v>244906.7</v>
      </c>
      <c r="J98" s="106">
        <f t="shared" si="21"/>
        <v>0</v>
      </c>
      <c r="K98" s="110">
        <v>18252</v>
      </c>
      <c r="L98" s="107">
        <f t="shared" si="22"/>
        <v>11</v>
      </c>
      <c r="M98" s="111">
        <v>0</v>
      </c>
      <c r="N98" s="28">
        <f t="shared" si="23"/>
        <v>0</v>
      </c>
      <c r="O98" s="84">
        <f t="shared" si="24"/>
        <v>168.70000000001164</v>
      </c>
      <c r="P98" s="79">
        <f t="shared" si="25"/>
        <v>234</v>
      </c>
      <c r="Q98" s="34">
        <f t="shared" si="26"/>
        <v>0.72094017094022067</v>
      </c>
      <c r="R98" s="1">
        <v>10</v>
      </c>
    </row>
    <row r="99" spans="1:19" ht="24" customHeight="1">
      <c r="A99" s="81">
        <v>49</v>
      </c>
      <c r="B99" s="31" t="s">
        <v>96</v>
      </c>
      <c r="C99" s="35">
        <v>249234</v>
      </c>
      <c r="D99" s="35">
        <v>249382.9</v>
      </c>
      <c r="E99" s="104">
        <f t="shared" si="19"/>
        <v>148.89999999999418</v>
      </c>
      <c r="F99" s="110">
        <v>17920</v>
      </c>
      <c r="G99" s="111">
        <v>179</v>
      </c>
      <c r="H99" s="10">
        <f>IFERROR(E99/G99,0)</f>
        <v>0.83184357541896192</v>
      </c>
      <c r="I99" s="35">
        <v>249382.9</v>
      </c>
      <c r="J99" s="106">
        <f t="shared" si="21"/>
        <v>0</v>
      </c>
      <c r="K99" s="110">
        <v>17933</v>
      </c>
      <c r="L99" s="107">
        <f t="shared" si="22"/>
        <v>13</v>
      </c>
      <c r="M99" s="111">
        <v>0</v>
      </c>
      <c r="N99" s="28">
        <f t="shared" si="23"/>
        <v>0</v>
      </c>
      <c r="O99" s="84">
        <f t="shared" si="24"/>
        <v>148.89999999999418</v>
      </c>
      <c r="P99" s="79">
        <f t="shared" si="25"/>
        <v>179</v>
      </c>
      <c r="Q99" s="34">
        <f t="shared" si="26"/>
        <v>0.83184357541896192</v>
      </c>
      <c r="R99" s="1">
        <v>15</v>
      </c>
    </row>
    <row r="100" spans="1:19" ht="24" customHeight="1">
      <c r="A100" s="81">
        <v>50</v>
      </c>
      <c r="B100" s="31" t="s">
        <v>97</v>
      </c>
      <c r="C100" s="104">
        <v>237995.5</v>
      </c>
      <c r="D100" s="104">
        <v>238163.4</v>
      </c>
      <c r="E100" s="104">
        <f t="shared" si="19"/>
        <v>167.89999999999418</v>
      </c>
      <c r="F100" s="110">
        <v>16437</v>
      </c>
      <c r="G100" s="111">
        <v>218</v>
      </c>
      <c r="H100" s="10">
        <f t="shared" si="20"/>
        <v>0.77018348623850541</v>
      </c>
      <c r="I100" s="104">
        <v>238288.9</v>
      </c>
      <c r="J100" s="106">
        <f t="shared" si="21"/>
        <v>125.5</v>
      </c>
      <c r="K100" s="110">
        <v>16457</v>
      </c>
      <c r="L100" s="107">
        <f t="shared" si="22"/>
        <v>20</v>
      </c>
      <c r="M100" s="111">
        <v>169.69</v>
      </c>
      <c r="N100" s="28">
        <f t="shared" si="23"/>
        <v>0.73958394719783138</v>
      </c>
      <c r="O100" s="84">
        <f t="shared" si="24"/>
        <v>293.39999999999418</v>
      </c>
      <c r="P100" s="79">
        <f t="shared" si="25"/>
        <v>387.69</v>
      </c>
      <c r="Q100" s="34">
        <f t="shared" si="26"/>
        <v>0.7567902189893837</v>
      </c>
      <c r="R100" s="1">
        <v>35</v>
      </c>
    </row>
    <row r="101" spans="1:19" ht="24" customHeight="1">
      <c r="A101" s="81">
        <v>51</v>
      </c>
      <c r="B101" s="121" t="s">
        <v>166</v>
      </c>
      <c r="C101" s="104">
        <v>205867</v>
      </c>
      <c r="D101" s="104">
        <v>205924</v>
      </c>
      <c r="E101" s="118">
        <f t="shared" si="19"/>
        <v>57</v>
      </c>
      <c r="F101" s="110">
        <v>17525</v>
      </c>
      <c r="G101" s="111">
        <v>98.26</v>
      </c>
      <c r="H101" s="55">
        <f t="shared" si="20"/>
        <v>0.58009362914716056</v>
      </c>
      <c r="I101" s="104">
        <v>205924</v>
      </c>
      <c r="J101" s="119">
        <f t="shared" si="21"/>
        <v>0</v>
      </c>
      <c r="K101" s="110">
        <v>17538</v>
      </c>
      <c r="L101" s="120">
        <f t="shared" si="22"/>
        <v>13</v>
      </c>
      <c r="M101" s="111">
        <v>0</v>
      </c>
      <c r="N101" s="28">
        <f t="shared" si="23"/>
        <v>0</v>
      </c>
      <c r="O101" s="58">
        <f t="shared" si="24"/>
        <v>57</v>
      </c>
      <c r="P101" s="79">
        <f t="shared" si="25"/>
        <v>98.26</v>
      </c>
      <c r="Q101" s="34">
        <f t="shared" si="26"/>
        <v>0.58009362914716056</v>
      </c>
      <c r="R101" s="1">
        <v>28</v>
      </c>
    </row>
    <row r="102" spans="1:19" ht="24" customHeight="1">
      <c r="A102" s="81">
        <v>52</v>
      </c>
      <c r="B102" s="121" t="s">
        <v>167</v>
      </c>
      <c r="C102" s="104">
        <v>186406</v>
      </c>
      <c r="D102" s="104">
        <v>186406</v>
      </c>
      <c r="E102" s="118">
        <f t="shared" si="19"/>
        <v>0</v>
      </c>
      <c r="F102" s="110">
        <v>16317</v>
      </c>
      <c r="G102" s="111">
        <v>0</v>
      </c>
      <c r="H102" s="55">
        <f t="shared" si="20"/>
        <v>0</v>
      </c>
      <c r="I102" s="104">
        <v>186406</v>
      </c>
      <c r="J102" s="119">
        <f t="shared" si="21"/>
        <v>0</v>
      </c>
      <c r="K102" s="110">
        <v>16317</v>
      </c>
      <c r="L102" s="120">
        <f t="shared" si="22"/>
        <v>0</v>
      </c>
      <c r="M102" s="111">
        <v>0</v>
      </c>
      <c r="N102" s="28">
        <f t="shared" si="23"/>
        <v>0</v>
      </c>
      <c r="O102" s="58">
        <f t="shared" si="24"/>
        <v>0</v>
      </c>
      <c r="P102" s="79">
        <f t="shared" si="25"/>
        <v>0</v>
      </c>
      <c r="Q102" s="34">
        <f t="shared" si="26"/>
        <v>0</v>
      </c>
      <c r="R102" s="1">
        <v>0</v>
      </c>
    </row>
    <row r="103" spans="1:19" ht="24" customHeight="1">
      <c r="A103" s="81">
        <v>53</v>
      </c>
      <c r="B103" s="121" t="s">
        <v>168</v>
      </c>
      <c r="C103" s="104">
        <v>192861</v>
      </c>
      <c r="D103" s="104">
        <v>192953</v>
      </c>
      <c r="E103" s="118">
        <f t="shared" si="19"/>
        <v>92</v>
      </c>
      <c r="F103" s="110">
        <v>17204</v>
      </c>
      <c r="G103" s="111">
        <v>166.52</v>
      </c>
      <c r="H103" s="55">
        <f t="shared" si="20"/>
        <v>0.55248618784530379</v>
      </c>
      <c r="I103" s="104">
        <v>192953</v>
      </c>
      <c r="J103" s="119">
        <f t="shared" si="21"/>
        <v>0</v>
      </c>
      <c r="K103" s="110">
        <v>17216</v>
      </c>
      <c r="L103" s="120">
        <f t="shared" si="22"/>
        <v>12</v>
      </c>
      <c r="M103" s="111">
        <v>0</v>
      </c>
      <c r="N103" s="28">
        <f t="shared" si="23"/>
        <v>0</v>
      </c>
      <c r="O103" s="58">
        <f t="shared" si="24"/>
        <v>92</v>
      </c>
      <c r="P103" s="79">
        <f t="shared" si="25"/>
        <v>166.52</v>
      </c>
      <c r="Q103" s="34">
        <f t="shared" si="26"/>
        <v>0.55248618784530379</v>
      </c>
      <c r="R103" s="1">
        <v>27</v>
      </c>
    </row>
    <row r="104" spans="1:19" ht="24" customHeight="1">
      <c r="A104" s="81">
        <v>54</v>
      </c>
      <c r="B104" s="121" t="s">
        <v>169</v>
      </c>
      <c r="C104" s="104">
        <v>196931</v>
      </c>
      <c r="D104" s="104">
        <v>197030</v>
      </c>
      <c r="E104" s="118">
        <f t="shared" si="19"/>
        <v>99</v>
      </c>
      <c r="F104" s="110">
        <v>16686</v>
      </c>
      <c r="G104" s="111">
        <v>172.41</v>
      </c>
      <c r="H104" s="55">
        <f t="shared" si="20"/>
        <v>0.57421263267791889</v>
      </c>
      <c r="I104" s="104">
        <v>197030</v>
      </c>
      <c r="J104" s="119">
        <f t="shared" si="21"/>
        <v>0</v>
      </c>
      <c r="K104" s="110">
        <v>16699</v>
      </c>
      <c r="L104" s="120">
        <f t="shared" si="22"/>
        <v>13</v>
      </c>
      <c r="M104" s="111">
        <v>0</v>
      </c>
      <c r="N104" s="28">
        <f t="shared" si="23"/>
        <v>0</v>
      </c>
      <c r="O104" s="58">
        <f t="shared" si="24"/>
        <v>99</v>
      </c>
      <c r="P104" s="79">
        <f t="shared" si="25"/>
        <v>172.41</v>
      </c>
      <c r="Q104" s="34">
        <f t="shared" si="26"/>
        <v>0.57421263267791889</v>
      </c>
      <c r="R104" s="1">
        <v>24</v>
      </c>
    </row>
    <row r="105" spans="1:19" ht="24" customHeight="1">
      <c r="A105" s="81">
        <v>55</v>
      </c>
      <c r="B105" s="121" t="s">
        <v>104</v>
      </c>
      <c r="C105" s="104">
        <v>71863.600000000006</v>
      </c>
      <c r="D105" s="104">
        <v>72051.5</v>
      </c>
      <c r="E105" s="118">
        <f t="shared" si="19"/>
        <v>187.89999999999418</v>
      </c>
      <c r="F105" s="110">
        <v>4858</v>
      </c>
      <c r="G105" s="111">
        <v>248</v>
      </c>
      <c r="H105" s="78">
        <f t="shared" si="20"/>
        <v>0.75766129032255713</v>
      </c>
      <c r="I105" s="104">
        <v>72051.5</v>
      </c>
      <c r="J105" s="112">
        <f t="shared" si="21"/>
        <v>0</v>
      </c>
      <c r="K105" s="110">
        <v>4870</v>
      </c>
      <c r="L105" s="107">
        <f t="shared" si="22"/>
        <v>12</v>
      </c>
      <c r="M105" s="111">
        <v>0</v>
      </c>
      <c r="N105" s="28">
        <f t="shared" si="23"/>
        <v>0</v>
      </c>
      <c r="O105" s="58">
        <f t="shared" si="24"/>
        <v>187.89999999999418</v>
      </c>
      <c r="P105" s="79">
        <f t="shared" si="25"/>
        <v>248</v>
      </c>
      <c r="Q105" s="34">
        <f t="shared" si="26"/>
        <v>0.75766129032255713</v>
      </c>
      <c r="R105" s="1">
        <v>15</v>
      </c>
    </row>
    <row r="106" spans="1:19" ht="24" customHeight="1">
      <c r="A106" s="81">
        <v>56</v>
      </c>
      <c r="B106" s="121" t="s">
        <v>105</v>
      </c>
      <c r="C106" s="35">
        <v>70758.7</v>
      </c>
      <c r="D106" s="35">
        <v>70919.600000000006</v>
      </c>
      <c r="E106" s="122">
        <f t="shared" si="19"/>
        <v>160.90000000000873</v>
      </c>
      <c r="F106" s="110">
        <v>4881</v>
      </c>
      <c r="G106" s="111">
        <v>191</v>
      </c>
      <c r="H106" s="78">
        <f t="shared" si="20"/>
        <v>0.84240837696339654</v>
      </c>
      <c r="I106" s="35">
        <v>70919.600000000006</v>
      </c>
      <c r="J106" s="112">
        <f t="shared" si="21"/>
        <v>0</v>
      </c>
      <c r="K106" s="110">
        <v>4892</v>
      </c>
      <c r="L106" s="107">
        <f t="shared" si="22"/>
        <v>11</v>
      </c>
      <c r="M106" s="111">
        <v>0</v>
      </c>
      <c r="N106" s="28">
        <f t="shared" si="23"/>
        <v>0</v>
      </c>
      <c r="O106" s="58">
        <f t="shared" si="24"/>
        <v>160.90000000000873</v>
      </c>
      <c r="P106" s="79">
        <f t="shared" si="25"/>
        <v>191</v>
      </c>
      <c r="Q106" s="34">
        <f t="shared" si="26"/>
        <v>0.84240837696339654</v>
      </c>
      <c r="R106" s="1">
        <v>15</v>
      </c>
    </row>
    <row r="107" spans="1:19" ht="24" customHeight="1">
      <c r="A107" s="81">
        <v>57</v>
      </c>
      <c r="B107" s="121" t="s">
        <v>106</v>
      </c>
      <c r="C107" s="104">
        <v>68612.7</v>
      </c>
      <c r="D107" s="104">
        <v>68766.3</v>
      </c>
      <c r="E107" s="122">
        <f t="shared" si="19"/>
        <v>153.60000000000582</v>
      </c>
      <c r="F107" s="110">
        <v>4901</v>
      </c>
      <c r="G107" s="111">
        <v>202</v>
      </c>
      <c r="H107" s="78">
        <f t="shared" si="20"/>
        <v>0.76039603960398916</v>
      </c>
      <c r="I107" s="104">
        <v>68766.3</v>
      </c>
      <c r="J107" s="112">
        <f t="shared" si="21"/>
        <v>0</v>
      </c>
      <c r="K107" s="110">
        <v>4912</v>
      </c>
      <c r="L107" s="107">
        <f t="shared" si="22"/>
        <v>11</v>
      </c>
      <c r="M107" s="111">
        <v>0</v>
      </c>
      <c r="N107" s="28">
        <f t="shared" si="23"/>
        <v>0</v>
      </c>
      <c r="O107" s="58">
        <f t="shared" si="24"/>
        <v>153.60000000000582</v>
      </c>
      <c r="P107" s="79">
        <f t="shared" si="25"/>
        <v>202</v>
      </c>
      <c r="Q107" s="34">
        <f t="shared" si="26"/>
        <v>0.76039603960398916</v>
      </c>
      <c r="R107" s="1">
        <v>15</v>
      </c>
    </row>
    <row r="108" spans="1:19" ht="24" customHeight="1">
      <c r="A108" s="81">
        <v>58</v>
      </c>
      <c r="B108" s="121" t="s">
        <v>107</v>
      </c>
      <c r="C108" s="104">
        <v>70822.8</v>
      </c>
      <c r="D108" s="104">
        <v>70986.5</v>
      </c>
      <c r="E108" s="122">
        <f t="shared" si="19"/>
        <v>163.69999999999709</v>
      </c>
      <c r="F108" s="110">
        <v>4902</v>
      </c>
      <c r="G108" s="111">
        <v>197</v>
      </c>
      <c r="H108" s="78">
        <f t="shared" si="20"/>
        <v>0.83096446700506132</v>
      </c>
      <c r="I108" s="104">
        <v>70986.5</v>
      </c>
      <c r="J108" s="112">
        <f t="shared" si="21"/>
        <v>0</v>
      </c>
      <c r="K108" s="110">
        <v>4913</v>
      </c>
      <c r="L108" s="107">
        <f t="shared" si="22"/>
        <v>11</v>
      </c>
      <c r="M108" s="111">
        <v>0</v>
      </c>
      <c r="N108" s="28">
        <f t="shared" si="23"/>
        <v>0</v>
      </c>
      <c r="O108" s="58">
        <f t="shared" si="24"/>
        <v>163.69999999999709</v>
      </c>
      <c r="P108" s="79">
        <f t="shared" si="25"/>
        <v>197</v>
      </c>
      <c r="Q108" s="34">
        <f t="shared" si="26"/>
        <v>0.83096446700506132</v>
      </c>
      <c r="R108" s="1">
        <v>13</v>
      </c>
    </row>
    <row r="109" spans="1:19" ht="24" customHeight="1">
      <c r="A109" s="81">
        <v>59</v>
      </c>
      <c r="B109" s="121" t="s">
        <v>108</v>
      </c>
      <c r="C109" s="104">
        <v>69961.399999999994</v>
      </c>
      <c r="D109" s="104">
        <v>70134.399999999994</v>
      </c>
      <c r="E109" s="122">
        <f t="shared" si="19"/>
        <v>173</v>
      </c>
      <c r="F109" s="110">
        <v>4872</v>
      </c>
      <c r="G109" s="111">
        <v>217</v>
      </c>
      <c r="H109" s="78">
        <f t="shared" si="20"/>
        <v>0.79723502304147464</v>
      </c>
      <c r="I109" s="104">
        <v>70134.399999999994</v>
      </c>
      <c r="J109" s="112">
        <f t="shared" si="21"/>
        <v>0</v>
      </c>
      <c r="K109" s="110">
        <v>4883</v>
      </c>
      <c r="L109" s="107">
        <f t="shared" si="22"/>
        <v>11</v>
      </c>
      <c r="M109" s="111">
        <v>0</v>
      </c>
      <c r="N109" s="28">
        <f t="shared" si="23"/>
        <v>0</v>
      </c>
      <c r="O109" s="58">
        <f t="shared" si="24"/>
        <v>173</v>
      </c>
      <c r="P109" s="79">
        <f t="shared" si="25"/>
        <v>217</v>
      </c>
      <c r="Q109" s="34">
        <f t="shared" si="26"/>
        <v>0.79723502304147464</v>
      </c>
      <c r="R109" s="1">
        <v>14</v>
      </c>
    </row>
    <row r="110" spans="1:19" ht="24" customHeight="1">
      <c r="A110" s="81">
        <v>60</v>
      </c>
      <c r="B110" s="121" t="s">
        <v>109</v>
      </c>
      <c r="C110" s="104">
        <v>71851.8</v>
      </c>
      <c r="D110" s="104">
        <v>72000.7</v>
      </c>
      <c r="E110" s="118">
        <f t="shared" si="19"/>
        <v>148.89999999999418</v>
      </c>
      <c r="F110" s="110">
        <v>4962</v>
      </c>
      <c r="G110" s="111">
        <v>188</v>
      </c>
      <c r="H110" s="55">
        <f t="shared" si="20"/>
        <v>0.79202127659571375</v>
      </c>
      <c r="I110" s="104">
        <v>72000.7</v>
      </c>
      <c r="J110" s="119">
        <f t="shared" si="21"/>
        <v>0</v>
      </c>
      <c r="K110" s="110">
        <v>4973</v>
      </c>
      <c r="L110" s="120">
        <f t="shared" si="22"/>
        <v>11</v>
      </c>
      <c r="M110" s="111">
        <v>0</v>
      </c>
      <c r="N110" s="28">
        <f t="shared" si="23"/>
        <v>0</v>
      </c>
      <c r="O110" s="58">
        <f t="shared" si="24"/>
        <v>148.89999999999418</v>
      </c>
      <c r="P110" s="79">
        <f t="shared" si="25"/>
        <v>188</v>
      </c>
      <c r="Q110" s="34">
        <f t="shared" si="26"/>
        <v>0.79202127659571375</v>
      </c>
      <c r="R110" s="1">
        <v>15</v>
      </c>
    </row>
    <row r="111" spans="1:19" ht="24" customHeight="1">
      <c r="A111" s="81">
        <v>61</v>
      </c>
      <c r="B111" s="121" t="s">
        <v>176</v>
      </c>
      <c r="C111" s="104">
        <v>53581</v>
      </c>
      <c r="D111" s="104">
        <v>53743</v>
      </c>
      <c r="E111" s="118">
        <f t="shared" si="19"/>
        <v>162</v>
      </c>
      <c r="F111" s="110">
        <v>4324</v>
      </c>
      <c r="G111" s="111">
        <v>222</v>
      </c>
      <c r="H111" s="55">
        <f t="shared" si="20"/>
        <v>0.72972972972972971</v>
      </c>
      <c r="I111" s="104">
        <v>53743</v>
      </c>
      <c r="J111" s="119">
        <f t="shared" si="21"/>
        <v>0</v>
      </c>
      <c r="K111" s="110">
        <v>4336</v>
      </c>
      <c r="L111" s="120">
        <f t="shared" si="22"/>
        <v>12</v>
      </c>
      <c r="M111" s="111">
        <v>0</v>
      </c>
      <c r="N111" s="28">
        <f t="shared" si="23"/>
        <v>0</v>
      </c>
      <c r="O111" s="58">
        <f t="shared" si="24"/>
        <v>162</v>
      </c>
      <c r="P111" s="79">
        <f t="shared" si="25"/>
        <v>222</v>
      </c>
      <c r="Q111" s="34">
        <f t="shared" si="26"/>
        <v>0.72972972972972971</v>
      </c>
      <c r="R111" s="1">
        <v>15</v>
      </c>
    </row>
    <row r="112" spans="1:19" ht="24" customHeight="1">
      <c r="A112" s="81">
        <v>62</v>
      </c>
      <c r="B112" s="121" t="s">
        <v>177</v>
      </c>
      <c r="C112" s="104">
        <v>52634.5</v>
      </c>
      <c r="D112" s="104">
        <v>52798.8</v>
      </c>
      <c r="E112" s="118">
        <f t="shared" si="19"/>
        <v>164.30000000000291</v>
      </c>
      <c r="F112" s="110">
        <v>4361</v>
      </c>
      <c r="G112" s="111">
        <v>219</v>
      </c>
      <c r="H112" s="55">
        <f t="shared" si="20"/>
        <v>0.75022831050229644</v>
      </c>
      <c r="I112" s="104">
        <v>52798.8</v>
      </c>
      <c r="J112" s="119">
        <f t="shared" si="21"/>
        <v>0</v>
      </c>
      <c r="K112" s="110">
        <v>4373</v>
      </c>
      <c r="L112" s="120">
        <f t="shared" si="22"/>
        <v>12</v>
      </c>
      <c r="M112" s="111">
        <v>0</v>
      </c>
      <c r="N112" s="28">
        <f t="shared" si="23"/>
        <v>0</v>
      </c>
      <c r="O112" s="58">
        <f t="shared" si="24"/>
        <v>164.30000000000291</v>
      </c>
      <c r="P112" s="79">
        <f t="shared" si="25"/>
        <v>219</v>
      </c>
      <c r="Q112" s="34">
        <f t="shared" si="26"/>
        <v>0.75022831050229644</v>
      </c>
      <c r="R112" s="1">
        <v>19</v>
      </c>
    </row>
    <row r="113" spans="1:18" ht="24" customHeight="1">
      <c r="A113" s="81">
        <v>63</v>
      </c>
      <c r="B113" s="121" t="s">
        <v>178</v>
      </c>
      <c r="C113" s="104">
        <v>51156.3</v>
      </c>
      <c r="D113" s="104">
        <v>51308.4</v>
      </c>
      <c r="E113" s="118">
        <f t="shared" si="19"/>
        <v>152.09999999999854</v>
      </c>
      <c r="F113" s="110">
        <v>4104</v>
      </c>
      <c r="G113" s="111">
        <v>210</v>
      </c>
      <c r="H113" s="55">
        <f t="shared" si="20"/>
        <v>0.72428571428570732</v>
      </c>
      <c r="I113" s="104">
        <v>51308.4</v>
      </c>
      <c r="J113" s="119">
        <f t="shared" si="21"/>
        <v>0</v>
      </c>
      <c r="K113" s="110">
        <v>4114</v>
      </c>
      <c r="L113" s="120">
        <f t="shared" si="22"/>
        <v>10</v>
      </c>
      <c r="M113" s="111">
        <v>0</v>
      </c>
      <c r="N113" s="28">
        <f t="shared" si="23"/>
        <v>0</v>
      </c>
      <c r="O113" s="58">
        <f t="shared" si="24"/>
        <v>152.09999999999854</v>
      </c>
      <c r="P113" s="79">
        <f t="shared" si="25"/>
        <v>210</v>
      </c>
      <c r="Q113" s="34">
        <f t="shared" si="26"/>
        <v>0.72428571428570732</v>
      </c>
      <c r="R113" s="1">
        <v>14</v>
      </c>
    </row>
    <row r="114" spans="1:18" ht="24" customHeight="1">
      <c r="A114" s="81">
        <v>64</v>
      </c>
      <c r="B114" s="121" t="s">
        <v>179</v>
      </c>
      <c r="C114" s="104">
        <v>52093.4</v>
      </c>
      <c r="D114" s="104">
        <v>52253.5</v>
      </c>
      <c r="E114" s="118">
        <f t="shared" si="19"/>
        <v>160.09999999999854</v>
      </c>
      <c r="F114" s="110">
        <v>4269</v>
      </c>
      <c r="G114" s="111">
        <v>252</v>
      </c>
      <c r="H114" s="55">
        <f t="shared" si="20"/>
        <v>0.63531746031745451</v>
      </c>
      <c r="I114" s="104">
        <v>52253.5</v>
      </c>
      <c r="J114" s="119">
        <f t="shared" si="21"/>
        <v>0</v>
      </c>
      <c r="K114" s="110">
        <v>4281</v>
      </c>
      <c r="L114" s="120">
        <f t="shared" si="22"/>
        <v>12</v>
      </c>
      <c r="M114" s="111">
        <v>0</v>
      </c>
      <c r="N114" s="28">
        <f t="shared" si="23"/>
        <v>0</v>
      </c>
      <c r="O114" s="58">
        <f t="shared" si="24"/>
        <v>160.09999999999854</v>
      </c>
      <c r="P114" s="79">
        <f t="shared" si="25"/>
        <v>252</v>
      </c>
      <c r="Q114" s="34">
        <f t="shared" si="26"/>
        <v>0.63531746031745451</v>
      </c>
      <c r="R114" s="1">
        <v>15</v>
      </c>
    </row>
    <row r="115" spans="1:18" ht="24" customHeight="1">
      <c r="A115" s="81">
        <v>65</v>
      </c>
      <c r="B115" s="121" t="s">
        <v>180</v>
      </c>
      <c r="C115" s="104">
        <v>52515.4</v>
      </c>
      <c r="D115" s="104">
        <v>52515.4</v>
      </c>
      <c r="E115" s="118">
        <f t="shared" si="19"/>
        <v>0</v>
      </c>
      <c r="F115" s="110">
        <v>4225</v>
      </c>
      <c r="G115" s="111">
        <v>0</v>
      </c>
      <c r="H115" s="55">
        <f t="shared" si="20"/>
        <v>0</v>
      </c>
      <c r="I115" s="104">
        <v>52515.4</v>
      </c>
      <c r="J115" s="119">
        <f t="shared" si="21"/>
        <v>0</v>
      </c>
      <c r="K115" s="110">
        <v>4225</v>
      </c>
      <c r="L115" s="120">
        <f t="shared" si="22"/>
        <v>0</v>
      </c>
      <c r="M115" s="111">
        <v>0</v>
      </c>
      <c r="N115" s="28">
        <f t="shared" si="23"/>
        <v>0</v>
      </c>
      <c r="O115" s="58">
        <f t="shared" si="24"/>
        <v>0</v>
      </c>
      <c r="P115" s="79">
        <f t="shared" si="25"/>
        <v>0</v>
      </c>
      <c r="Q115" s="34">
        <f t="shared" si="26"/>
        <v>0</v>
      </c>
      <c r="R115" s="1">
        <v>1</v>
      </c>
    </row>
    <row r="116" spans="1:18" ht="24" customHeight="1">
      <c r="A116" s="81">
        <v>66</v>
      </c>
      <c r="B116" s="121" t="s">
        <v>110</v>
      </c>
      <c r="C116" s="104">
        <v>35652.5</v>
      </c>
      <c r="D116" s="104">
        <v>35819.599999999999</v>
      </c>
      <c r="E116" s="118">
        <f t="shared" si="19"/>
        <v>167.09999999999854</v>
      </c>
      <c r="F116" s="110">
        <v>2874</v>
      </c>
      <c r="G116" s="111">
        <v>221</v>
      </c>
      <c r="H116" s="55">
        <f t="shared" si="20"/>
        <v>0.7561085972850613</v>
      </c>
      <c r="I116" s="104">
        <v>35819.599999999999</v>
      </c>
      <c r="J116" s="119">
        <f t="shared" si="21"/>
        <v>0</v>
      </c>
      <c r="K116" s="110">
        <v>2874</v>
      </c>
      <c r="L116" s="120">
        <f t="shared" si="22"/>
        <v>0</v>
      </c>
      <c r="M116" s="111">
        <v>0</v>
      </c>
      <c r="N116" s="28">
        <f t="shared" si="23"/>
        <v>0</v>
      </c>
      <c r="O116" s="58">
        <f t="shared" si="24"/>
        <v>167.09999999999854</v>
      </c>
      <c r="P116" s="79">
        <f t="shared" si="25"/>
        <v>221</v>
      </c>
      <c r="Q116" s="34">
        <f t="shared" si="26"/>
        <v>0.7561085972850613</v>
      </c>
      <c r="R116" s="1">
        <v>12</v>
      </c>
    </row>
    <row r="117" spans="1:18" ht="22.2" customHeight="1">
      <c r="A117" s="123" t="s">
        <v>28</v>
      </c>
      <c r="B117" s="123"/>
      <c r="C117" s="40"/>
      <c r="D117" s="123"/>
      <c r="E117" s="124">
        <f>SUM(E51:E116)</f>
        <v>7664.9999999999927</v>
      </c>
      <c r="F117" s="125"/>
      <c r="G117" s="126">
        <f>SUM(G51:G116)</f>
        <v>10463.69</v>
      </c>
      <c r="H117" s="39"/>
      <c r="I117" s="40"/>
      <c r="J117" s="40">
        <f>SUM(J51:J116)</f>
        <v>2260.299999999901</v>
      </c>
      <c r="K117" s="127"/>
      <c r="L117" s="128">
        <f>SUM(L51:L116)</f>
        <v>857.54000000000087</v>
      </c>
      <c r="M117" s="128">
        <f>SUM(M51:M116)</f>
        <v>3274.3600000000006</v>
      </c>
      <c r="N117" s="28">
        <f>IFERROR(J117/M117,0)</f>
        <v>0.69030283780644175</v>
      </c>
      <c r="O117" s="129">
        <f>SUM(O51:O116)</f>
        <v>9925.2999999998938</v>
      </c>
      <c r="P117" s="79">
        <f>G117+M117</f>
        <v>13738.050000000001</v>
      </c>
      <c r="Q117" s="34">
        <f>IFERROR(O117/P117,0)</f>
        <v>0.72246789027554081</v>
      </c>
      <c r="R117" s="130">
        <f>SUM(R51:R116)</f>
        <v>1334</v>
      </c>
    </row>
    <row r="118" spans="1:18" ht="22.2" customHeight="1" thickBot="1">
      <c r="A118" s="206" t="s">
        <v>111</v>
      </c>
      <c r="B118" s="207"/>
      <c r="C118" s="207"/>
      <c r="D118" s="207"/>
      <c r="E118" s="207"/>
      <c r="F118" s="207"/>
      <c r="G118" s="207"/>
      <c r="H118" s="207"/>
      <c r="I118" s="207"/>
      <c r="J118" s="207"/>
      <c r="K118" s="207"/>
      <c r="L118" s="208"/>
      <c r="M118" s="131"/>
      <c r="N118" s="132"/>
      <c r="O118" s="133"/>
    </row>
    <row r="119" spans="1:18" ht="22.2" customHeight="1">
      <c r="A119" s="209" t="s">
        <v>3</v>
      </c>
      <c r="B119" s="211" t="s">
        <v>4</v>
      </c>
      <c r="C119" s="213" t="s">
        <v>5</v>
      </c>
      <c r="D119" s="214"/>
      <c r="E119" s="214"/>
      <c r="F119" s="214"/>
      <c r="G119" s="215"/>
      <c r="H119" s="216" t="s">
        <v>6</v>
      </c>
      <c r="I119" s="217"/>
      <c r="J119" s="217"/>
      <c r="K119" s="218"/>
      <c r="L119" s="48"/>
      <c r="M119" s="219" t="s">
        <v>7</v>
      </c>
      <c r="N119" s="194" t="s">
        <v>8</v>
      </c>
      <c r="O119" s="37"/>
    </row>
    <row r="120" spans="1:18" ht="27.6" customHeight="1" thickBot="1">
      <c r="A120" s="210"/>
      <c r="B120" s="212"/>
      <c r="C120" s="49" t="s">
        <v>11</v>
      </c>
      <c r="D120" s="49" t="s">
        <v>12</v>
      </c>
      <c r="E120" s="49" t="s">
        <v>13</v>
      </c>
      <c r="F120" s="6" t="s">
        <v>14</v>
      </c>
      <c r="G120" s="6" t="s">
        <v>8</v>
      </c>
      <c r="H120" s="49" t="s">
        <v>12</v>
      </c>
      <c r="I120" s="49" t="s">
        <v>13</v>
      </c>
      <c r="J120" s="49" t="s">
        <v>14</v>
      </c>
      <c r="K120" s="7" t="s">
        <v>8</v>
      </c>
      <c r="L120" s="50" t="s">
        <v>15</v>
      </c>
      <c r="M120" s="220"/>
      <c r="N120" s="195"/>
      <c r="O120" s="37"/>
    </row>
    <row r="121" spans="1:18" ht="22.2" customHeight="1">
      <c r="A121" s="76">
        <v>1</v>
      </c>
      <c r="B121" s="31" t="s">
        <v>112</v>
      </c>
      <c r="C121" s="35">
        <v>122082</v>
      </c>
      <c r="D121" s="35">
        <v>122082</v>
      </c>
      <c r="E121" s="17">
        <f>D121-C121</f>
        <v>0</v>
      </c>
      <c r="F121" s="33">
        <v>0</v>
      </c>
      <c r="G121" s="10">
        <f>IFERROR(F121/E121,0)</f>
        <v>0</v>
      </c>
      <c r="H121" s="35">
        <v>122082</v>
      </c>
      <c r="I121" s="19">
        <f>H121-D121</f>
        <v>0</v>
      </c>
      <c r="J121" s="33">
        <v>0</v>
      </c>
      <c r="K121" s="28">
        <f t="shared" ref="K121:K139" si="27">IFERROR(J121/I121,0)</f>
        <v>0</v>
      </c>
      <c r="L121" s="18">
        <f t="shared" ref="L121:M139" si="28">E121+I121</f>
        <v>0</v>
      </c>
      <c r="M121" s="22">
        <f>F121+J121</f>
        <v>0</v>
      </c>
      <c r="N121" s="71">
        <f>IFERROR(L121/M121,0)</f>
        <v>0</v>
      </c>
      <c r="O121" s="37"/>
    </row>
    <row r="122" spans="1:18" ht="22.2" customHeight="1">
      <c r="A122" s="76">
        <v>2</v>
      </c>
      <c r="B122" s="31" t="s">
        <v>113</v>
      </c>
      <c r="C122" s="35">
        <v>4298.33</v>
      </c>
      <c r="D122" s="35">
        <v>4298.33</v>
      </c>
      <c r="E122" s="17">
        <f t="shared" ref="E122:E139" si="29">D122-C122</f>
        <v>0</v>
      </c>
      <c r="F122" s="33">
        <v>0</v>
      </c>
      <c r="G122" s="10">
        <f t="shared" ref="G122:G139" si="30">IFERROR(F122/E122,0)</f>
        <v>0</v>
      </c>
      <c r="H122" s="35">
        <v>4298.33</v>
      </c>
      <c r="I122" s="19">
        <f>H122-D122</f>
        <v>0</v>
      </c>
      <c r="J122" s="33">
        <v>0</v>
      </c>
      <c r="K122" s="28">
        <f t="shared" si="27"/>
        <v>0</v>
      </c>
      <c r="L122" s="18">
        <f t="shared" si="28"/>
        <v>0</v>
      </c>
      <c r="M122" s="22">
        <f t="shared" si="28"/>
        <v>0</v>
      </c>
      <c r="N122" s="71">
        <f t="shared" ref="N122:N139" si="31">IFERROR(L122/M122,0)</f>
        <v>0</v>
      </c>
      <c r="O122" s="134"/>
    </row>
    <row r="123" spans="1:18" ht="22.2" customHeight="1">
      <c r="A123" s="76">
        <v>3</v>
      </c>
      <c r="B123" s="31" t="s">
        <v>114</v>
      </c>
      <c r="C123" s="35">
        <v>168.1</v>
      </c>
      <c r="D123" s="35">
        <v>168.1</v>
      </c>
      <c r="E123" s="17">
        <f t="shared" si="29"/>
        <v>0</v>
      </c>
      <c r="F123" s="33">
        <v>0</v>
      </c>
      <c r="G123" s="10">
        <f t="shared" si="30"/>
        <v>0</v>
      </c>
      <c r="H123" s="35">
        <v>168.1</v>
      </c>
      <c r="I123" s="19">
        <f t="shared" ref="I123:I139" si="32">H123-D123</f>
        <v>0</v>
      </c>
      <c r="J123" s="33">
        <v>0</v>
      </c>
      <c r="K123" s="28">
        <f t="shared" si="27"/>
        <v>0</v>
      </c>
      <c r="L123" s="18">
        <f t="shared" si="28"/>
        <v>0</v>
      </c>
      <c r="M123" s="22">
        <f t="shared" si="28"/>
        <v>0</v>
      </c>
      <c r="N123" s="71">
        <f t="shared" si="31"/>
        <v>0</v>
      </c>
      <c r="O123" s="37"/>
    </row>
    <row r="124" spans="1:18" ht="22.2" customHeight="1">
      <c r="A124" s="76">
        <v>4</v>
      </c>
      <c r="B124" s="31" t="s">
        <v>115</v>
      </c>
      <c r="C124" s="136">
        <v>141080</v>
      </c>
      <c r="D124" s="136">
        <v>141080</v>
      </c>
      <c r="E124" s="17">
        <f t="shared" si="29"/>
        <v>0</v>
      </c>
      <c r="F124" s="33">
        <v>0</v>
      </c>
      <c r="G124" s="10">
        <f t="shared" si="30"/>
        <v>0</v>
      </c>
      <c r="H124" s="136">
        <v>141080</v>
      </c>
      <c r="I124" s="19">
        <f t="shared" si="32"/>
        <v>0</v>
      </c>
      <c r="J124" s="33">
        <v>0</v>
      </c>
      <c r="K124" s="28">
        <f t="shared" si="27"/>
        <v>0</v>
      </c>
      <c r="L124" s="18">
        <f t="shared" si="28"/>
        <v>0</v>
      </c>
      <c r="M124" s="22">
        <f t="shared" si="28"/>
        <v>0</v>
      </c>
      <c r="N124" s="71">
        <f t="shared" si="31"/>
        <v>0</v>
      </c>
      <c r="O124" s="137"/>
    </row>
    <row r="125" spans="1:18" ht="22.2" customHeight="1">
      <c r="A125" s="76">
        <v>5</v>
      </c>
      <c r="B125" s="31" t="s">
        <v>116</v>
      </c>
      <c r="C125" s="35">
        <v>44558.9</v>
      </c>
      <c r="D125" s="35">
        <v>44558.9</v>
      </c>
      <c r="E125" s="17">
        <f t="shared" si="29"/>
        <v>0</v>
      </c>
      <c r="F125" s="33">
        <v>0</v>
      </c>
      <c r="G125" s="10">
        <f t="shared" si="30"/>
        <v>0</v>
      </c>
      <c r="H125" s="35">
        <v>44558.9</v>
      </c>
      <c r="I125" s="19">
        <f t="shared" si="32"/>
        <v>0</v>
      </c>
      <c r="J125" s="33">
        <v>0</v>
      </c>
      <c r="K125" s="28">
        <f t="shared" si="27"/>
        <v>0</v>
      </c>
      <c r="L125" s="18">
        <f t="shared" si="28"/>
        <v>0</v>
      </c>
      <c r="M125" s="22">
        <f t="shared" si="28"/>
        <v>0</v>
      </c>
      <c r="N125" s="71">
        <f t="shared" si="31"/>
        <v>0</v>
      </c>
      <c r="O125" s="77"/>
    </row>
    <row r="126" spans="1:18" ht="22.2" customHeight="1">
      <c r="A126" s="76">
        <v>6</v>
      </c>
      <c r="B126" s="31" t="s">
        <v>117</v>
      </c>
      <c r="C126" s="35">
        <v>100669.6</v>
      </c>
      <c r="D126" s="35">
        <v>100669.6</v>
      </c>
      <c r="E126" s="17">
        <f t="shared" si="29"/>
        <v>0</v>
      </c>
      <c r="F126" s="33">
        <v>0</v>
      </c>
      <c r="G126" s="10">
        <f t="shared" si="30"/>
        <v>0</v>
      </c>
      <c r="H126" s="35">
        <v>100820</v>
      </c>
      <c r="I126" s="19">
        <f t="shared" si="32"/>
        <v>150.39999999999418</v>
      </c>
      <c r="J126" s="33">
        <v>153</v>
      </c>
      <c r="K126" s="28">
        <f t="shared" si="27"/>
        <v>1.0172872340425925</v>
      </c>
      <c r="L126" s="18">
        <f t="shared" si="28"/>
        <v>150.39999999999418</v>
      </c>
      <c r="M126" s="22">
        <f t="shared" si="28"/>
        <v>153</v>
      </c>
      <c r="N126" s="71">
        <f t="shared" si="31"/>
        <v>0.9830065359476744</v>
      </c>
      <c r="O126" s="37"/>
    </row>
    <row r="127" spans="1:18" ht="22.2" customHeight="1">
      <c r="A127" s="76">
        <v>7</v>
      </c>
      <c r="B127" s="31" t="s">
        <v>118</v>
      </c>
      <c r="C127" s="35">
        <v>152282.79999999999</v>
      </c>
      <c r="D127" s="35">
        <v>152282.79999999999</v>
      </c>
      <c r="E127" s="17">
        <f t="shared" si="29"/>
        <v>0</v>
      </c>
      <c r="F127" s="33">
        <v>0</v>
      </c>
      <c r="G127" s="10">
        <f t="shared" si="30"/>
        <v>0</v>
      </c>
      <c r="H127" s="35">
        <v>152282.79999999999</v>
      </c>
      <c r="I127" s="19">
        <f t="shared" si="32"/>
        <v>0</v>
      </c>
      <c r="J127" s="33">
        <v>0</v>
      </c>
      <c r="K127" s="28">
        <f t="shared" si="27"/>
        <v>0</v>
      </c>
      <c r="L127" s="18">
        <f t="shared" si="28"/>
        <v>0</v>
      </c>
      <c r="M127" s="22">
        <f>F127+J127</f>
        <v>0</v>
      </c>
      <c r="N127" s="71">
        <f t="shared" si="31"/>
        <v>0</v>
      </c>
      <c r="O127" s="37"/>
    </row>
    <row r="128" spans="1:18" ht="22.2" customHeight="1">
      <c r="A128" s="76">
        <v>8</v>
      </c>
      <c r="B128" s="138" t="s">
        <v>119</v>
      </c>
      <c r="C128" s="136">
        <v>40766.5</v>
      </c>
      <c r="D128" s="136">
        <v>40766.5</v>
      </c>
      <c r="E128" s="17">
        <f t="shared" si="29"/>
        <v>0</v>
      </c>
      <c r="F128" s="33">
        <v>0</v>
      </c>
      <c r="G128" s="10">
        <f t="shared" si="30"/>
        <v>0</v>
      </c>
      <c r="H128" s="136">
        <v>40766.5</v>
      </c>
      <c r="I128" s="19">
        <f t="shared" si="32"/>
        <v>0</v>
      </c>
      <c r="J128" s="33">
        <v>0</v>
      </c>
      <c r="K128" s="28">
        <f t="shared" si="27"/>
        <v>0</v>
      </c>
      <c r="L128" s="18">
        <f t="shared" si="28"/>
        <v>0</v>
      </c>
      <c r="M128" s="22">
        <f>F128+J128</f>
        <v>0</v>
      </c>
      <c r="N128" s="71">
        <f t="shared" si="31"/>
        <v>0</v>
      </c>
      <c r="O128" s="37"/>
    </row>
    <row r="129" spans="1:17" ht="22.2" customHeight="1">
      <c r="A129" s="76">
        <v>9</v>
      </c>
      <c r="B129" s="138" t="s">
        <v>120</v>
      </c>
      <c r="C129" s="35">
        <v>33988</v>
      </c>
      <c r="D129" s="35">
        <v>33988</v>
      </c>
      <c r="E129" s="17">
        <f t="shared" si="29"/>
        <v>0</v>
      </c>
      <c r="F129" s="33">
        <v>0</v>
      </c>
      <c r="G129" s="10">
        <f t="shared" si="30"/>
        <v>0</v>
      </c>
      <c r="H129" s="35">
        <v>33988</v>
      </c>
      <c r="I129" s="19">
        <f t="shared" si="32"/>
        <v>0</v>
      </c>
      <c r="J129" s="33">
        <v>0</v>
      </c>
      <c r="K129" s="28">
        <f t="shared" si="27"/>
        <v>0</v>
      </c>
      <c r="L129" s="18">
        <f t="shared" si="28"/>
        <v>0</v>
      </c>
      <c r="M129" s="22">
        <f t="shared" si="28"/>
        <v>0</v>
      </c>
      <c r="N129" s="71">
        <f t="shared" si="31"/>
        <v>0</v>
      </c>
      <c r="O129" s="37"/>
    </row>
    <row r="130" spans="1:17" ht="22.2" customHeight="1">
      <c r="A130" s="76">
        <v>10</v>
      </c>
      <c r="B130" s="31" t="s">
        <v>121</v>
      </c>
      <c r="C130" s="35">
        <v>155651</v>
      </c>
      <c r="D130" s="35">
        <v>155851</v>
      </c>
      <c r="E130" s="17">
        <f t="shared" si="29"/>
        <v>200</v>
      </c>
      <c r="F130" s="33">
        <v>22</v>
      </c>
      <c r="G130" s="10">
        <f t="shared" si="30"/>
        <v>0.11</v>
      </c>
      <c r="H130" s="35">
        <v>155851</v>
      </c>
      <c r="I130" s="19">
        <f t="shared" si="32"/>
        <v>0</v>
      </c>
      <c r="J130" s="33">
        <v>0</v>
      </c>
      <c r="K130" s="28">
        <f t="shared" si="27"/>
        <v>0</v>
      </c>
      <c r="L130" s="18">
        <f t="shared" si="28"/>
        <v>200</v>
      </c>
      <c r="M130" s="22">
        <f t="shared" si="28"/>
        <v>22</v>
      </c>
      <c r="N130" s="71">
        <f t="shared" si="31"/>
        <v>9.0909090909090917</v>
      </c>
      <c r="O130" s="137"/>
    </row>
    <row r="131" spans="1:17" ht="23.4" customHeight="1">
      <c r="A131" s="76">
        <v>11</v>
      </c>
      <c r="B131" s="138" t="s">
        <v>122</v>
      </c>
      <c r="C131" s="35">
        <v>36866</v>
      </c>
      <c r="D131" s="35">
        <v>36866</v>
      </c>
      <c r="E131" s="17">
        <f t="shared" si="29"/>
        <v>0</v>
      </c>
      <c r="F131" s="33">
        <v>0</v>
      </c>
      <c r="G131" s="10">
        <f t="shared" si="30"/>
        <v>0</v>
      </c>
      <c r="H131" s="35">
        <v>36866</v>
      </c>
      <c r="I131" s="19">
        <f t="shared" si="32"/>
        <v>0</v>
      </c>
      <c r="J131" s="33">
        <v>0</v>
      </c>
      <c r="K131" s="28">
        <f t="shared" si="27"/>
        <v>0</v>
      </c>
      <c r="L131" s="18">
        <f t="shared" si="28"/>
        <v>0</v>
      </c>
      <c r="M131" s="22">
        <f t="shared" si="28"/>
        <v>0</v>
      </c>
      <c r="N131" s="71">
        <f t="shared" si="31"/>
        <v>0</v>
      </c>
      <c r="O131" s="37"/>
      <c r="Q131" s="38"/>
    </row>
    <row r="132" spans="1:17" ht="22.2" customHeight="1">
      <c r="A132" s="76">
        <v>12</v>
      </c>
      <c r="B132" s="138" t="s">
        <v>123</v>
      </c>
      <c r="C132" s="35">
        <v>16418</v>
      </c>
      <c r="D132" s="35">
        <v>16418</v>
      </c>
      <c r="E132" s="17">
        <f t="shared" si="29"/>
        <v>0</v>
      </c>
      <c r="F132" s="33">
        <v>0</v>
      </c>
      <c r="G132" s="78">
        <f t="shared" si="30"/>
        <v>0</v>
      </c>
      <c r="H132" s="35">
        <v>16418</v>
      </c>
      <c r="I132" s="19">
        <f t="shared" si="32"/>
        <v>0</v>
      </c>
      <c r="J132" s="33">
        <v>0</v>
      </c>
      <c r="K132" s="28">
        <f t="shared" si="27"/>
        <v>0</v>
      </c>
      <c r="L132" s="18">
        <f t="shared" si="28"/>
        <v>0</v>
      </c>
      <c r="M132" s="79">
        <f t="shared" si="28"/>
        <v>0</v>
      </c>
      <c r="N132" s="71">
        <f t="shared" si="31"/>
        <v>0</v>
      </c>
      <c r="O132" s="37"/>
      <c r="Q132" s="45"/>
    </row>
    <row r="133" spans="1:17" ht="21.6" customHeight="1">
      <c r="A133" s="76">
        <v>13</v>
      </c>
      <c r="B133" s="171" t="s">
        <v>124</v>
      </c>
      <c r="C133" s="35">
        <v>890.2</v>
      </c>
      <c r="D133" s="35">
        <v>890.2</v>
      </c>
      <c r="E133" s="17">
        <f t="shared" si="29"/>
        <v>0</v>
      </c>
      <c r="F133" s="35">
        <v>0</v>
      </c>
      <c r="G133" s="78">
        <f t="shared" si="30"/>
        <v>0</v>
      </c>
      <c r="H133" s="35">
        <v>890.2</v>
      </c>
      <c r="I133" s="19">
        <f t="shared" si="32"/>
        <v>0</v>
      </c>
      <c r="J133" s="35">
        <v>0</v>
      </c>
      <c r="K133" s="28">
        <f t="shared" si="27"/>
        <v>0</v>
      </c>
      <c r="L133" s="18">
        <f t="shared" si="28"/>
        <v>0</v>
      </c>
      <c r="M133" s="79">
        <f t="shared" si="28"/>
        <v>0</v>
      </c>
      <c r="N133" s="71">
        <f t="shared" si="31"/>
        <v>0</v>
      </c>
      <c r="O133" s="37"/>
      <c r="Q133" s="45"/>
    </row>
    <row r="134" spans="1:17" ht="21.6" customHeight="1">
      <c r="A134" s="76">
        <v>14</v>
      </c>
      <c r="B134" s="171" t="s">
        <v>174</v>
      </c>
      <c r="C134" s="35">
        <v>2791</v>
      </c>
      <c r="D134" s="35">
        <v>2791</v>
      </c>
      <c r="E134" s="17">
        <f t="shared" si="29"/>
        <v>0</v>
      </c>
      <c r="F134" s="35">
        <v>0</v>
      </c>
      <c r="G134" s="78">
        <f t="shared" si="30"/>
        <v>0</v>
      </c>
      <c r="H134" s="35">
        <v>2791</v>
      </c>
      <c r="I134" s="19">
        <f t="shared" si="32"/>
        <v>0</v>
      </c>
      <c r="J134" s="141">
        <v>0</v>
      </c>
      <c r="K134" s="28">
        <f t="shared" si="27"/>
        <v>0</v>
      </c>
      <c r="L134" s="18">
        <f t="shared" si="28"/>
        <v>0</v>
      </c>
      <c r="M134" s="79">
        <f t="shared" si="28"/>
        <v>0</v>
      </c>
      <c r="N134" s="71">
        <f t="shared" si="31"/>
        <v>0</v>
      </c>
      <c r="O134" s="37"/>
      <c r="Q134" s="45"/>
    </row>
    <row r="135" spans="1:17" ht="25.2" customHeight="1">
      <c r="A135" s="76">
        <v>15</v>
      </c>
      <c r="B135" s="138" t="s">
        <v>127</v>
      </c>
      <c r="C135" s="35">
        <v>0</v>
      </c>
      <c r="D135" s="35">
        <v>0</v>
      </c>
      <c r="E135" s="17">
        <f t="shared" si="29"/>
        <v>0</v>
      </c>
      <c r="F135" s="33">
        <v>0</v>
      </c>
      <c r="G135" s="78">
        <f t="shared" si="30"/>
        <v>0</v>
      </c>
      <c r="H135" s="35">
        <v>0</v>
      </c>
      <c r="I135" s="19">
        <f t="shared" si="32"/>
        <v>0</v>
      </c>
      <c r="J135" s="33">
        <v>0</v>
      </c>
      <c r="K135" s="28">
        <f t="shared" si="27"/>
        <v>0</v>
      </c>
      <c r="L135" s="18">
        <f t="shared" si="28"/>
        <v>0</v>
      </c>
      <c r="M135" s="79">
        <f t="shared" si="28"/>
        <v>0</v>
      </c>
      <c r="N135" s="71">
        <f t="shared" si="31"/>
        <v>0</v>
      </c>
      <c r="O135" s="77"/>
      <c r="Q135" s="45"/>
    </row>
    <row r="136" spans="1:17" ht="25.2" customHeight="1">
      <c r="A136" s="76">
        <v>16</v>
      </c>
      <c r="B136" s="138" t="s">
        <v>183</v>
      </c>
      <c r="C136" s="35">
        <v>295805</v>
      </c>
      <c r="D136" s="35">
        <v>295805</v>
      </c>
      <c r="E136" s="17">
        <f t="shared" si="29"/>
        <v>0</v>
      </c>
      <c r="F136" s="33">
        <v>0</v>
      </c>
      <c r="G136" s="78">
        <f t="shared" si="30"/>
        <v>0</v>
      </c>
      <c r="H136" s="35">
        <v>295805</v>
      </c>
      <c r="I136" s="19">
        <f t="shared" si="32"/>
        <v>0</v>
      </c>
      <c r="J136" s="33">
        <v>0</v>
      </c>
      <c r="K136" s="28">
        <f t="shared" si="27"/>
        <v>0</v>
      </c>
      <c r="L136" s="18">
        <f t="shared" si="28"/>
        <v>0</v>
      </c>
      <c r="M136" s="79">
        <f t="shared" si="28"/>
        <v>0</v>
      </c>
      <c r="N136" s="71">
        <f t="shared" si="31"/>
        <v>0</v>
      </c>
      <c r="O136" s="77"/>
      <c r="Q136" s="45"/>
    </row>
    <row r="137" spans="1:17" ht="25.2" customHeight="1">
      <c r="A137" s="76">
        <v>17</v>
      </c>
      <c r="B137" s="138" t="s">
        <v>184</v>
      </c>
      <c r="C137" s="35">
        <v>77139.3</v>
      </c>
      <c r="D137" s="35">
        <v>77139.3</v>
      </c>
      <c r="E137" s="17">
        <f t="shared" si="29"/>
        <v>0</v>
      </c>
      <c r="F137" s="33">
        <v>0</v>
      </c>
      <c r="G137" s="78">
        <f t="shared" si="30"/>
        <v>0</v>
      </c>
      <c r="H137" s="35">
        <v>77139.3</v>
      </c>
      <c r="I137" s="19">
        <f t="shared" si="32"/>
        <v>0</v>
      </c>
      <c r="J137" s="33">
        <v>0</v>
      </c>
      <c r="K137" s="28">
        <f t="shared" si="27"/>
        <v>0</v>
      </c>
      <c r="L137" s="18">
        <f t="shared" si="28"/>
        <v>0</v>
      </c>
      <c r="M137" s="79">
        <f t="shared" si="28"/>
        <v>0</v>
      </c>
      <c r="N137" s="71">
        <f t="shared" si="31"/>
        <v>0</v>
      </c>
      <c r="O137" s="77"/>
      <c r="Q137" s="45"/>
    </row>
    <row r="138" spans="1:17" ht="25.2" customHeight="1">
      <c r="A138" s="76">
        <v>18</v>
      </c>
      <c r="B138" s="138" t="s">
        <v>185</v>
      </c>
      <c r="C138" s="35">
        <v>113495.8</v>
      </c>
      <c r="D138" s="35">
        <v>113495.8</v>
      </c>
      <c r="E138" s="17">
        <f t="shared" si="29"/>
        <v>0</v>
      </c>
      <c r="F138" s="33">
        <v>0</v>
      </c>
      <c r="G138" s="78">
        <f t="shared" si="30"/>
        <v>0</v>
      </c>
      <c r="H138" s="35">
        <v>113495.8</v>
      </c>
      <c r="I138" s="19">
        <f t="shared" si="32"/>
        <v>0</v>
      </c>
      <c r="J138" s="33">
        <v>0</v>
      </c>
      <c r="K138" s="28">
        <f t="shared" si="27"/>
        <v>0</v>
      </c>
      <c r="L138" s="18">
        <f t="shared" si="28"/>
        <v>0</v>
      </c>
      <c r="M138" s="79">
        <f t="shared" si="28"/>
        <v>0</v>
      </c>
      <c r="N138" s="71">
        <f t="shared" si="31"/>
        <v>0</v>
      </c>
      <c r="O138" s="77"/>
      <c r="Q138" s="45"/>
    </row>
    <row r="139" spans="1:17" ht="25.2" customHeight="1">
      <c r="A139" s="144">
        <v>19</v>
      </c>
      <c r="B139" s="143" t="s">
        <v>187</v>
      </c>
      <c r="C139" s="35">
        <v>59801.4</v>
      </c>
      <c r="D139" s="35">
        <v>59801.4</v>
      </c>
      <c r="E139" s="17">
        <f t="shared" si="29"/>
        <v>0</v>
      </c>
      <c r="F139" s="33">
        <v>266.69</v>
      </c>
      <c r="G139" s="78">
        <f t="shared" si="30"/>
        <v>0</v>
      </c>
      <c r="H139" s="35">
        <v>59801.4</v>
      </c>
      <c r="I139" s="19">
        <f t="shared" si="32"/>
        <v>0</v>
      </c>
      <c r="J139" s="33">
        <v>0</v>
      </c>
      <c r="K139" s="28">
        <f t="shared" si="27"/>
        <v>0</v>
      </c>
      <c r="L139" s="18">
        <f t="shared" si="28"/>
        <v>0</v>
      </c>
      <c r="M139" s="79">
        <f t="shared" si="28"/>
        <v>266.69</v>
      </c>
      <c r="N139" s="71">
        <f t="shared" si="31"/>
        <v>0</v>
      </c>
      <c r="O139" s="77"/>
      <c r="Q139" s="45"/>
    </row>
    <row r="140" spans="1:17" ht="18">
      <c r="A140" s="196" t="s">
        <v>28</v>
      </c>
      <c r="B140" s="197"/>
      <c r="C140" s="123"/>
      <c r="D140" s="123"/>
      <c r="E140" s="40">
        <f>SUM(E121:E139)</f>
        <v>200</v>
      </c>
      <c r="F140" s="40">
        <f>SUM(F121:F139)</f>
        <v>288.69</v>
      </c>
      <c r="G140" s="39"/>
      <c r="H140" s="39"/>
      <c r="I140" s="40">
        <f>SUM(I121:I139)</f>
        <v>150.39999999999418</v>
      </c>
      <c r="J140" s="40">
        <f>SUM(J121:J139)</f>
        <v>153</v>
      </c>
      <c r="K140" s="145"/>
      <c r="L140" s="146">
        <f>SUM(L121:L139)</f>
        <v>350.39999999999418</v>
      </c>
      <c r="M140" s="147">
        <f>SUM(M121:M139)</f>
        <v>441.69</v>
      </c>
      <c r="N140" s="34"/>
      <c r="O140" s="37"/>
      <c r="P140" s="72"/>
    </row>
    <row r="141" spans="1:17" ht="21.6" thickBot="1">
      <c r="A141" s="148"/>
      <c r="B141" s="149"/>
      <c r="C141" s="149"/>
      <c r="D141" s="149"/>
      <c r="E141" s="149" t="s">
        <v>139</v>
      </c>
      <c r="F141" s="150">
        <f>F19+F25+F34+F40+F47+G117+F140</f>
        <v>17129.989999999998</v>
      </c>
      <c r="G141" s="149"/>
      <c r="H141" s="149"/>
      <c r="I141" s="151" t="s">
        <v>140</v>
      </c>
      <c r="J141" s="150">
        <f>J19+J25+J34+J40+J47+M117+J140</f>
        <v>6655.31</v>
      </c>
      <c r="K141" s="198" t="s">
        <v>141</v>
      </c>
      <c r="L141" s="198"/>
      <c r="M141" s="198"/>
      <c r="N141" s="198"/>
      <c r="O141" s="152"/>
    </row>
    <row r="142" spans="1:17" ht="15">
      <c r="B142" s="153"/>
      <c r="C142" s="152"/>
      <c r="D142" s="152"/>
      <c r="E142" s="152"/>
      <c r="F142" s="152"/>
      <c r="G142" s="152"/>
      <c r="H142" s="152"/>
      <c r="I142" s="152"/>
      <c r="J142" s="154"/>
      <c r="K142" s="155" t="s">
        <v>142</v>
      </c>
      <c r="L142" s="199">
        <f>N2</f>
        <v>46219</v>
      </c>
      <c r="M142" s="200"/>
      <c r="N142" s="156"/>
      <c r="O142" s="157">
        <f>M140-N148</f>
        <v>288.69</v>
      </c>
    </row>
    <row r="143" spans="1:17" ht="18">
      <c r="B143" s="158" t="s">
        <v>143</v>
      </c>
      <c r="C143" s="159">
        <f>F141</f>
        <v>17129.989999999998</v>
      </c>
      <c r="D143" s="160"/>
      <c r="E143" s="160"/>
      <c r="F143" s="159"/>
      <c r="G143" s="160"/>
      <c r="H143" s="160"/>
      <c r="I143" s="160"/>
      <c r="J143" s="45"/>
      <c r="K143" s="188" t="s">
        <v>144</v>
      </c>
      <c r="L143" s="189"/>
      <c r="M143" s="190"/>
      <c r="N143" s="161">
        <f>P117</f>
        <v>13738.050000000001</v>
      </c>
      <c r="O143" s="152"/>
    </row>
    <row r="144" spans="1:17" ht="18">
      <c r="B144" s="158" t="s">
        <v>145</v>
      </c>
      <c r="C144" s="159">
        <f>J141</f>
        <v>6655.31</v>
      </c>
      <c r="D144" s="160"/>
      <c r="E144" s="160"/>
      <c r="F144" s="159"/>
      <c r="G144" s="159"/>
      <c r="H144" s="160"/>
      <c r="I144" s="160"/>
      <c r="J144" s="45"/>
      <c r="K144" s="188" t="s">
        <v>146</v>
      </c>
      <c r="L144" s="189"/>
      <c r="M144" s="190"/>
      <c r="N144" s="161">
        <f>M19</f>
        <v>4946.9299999999994</v>
      </c>
      <c r="O144" s="152"/>
    </row>
    <row r="145" spans="1:16" ht="18">
      <c r="B145" s="158" t="s">
        <v>28</v>
      </c>
      <c r="C145" s="159">
        <f>C143+C144</f>
        <v>23785.3</v>
      </c>
      <c r="D145" s="160"/>
      <c r="E145" s="160"/>
      <c r="F145" s="160"/>
      <c r="G145" s="159"/>
      <c r="H145" s="160"/>
      <c r="I145" s="160"/>
      <c r="K145" s="188" t="s">
        <v>147</v>
      </c>
      <c r="L145" s="189"/>
      <c r="M145" s="190"/>
      <c r="N145" s="161">
        <f>M34</f>
        <v>1731.07</v>
      </c>
    </row>
    <row r="146" spans="1:16" ht="18">
      <c r="C146" s="45"/>
      <c r="D146" s="45"/>
      <c r="E146" s="45"/>
      <c r="F146" s="45"/>
      <c r="G146" s="45"/>
      <c r="H146" s="160" t="s">
        <v>94</v>
      </c>
      <c r="I146" s="45"/>
      <c r="K146" s="188" t="s">
        <v>148</v>
      </c>
      <c r="L146" s="189"/>
      <c r="M146" s="190"/>
      <c r="N146" s="161">
        <f>M40</f>
        <v>650.22</v>
      </c>
    </row>
    <row r="147" spans="1:16" ht="25.2" customHeight="1">
      <c r="B147" s="162" t="s">
        <v>149</v>
      </c>
      <c r="C147" s="193"/>
      <c r="D147" s="193"/>
      <c r="E147" s="193"/>
      <c r="F147" s="193"/>
      <c r="G147" s="193"/>
      <c r="H147" s="193"/>
      <c r="I147" s="193"/>
      <c r="J147" s="193"/>
      <c r="K147" s="188" t="s">
        <v>150</v>
      </c>
      <c r="L147" s="189"/>
      <c r="M147" s="190"/>
      <c r="N147" s="161">
        <f>M47</f>
        <v>1963.02</v>
      </c>
    </row>
    <row r="148" spans="1:16" ht="18">
      <c r="C148" s="45"/>
      <c r="D148" s="45"/>
      <c r="E148" s="26"/>
      <c r="F148" s="26"/>
      <c r="G148" s="45"/>
      <c r="H148" s="160"/>
      <c r="I148" s="45"/>
      <c r="K148" s="188" t="s">
        <v>151</v>
      </c>
      <c r="L148" s="189"/>
      <c r="M148" s="190"/>
      <c r="N148" s="161">
        <f>M125+M126+M127+M128</f>
        <v>153</v>
      </c>
    </row>
    <row r="149" spans="1:16" ht="18">
      <c r="E149" s="38"/>
      <c r="F149" s="45"/>
      <c r="G149" s="45"/>
      <c r="H149" s="160"/>
      <c r="I149" s="45"/>
      <c r="K149" s="188" t="s">
        <v>152</v>
      </c>
      <c r="L149" s="189"/>
      <c r="M149" s="190"/>
      <c r="N149" s="161">
        <f>O142</f>
        <v>288.69</v>
      </c>
    </row>
    <row r="150" spans="1:16" ht="18.600000000000001" thickBot="1">
      <c r="C150" s="38"/>
      <c r="D150" s="38"/>
      <c r="G150" s="163"/>
      <c r="H150" s="160"/>
      <c r="K150" s="188" t="s">
        <v>153</v>
      </c>
      <c r="L150" s="189"/>
      <c r="M150" s="190"/>
      <c r="N150" s="164">
        <f>M25</f>
        <v>314.32</v>
      </c>
      <c r="P150" s="38"/>
    </row>
    <row r="151" spans="1:16" ht="16.8" thickBot="1">
      <c r="C151" s="38"/>
      <c r="D151" s="38"/>
      <c r="E151" s="38"/>
      <c r="F151" s="38"/>
      <c r="H151" s="38"/>
      <c r="K151" s="191" t="s">
        <v>154</v>
      </c>
      <c r="L151" s="192"/>
      <c r="M151" s="192"/>
      <c r="N151" s="165">
        <f>SUM(N143:N150)</f>
        <v>23785.3</v>
      </c>
    </row>
    <row r="152" spans="1:16">
      <c r="C152" s="38"/>
      <c r="D152" s="38"/>
      <c r="E152" s="159"/>
      <c r="F152" s="159"/>
      <c r="H152" s="38"/>
      <c r="I152" s="38"/>
    </row>
    <row r="153" spans="1:16">
      <c r="C153" s="38"/>
      <c r="D153" s="38"/>
      <c r="E153" s="38"/>
      <c r="F153" s="38"/>
      <c r="H153" s="160"/>
    </row>
    <row r="154" spans="1:16">
      <c r="A154" s="159"/>
      <c r="B154" s="159"/>
      <c r="C154" s="159"/>
      <c r="D154" s="159"/>
      <c r="E154" s="159"/>
      <c r="F154" s="159"/>
      <c r="G154" s="38"/>
      <c r="H154" s="38"/>
      <c r="N154" s="45"/>
    </row>
    <row r="155" spans="1:16">
      <c r="A155" s="159"/>
    </row>
  </sheetData>
  <mergeCells count="72">
    <mergeCell ref="A1:N1"/>
    <mergeCell ref="A2:L2"/>
    <mergeCell ref="A3:A4"/>
    <mergeCell ref="B3:B4"/>
    <mergeCell ref="C3:G3"/>
    <mergeCell ref="H3:L3"/>
    <mergeCell ref="M3:M4"/>
    <mergeCell ref="N3:N4"/>
    <mergeCell ref="O3:O4"/>
    <mergeCell ref="P3:P4"/>
    <mergeCell ref="A19:B19"/>
    <mergeCell ref="A20:L20"/>
    <mergeCell ref="A21:A22"/>
    <mergeCell ref="B21:B22"/>
    <mergeCell ref="C21:G21"/>
    <mergeCell ref="H21:K21"/>
    <mergeCell ref="M21:M22"/>
    <mergeCell ref="N21:N22"/>
    <mergeCell ref="A25:B25"/>
    <mergeCell ref="A26:L26"/>
    <mergeCell ref="A27:A28"/>
    <mergeCell ref="B27:B28"/>
    <mergeCell ref="C27:G27"/>
    <mergeCell ref="H27:K27"/>
    <mergeCell ref="M27:M28"/>
    <mergeCell ref="N27:N28"/>
    <mergeCell ref="A34:B34"/>
    <mergeCell ref="A35:L35"/>
    <mergeCell ref="A36:A37"/>
    <mergeCell ref="B36:B37"/>
    <mergeCell ref="C36:G36"/>
    <mergeCell ref="H36:K36"/>
    <mergeCell ref="M36:M37"/>
    <mergeCell ref="N36:N37"/>
    <mergeCell ref="A40:B40"/>
    <mergeCell ref="A41:L41"/>
    <mergeCell ref="A42:A43"/>
    <mergeCell ref="B42:B43"/>
    <mergeCell ref="C42:G42"/>
    <mergeCell ref="H42:K42"/>
    <mergeCell ref="M42:M43"/>
    <mergeCell ref="N42:N43"/>
    <mergeCell ref="A47:B47"/>
    <mergeCell ref="A48:L48"/>
    <mergeCell ref="A49:A50"/>
    <mergeCell ref="B49:B50"/>
    <mergeCell ref="C49:H49"/>
    <mergeCell ref="I49:N49"/>
    <mergeCell ref="K144:M144"/>
    <mergeCell ref="O49:O50"/>
    <mergeCell ref="P49:P50"/>
    <mergeCell ref="Q49:Q50"/>
    <mergeCell ref="R49:R50"/>
    <mergeCell ref="A118:L118"/>
    <mergeCell ref="A119:A120"/>
    <mergeCell ref="B119:B120"/>
    <mergeCell ref="C119:G119"/>
    <mergeCell ref="H119:K119"/>
    <mergeCell ref="M119:M120"/>
    <mergeCell ref="N119:N120"/>
    <mergeCell ref="A140:B140"/>
    <mergeCell ref="K141:N141"/>
    <mergeCell ref="L142:M142"/>
    <mergeCell ref="K143:M143"/>
    <mergeCell ref="K150:M150"/>
    <mergeCell ref="K151:M151"/>
    <mergeCell ref="K145:M145"/>
    <mergeCell ref="K146:M146"/>
    <mergeCell ref="C147:J147"/>
    <mergeCell ref="K147:M147"/>
    <mergeCell ref="K148:M148"/>
    <mergeCell ref="K149:M149"/>
  </mergeCells>
  <conditionalFormatting sqref="N7:N20 N23:N24 N29:N33 N38:N39 N44:N46">
    <cfRule type="cellIs" dxfId="21" priority="2" operator="greaterThan">
      <formula>40</formula>
    </cfRule>
  </conditionalFormatting>
  <conditionalFormatting sqref="Q51:Q117">
    <cfRule type="cellIs" dxfId="20" priority="1" operator="lessThan">
      <formula>0.5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DF2C2-9B37-45C8-9853-4EA060CFC593}">
  <dimension ref="A1:AA156"/>
  <sheetViews>
    <sheetView zoomScale="74" zoomScaleNormal="74" workbookViewId="0">
      <pane ySplit="1" topLeftCell="A96" activePane="bottomLeft" state="frozen"/>
      <selection pane="bottomLeft" activeCell="K51" sqref="K51:K116"/>
    </sheetView>
  </sheetViews>
  <sheetFormatPr defaultColWidth="9" defaultRowHeight="14.4"/>
  <cols>
    <col min="1" max="1" width="8.5546875" customWidth="1"/>
    <col min="2" max="2" width="29.44140625" bestFit="1" customWidth="1"/>
    <col min="3" max="3" width="11.6640625" customWidth="1"/>
    <col min="4" max="4" width="11.21875" customWidth="1"/>
    <col min="5" max="5" width="9.77734375" customWidth="1"/>
    <col min="6" max="6" width="13.6640625" customWidth="1"/>
    <col min="7" max="7" width="10" customWidth="1"/>
    <col min="8" max="8" width="9.77734375" customWidth="1"/>
    <col min="9" max="9" width="12.77734375" bestFit="1" customWidth="1"/>
    <col min="10" max="10" width="10.6640625" bestFit="1" customWidth="1"/>
    <col min="11" max="11" width="15.77734375" customWidth="1"/>
    <col min="12" max="12" width="10.77734375" customWidth="1"/>
    <col min="13" max="13" width="12.5546875" customWidth="1"/>
    <col min="14" max="14" width="17.88671875" customWidth="1"/>
    <col min="15" max="15" width="13.44140625" customWidth="1"/>
    <col min="16" max="16" width="17" customWidth="1"/>
    <col min="17" max="17" width="11.109375" bestFit="1" customWidth="1"/>
    <col min="19" max="19" width="9.21875" bestFit="1" customWidth="1"/>
    <col min="20" max="20" width="8.21875" bestFit="1" customWidth="1"/>
    <col min="21" max="22" width="11.21875" customWidth="1"/>
  </cols>
  <sheetData>
    <row r="1" spans="1:22" ht="18.600000000000001" thickBot="1">
      <c r="A1" s="249" t="s">
        <v>0</v>
      </c>
      <c r="B1" s="249"/>
      <c r="C1" s="249"/>
      <c r="D1" s="249"/>
      <c r="E1" s="249"/>
      <c r="F1" s="249"/>
      <c r="G1" s="249"/>
      <c r="H1" s="249"/>
      <c r="I1" s="249"/>
      <c r="J1" s="249"/>
      <c r="K1" s="249"/>
      <c r="L1" s="249"/>
      <c r="M1" s="249"/>
      <c r="N1" s="249"/>
      <c r="O1" s="1"/>
      <c r="V1" s="2"/>
    </row>
    <row r="2" spans="1:22" ht="19.8" customHeight="1" thickBot="1">
      <c r="A2" s="250" t="s">
        <v>1</v>
      </c>
      <c r="B2" s="251"/>
      <c r="C2" s="252"/>
      <c r="D2" s="252"/>
      <c r="E2" s="252"/>
      <c r="F2" s="252"/>
      <c r="G2" s="252"/>
      <c r="H2" s="252"/>
      <c r="I2" s="252"/>
      <c r="J2" s="252"/>
      <c r="K2" s="252"/>
      <c r="L2" s="251"/>
      <c r="M2" s="3" t="s">
        <v>2</v>
      </c>
      <c r="N2" s="4">
        <v>46220</v>
      </c>
      <c r="O2" s="1"/>
    </row>
    <row r="3" spans="1:22" ht="18" customHeight="1">
      <c r="A3" s="209" t="s">
        <v>3</v>
      </c>
      <c r="B3" s="211" t="s">
        <v>4</v>
      </c>
      <c r="C3" s="213" t="s">
        <v>5</v>
      </c>
      <c r="D3" s="214"/>
      <c r="E3" s="214"/>
      <c r="F3" s="214"/>
      <c r="G3" s="215"/>
      <c r="H3" s="253" t="s">
        <v>6</v>
      </c>
      <c r="I3" s="254"/>
      <c r="J3" s="254"/>
      <c r="K3" s="254"/>
      <c r="L3" s="255"/>
      <c r="M3" s="219" t="s">
        <v>7</v>
      </c>
      <c r="N3" s="194" t="s">
        <v>8</v>
      </c>
      <c r="O3" s="243" t="s">
        <v>9</v>
      </c>
      <c r="P3" s="222" t="s">
        <v>10</v>
      </c>
    </row>
    <row r="4" spans="1:22" ht="22.8" customHeight="1">
      <c r="A4" s="247"/>
      <c r="B4" s="248"/>
      <c r="C4" s="6" t="s">
        <v>11</v>
      </c>
      <c r="D4" s="6" t="s">
        <v>12</v>
      </c>
      <c r="E4" s="6" t="s">
        <v>13</v>
      </c>
      <c r="F4" s="6" t="s">
        <v>14</v>
      </c>
      <c r="G4" s="6" t="s">
        <v>8</v>
      </c>
      <c r="H4" s="6" t="s">
        <v>12</v>
      </c>
      <c r="I4" s="6" t="s">
        <v>13</v>
      </c>
      <c r="J4" s="6" t="s">
        <v>14</v>
      </c>
      <c r="K4" s="7" t="s">
        <v>8</v>
      </c>
      <c r="L4" s="8" t="s">
        <v>15</v>
      </c>
      <c r="M4" s="236"/>
      <c r="N4" s="237"/>
      <c r="O4" s="248"/>
      <c r="P4" s="243"/>
    </row>
    <row r="5" spans="1:22" ht="22.8" customHeight="1">
      <c r="A5" s="5">
        <v>1</v>
      </c>
      <c r="B5" s="9" t="s">
        <v>175</v>
      </c>
      <c r="C5" s="2">
        <v>32062.6</v>
      </c>
      <c r="D5" s="2">
        <v>32073.599999999999</v>
      </c>
      <c r="E5" s="2">
        <f>D5-C5</f>
        <v>11</v>
      </c>
      <c r="F5" s="2">
        <v>450.16</v>
      </c>
      <c r="G5" s="10">
        <f>IFERROR(F5/E5,0)</f>
        <v>40.923636363636369</v>
      </c>
      <c r="H5" s="2">
        <v>32083.1</v>
      </c>
      <c r="I5" s="167">
        <f>H5-D5</f>
        <v>9.5</v>
      </c>
      <c r="J5" s="2">
        <v>291.39999999999998</v>
      </c>
      <c r="K5" s="11">
        <f>IFERROR(J5/I5,0)</f>
        <v>30.673684210526314</v>
      </c>
      <c r="L5" s="12">
        <f t="shared" ref="L5:M17" si="0">E5+I5</f>
        <v>20.5</v>
      </c>
      <c r="M5" s="13">
        <f t="shared" si="0"/>
        <v>741.56</v>
      </c>
      <c r="N5" s="14">
        <f>IFERROR(M5/L5,0)</f>
        <v>36.173658536585364</v>
      </c>
      <c r="O5" s="2">
        <v>190</v>
      </c>
      <c r="P5" s="5"/>
    </row>
    <row r="6" spans="1:22" ht="22.8" customHeight="1">
      <c r="A6" s="81">
        <v>2</v>
      </c>
      <c r="B6" s="16" t="s">
        <v>170</v>
      </c>
      <c r="C6" s="49">
        <v>33896</v>
      </c>
      <c r="D6" s="49">
        <v>33902.300000000003</v>
      </c>
      <c r="E6" s="2">
        <f>D6-C6</f>
        <v>6.3000000000029104</v>
      </c>
      <c r="F6" s="49">
        <v>208.65</v>
      </c>
      <c r="G6" s="10">
        <f>IFERROR(F6/E6,0)</f>
        <v>33.119047619032322</v>
      </c>
      <c r="H6" s="49">
        <v>33906.699999999997</v>
      </c>
      <c r="I6" s="167">
        <f>H6-D6</f>
        <v>4.3999999999941792</v>
      </c>
      <c r="J6" s="49">
        <v>127.53</v>
      </c>
      <c r="K6" s="11">
        <f>IFERROR(J6/I6,0)</f>
        <v>28.984090909129254</v>
      </c>
      <c r="L6" s="12">
        <f t="shared" si="0"/>
        <v>10.69999999999709</v>
      </c>
      <c r="M6" s="13">
        <f t="shared" si="0"/>
        <v>336.18</v>
      </c>
      <c r="N6" s="14">
        <f>IFERROR(M6/L6,0)</f>
        <v>31.418691588793592</v>
      </c>
      <c r="O6" s="49">
        <v>137</v>
      </c>
      <c r="P6" s="81"/>
    </row>
    <row r="7" spans="1:22" ht="24" customHeight="1">
      <c r="A7" s="5">
        <v>3</v>
      </c>
      <c r="B7" s="16" t="s">
        <v>17</v>
      </c>
      <c r="C7" s="17">
        <v>32493.3</v>
      </c>
      <c r="D7" s="17">
        <v>32493.3</v>
      </c>
      <c r="E7" s="17">
        <f t="shared" ref="E7:E18" si="1">D7-C7</f>
        <v>0</v>
      </c>
      <c r="F7" s="18">
        <v>0</v>
      </c>
      <c r="G7" s="10">
        <f>IFERROR(F7/E7,0)</f>
        <v>0</v>
      </c>
      <c r="H7" s="17">
        <v>32493.3</v>
      </c>
      <c r="I7" s="19">
        <f t="shared" ref="I7:I14" si="2">H7-D7</f>
        <v>0</v>
      </c>
      <c r="J7" s="20">
        <v>0</v>
      </c>
      <c r="K7" s="21">
        <f>IFERROR(J7/I7,0)</f>
        <v>0</v>
      </c>
      <c r="L7" s="18">
        <f t="shared" si="0"/>
        <v>0</v>
      </c>
      <c r="M7" s="22">
        <f t="shared" si="0"/>
        <v>0</v>
      </c>
      <c r="N7" s="23">
        <f>IFERROR(M7/L7,0)</f>
        <v>0</v>
      </c>
      <c r="O7" s="24">
        <v>0</v>
      </c>
      <c r="P7" s="25"/>
      <c r="Q7" s="26"/>
    </row>
    <row r="8" spans="1:22" ht="25.8" customHeight="1">
      <c r="A8" s="81">
        <v>4</v>
      </c>
      <c r="B8" s="16" t="s">
        <v>18</v>
      </c>
      <c r="C8" s="17">
        <v>24745.599999999999</v>
      </c>
      <c r="D8" s="17">
        <v>24751.9</v>
      </c>
      <c r="E8" s="17">
        <f t="shared" si="1"/>
        <v>6.3000000000029104</v>
      </c>
      <c r="F8" s="18">
        <v>194</v>
      </c>
      <c r="G8" s="10">
        <f t="shared" ref="G8:G13" si="3">IFERROR(F8/E8,0)</f>
        <v>30.793650793636569</v>
      </c>
      <c r="H8" s="17">
        <v>24759.4</v>
      </c>
      <c r="I8" s="19">
        <f t="shared" si="2"/>
        <v>7.5</v>
      </c>
      <c r="J8" s="20">
        <v>244.78</v>
      </c>
      <c r="K8" s="28">
        <f t="shared" ref="K8:K14" si="4">IFERROR(J8/I8,0)</f>
        <v>32.637333333333331</v>
      </c>
      <c r="L8" s="18">
        <f t="shared" si="0"/>
        <v>13.80000000000291</v>
      </c>
      <c r="M8" s="22">
        <f t="shared" si="0"/>
        <v>438.78</v>
      </c>
      <c r="N8" s="23">
        <f t="shared" ref="N8:N18" si="5">IFERROR(M8/L8,0)</f>
        <v>31.795652173906337</v>
      </c>
      <c r="O8" s="29">
        <v>182</v>
      </c>
      <c r="P8" s="30"/>
      <c r="Q8" s="26"/>
      <c r="S8" s="26"/>
    </row>
    <row r="9" spans="1:22" ht="25.8" customHeight="1">
      <c r="A9" s="5">
        <v>5</v>
      </c>
      <c r="B9" s="31" t="s">
        <v>19</v>
      </c>
      <c r="C9" s="17">
        <v>32641.1</v>
      </c>
      <c r="D9" s="17">
        <v>32650.3</v>
      </c>
      <c r="E9" s="17">
        <f t="shared" si="1"/>
        <v>9.2000000000007276</v>
      </c>
      <c r="F9" s="32">
        <v>303.75</v>
      </c>
      <c r="G9" s="10">
        <f t="shared" si="3"/>
        <v>33.016304347823478</v>
      </c>
      <c r="H9" s="17">
        <v>32660</v>
      </c>
      <c r="I9" s="19">
        <f t="shared" si="2"/>
        <v>9.7000000000007276</v>
      </c>
      <c r="J9" s="33">
        <v>315.7</v>
      </c>
      <c r="K9" s="28">
        <f t="shared" si="4"/>
        <v>32.546391752574877</v>
      </c>
      <c r="L9" s="18">
        <f t="shared" si="0"/>
        <v>18.900000000001455</v>
      </c>
      <c r="M9" s="22">
        <f t="shared" si="0"/>
        <v>619.45000000000005</v>
      </c>
      <c r="N9" s="23">
        <f t="shared" si="5"/>
        <v>32.775132275129756</v>
      </c>
      <c r="O9" s="29">
        <v>262</v>
      </c>
      <c r="P9" s="30"/>
      <c r="Q9" s="26"/>
      <c r="S9" s="26"/>
    </row>
    <row r="10" spans="1:22" ht="25.8" customHeight="1">
      <c r="A10" s="81">
        <v>6</v>
      </c>
      <c r="B10" s="16" t="s">
        <v>20</v>
      </c>
      <c r="C10" s="17">
        <v>33614.699999999997</v>
      </c>
      <c r="D10" s="17">
        <v>33620.6</v>
      </c>
      <c r="E10" s="17">
        <f>D10-C10</f>
        <v>5.9000000000014552</v>
      </c>
      <c r="F10" s="34">
        <v>218.27</v>
      </c>
      <c r="G10" s="10">
        <f>IFERROR(F10/E10,0)</f>
        <v>36.994915254228168</v>
      </c>
      <c r="H10" s="17">
        <v>33620.6</v>
      </c>
      <c r="I10" s="19">
        <f>H10-D10</f>
        <v>0</v>
      </c>
      <c r="J10" s="33">
        <v>0</v>
      </c>
      <c r="K10" s="28">
        <f>IFERROR(J10/I10,0)</f>
        <v>0</v>
      </c>
      <c r="L10" s="18">
        <f>E10+I10</f>
        <v>5.9000000000014552</v>
      </c>
      <c r="M10" s="22">
        <f>F10+J10</f>
        <v>218.27</v>
      </c>
      <c r="N10" s="23">
        <f>IFERROR(M10/L10,0)</f>
        <v>36.994915254228168</v>
      </c>
      <c r="O10" s="29">
        <v>0</v>
      </c>
      <c r="P10" s="30"/>
      <c r="Q10" s="26"/>
      <c r="S10" s="26"/>
    </row>
    <row r="11" spans="1:22" ht="22.8" customHeight="1">
      <c r="A11" s="5">
        <v>7</v>
      </c>
      <c r="B11" s="16" t="s">
        <v>21</v>
      </c>
      <c r="C11" s="17">
        <v>28122.7</v>
      </c>
      <c r="D11" s="17">
        <v>28131.200000000001</v>
      </c>
      <c r="E11" s="17">
        <f t="shared" si="1"/>
        <v>8.5</v>
      </c>
      <c r="F11" s="32">
        <v>174</v>
      </c>
      <c r="G11" s="10">
        <f t="shared" si="3"/>
        <v>20.470588235294116</v>
      </c>
      <c r="H11" s="17">
        <v>28140.5</v>
      </c>
      <c r="I11" s="19">
        <f t="shared" si="2"/>
        <v>9.2999999999992724</v>
      </c>
      <c r="J11" s="20">
        <v>250.6</v>
      </c>
      <c r="K11" s="28">
        <f t="shared" si="4"/>
        <v>26.946236559141891</v>
      </c>
      <c r="L11" s="18">
        <f t="shared" si="0"/>
        <v>17.799999999999272</v>
      </c>
      <c r="M11" s="22">
        <f t="shared" si="0"/>
        <v>424.6</v>
      </c>
      <c r="N11" s="23">
        <f t="shared" si="5"/>
        <v>23.853932584270638</v>
      </c>
      <c r="O11" s="29">
        <v>222</v>
      </c>
      <c r="P11" s="30"/>
      <c r="Q11" s="26"/>
      <c r="S11" s="26"/>
    </row>
    <row r="12" spans="1:22" ht="22.8" customHeight="1">
      <c r="A12" s="81">
        <v>8</v>
      </c>
      <c r="B12" s="31" t="s">
        <v>22</v>
      </c>
      <c r="C12" s="35">
        <v>27515.7</v>
      </c>
      <c r="D12" s="35">
        <v>27519.3</v>
      </c>
      <c r="E12" s="17">
        <f t="shared" si="1"/>
        <v>3.5999999999985448</v>
      </c>
      <c r="F12" s="32">
        <v>104</v>
      </c>
      <c r="G12" s="10">
        <f t="shared" si="3"/>
        <v>28.888888888900567</v>
      </c>
      <c r="H12" s="35">
        <v>27527.7</v>
      </c>
      <c r="I12" s="19">
        <f t="shared" si="2"/>
        <v>8.4000000000014552</v>
      </c>
      <c r="J12" s="33">
        <v>235.84</v>
      </c>
      <c r="K12" s="28">
        <f t="shared" si="4"/>
        <v>28.076190476185612</v>
      </c>
      <c r="L12" s="18">
        <f t="shared" si="0"/>
        <v>12</v>
      </c>
      <c r="M12" s="22">
        <f t="shared" si="0"/>
        <v>339.84000000000003</v>
      </c>
      <c r="N12" s="23">
        <f t="shared" si="5"/>
        <v>28.320000000000004</v>
      </c>
      <c r="O12" s="29">
        <v>188</v>
      </c>
      <c r="P12" s="30"/>
      <c r="Q12" s="26"/>
      <c r="S12" s="26"/>
    </row>
    <row r="13" spans="1:22" ht="24" customHeight="1">
      <c r="A13" s="5">
        <v>9</v>
      </c>
      <c r="B13" s="31" t="s">
        <v>23</v>
      </c>
      <c r="C13" s="17">
        <v>22645.98</v>
      </c>
      <c r="D13" s="17">
        <v>22655.03</v>
      </c>
      <c r="E13" s="17">
        <f t="shared" si="1"/>
        <v>9.0499999999992724</v>
      </c>
      <c r="F13" s="34">
        <v>309.92</v>
      </c>
      <c r="G13" s="10">
        <f t="shared" si="3"/>
        <v>34.245303867406072</v>
      </c>
      <c r="H13" s="17">
        <v>22662.52</v>
      </c>
      <c r="I13" s="19">
        <f t="shared" si="2"/>
        <v>7.4900000000016007</v>
      </c>
      <c r="J13" s="20">
        <v>285.52999999999997</v>
      </c>
      <c r="K13" s="28">
        <f t="shared" si="4"/>
        <v>38.121495327094649</v>
      </c>
      <c r="L13" s="18">
        <f t="shared" si="0"/>
        <v>16.540000000000873</v>
      </c>
      <c r="M13" s="22">
        <f t="shared" si="0"/>
        <v>595.45000000000005</v>
      </c>
      <c r="N13" s="23">
        <f t="shared" si="5"/>
        <v>36.000604594919508</v>
      </c>
      <c r="O13" s="29">
        <v>211</v>
      </c>
      <c r="P13" s="36"/>
      <c r="Q13" s="26"/>
      <c r="S13" s="26"/>
    </row>
    <row r="14" spans="1:22" ht="24" customHeight="1">
      <c r="A14" s="81">
        <v>10</v>
      </c>
      <c r="B14" s="31" t="s">
        <v>24</v>
      </c>
      <c r="C14" s="17">
        <v>22613.11</v>
      </c>
      <c r="D14" s="17">
        <v>22617.24</v>
      </c>
      <c r="E14" s="17">
        <f t="shared" si="1"/>
        <v>4.1300000000010186</v>
      </c>
      <c r="F14" s="32">
        <v>59.73</v>
      </c>
      <c r="G14" s="10">
        <f>IFERROR(F14/E14,0)</f>
        <v>14.462469733652606</v>
      </c>
      <c r="H14" s="17">
        <v>22623.46</v>
      </c>
      <c r="I14" s="19">
        <f t="shared" si="2"/>
        <v>6.2199999999975262</v>
      </c>
      <c r="J14" s="20">
        <v>204.02</v>
      </c>
      <c r="K14" s="28">
        <f t="shared" si="4"/>
        <v>32.800643086829766</v>
      </c>
      <c r="L14" s="18">
        <f t="shared" si="0"/>
        <v>10.349999999998545</v>
      </c>
      <c r="M14" s="22">
        <f t="shared" si="0"/>
        <v>263.75</v>
      </c>
      <c r="N14" s="23">
        <f t="shared" si="5"/>
        <v>25.483091787443197</v>
      </c>
      <c r="O14" s="29">
        <v>161</v>
      </c>
      <c r="P14" s="37"/>
      <c r="Q14" s="26"/>
      <c r="S14" s="26"/>
    </row>
    <row r="15" spans="1:22" ht="24" customHeight="1">
      <c r="A15" s="5">
        <v>11</v>
      </c>
      <c r="B15" s="31" t="s">
        <v>25</v>
      </c>
      <c r="C15" s="17">
        <v>20105.04</v>
      </c>
      <c r="D15" s="17">
        <v>20113.86</v>
      </c>
      <c r="E15" s="17">
        <f t="shared" si="1"/>
        <v>8.819999999999709</v>
      </c>
      <c r="F15" s="32">
        <v>422.86</v>
      </c>
      <c r="G15" s="10">
        <f>IFERROR(F15/E15,0)</f>
        <v>47.943310657597955</v>
      </c>
      <c r="H15" s="17">
        <v>20123.52</v>
      </c>
      <c r="I15" s="19">
        <f>H15-D15</f>
        <v>9.6599999999998545</v>
      </c>
      <c r="J15" s="20">
        <v>449.61</v>
      </c>
      <c r="K15" s="28">
        <f>IFERROR(J15/I15,0)</f>
        <v>46.543478260870266</v>
      </c>
      <c r="L15" s="18">
        <f>E15+I15</f>
        <v>18.479999999999563</v>
      </c>
      <c r="M15" s="22">
        <f t="shared" si="0"/>
        <v>872.47</v>
      </c>
      <c r="N15" s="23">
        <f t="shared" si="5"/>
        <v>47.211580086581201</v>
      </c>
      <c r="O15" s="29">
        <v>241</v>
      </c>
      <c r="P15" s="37"/>
      <c r="Q15" s="26"/>
      <c r="S15" s="26"/>
      <c r="T15" s="38"/>
    </row>
    <row r="16" spans="1:22" ht="24" customHeight="1">
      <c r="A16" s="81">
        <v>12</v>
      </c>
      <c r="B16" s="31" t="s">
        <v>181</v>
      </c>
      <c r="C16" s="17">
        <v>10186.030000000001</v>
      </c>
      <c r="D16" s="17">
        <v>10192</v>
      </c>
      <c r="E16" s="17">
        <f t="shared" si="1"/>
        <v>5.9699999999993452</v>
      </c>
      <c r="F16" s="32">
        <v>173.92</v>
      </c>
      <c r="G16" s="10">
        <f>IFERROR(F16/E16,0)</f>
        <v>29.132328308210898</v>
      </c>
      <c r="H16" s="17">
        <v>10192</v>
      </c>
      <c r="I16" s="19">
        <f>H16-D16</f>
        <v>0</v>
      </c>
      <c r="J16" s="20">
        <v>0</v>
      </c>
      <c r="K16" s="28">
        <f>IFERROR(J16/I16,0)</f>
        <v>0</v>
      </c>
      <c r="L16" s="18">
        <f>E16+I16</f>
        <v>5.9699999999993452</v>
      </c>
      <c r="M16" s="22">
        <f t="shared" si="0"/>
        <v>173.92</v>
      </c>
      <c r="N16" s="23">
        <f t="shared" si="5"/>
        <v>29.132328308210898</v>
      </c>
      <c r="O16" s="29">
        <v>0</v>
      </c>
      <c r="P16" s="37"/>
      <c r="Q16" s="26"/>
      <c r="S16" s="26"/>
      <c r="T16" s="38"/>
    </row>
    <row r="17" spans="1:20" ht="24" customHeight="1">
      <c r="A17" s="5">
        <v>13</v>
      </c>
      <c r="B17" s="31" t="s">
        <v>27</v>
      </c>
      <c r="C17" s="17">
        <v>18273.7</v>
      </c>
      <c r="D17" s="17">
        <v>18273.7</v>
      </c>
      <c r="E17" s="17">
        <f t="shared" si="1"/>
        <v>0</v>
      </c>
      <c r="F17" s="18">
        <v>0</v>
      </c>
      <c r="G17" s="10">
        <f>IFERROR(F17/E17,0)</f>
        <v>0</v>
      </c>
      <c r="H17" s="17">
        <v>18273.7</v>
      </c>
      <c r="I17" s="19">
        <f t="shared" ref="I17" si="6">H17-D17</f>
        <v>0</v>
      </c>
      <c r="J17" s="20">
        <v>0</v>
      </c>
      <c r="K17" s="28">
        <f t="shared" ref="K17" si="7">IFERROR(J17/I17,0)</f>
        <v>0</v>
      </c>
      <c r="L17" s="18">
        <f t="shared" ref="L17" si="8">E17+I17</f>
        <v>0</v>
      </c>
      <c r="M17" s="22">
        <f t="shared" si="0"/>
        <v>0</v>
      </c>
      <c r="N17" s="23">
        <f t="shared" si="5"/>
        <v>0</v>
      </c>
      <c r="O17" s="29">
        <v>0</v>
      </c>
      <c r="P17" s="172"/>
      <c r="Q17" s="26"/>
      <c r="S17" s="26"/>
      <c r="T17" s="38"/>
    </row>
    <row r="18" spans="1:20" ht="24" customHeight="1">
      <c r="A18" s="81">
        <v>14</v>
      </c>
      <c r="B18" s="31" t="s">
        <v>26</v>
      </c>
      <c r="C18" s="17">
        <v>15231.7</v>
      </c>
      <c r="D18" s="17">
        <v>15231.7</v>
      </c>
      <c r="E18" s="17">
        <f t="shared" si="1"/>
        <v>0</v>
      </c>
      <c r="F18" s="32">
        <v>0</v>
      </c>
      <c r="G18" s="10">
        <f>IFERROR(F18/E18,0)</f>
        <v>0</v>
      </c>
      <c r="H18" s="17">
        <v>15231.7</v>
      </c>
      <c r="I18" s="19">
        <f>H18-D18</f>
        <v>0</v>
      </c>
      <c r="J18" s="20">
        <v>0</v>
      </c>
      <c r="K18" s="28">
        <f>IFERROR(J18/I18,0)</f>
        <v>0</v>
      </c>
      <c r="L18" s="18">
        <f>E18+I18</f>
        <v>0</v>
      </c>
      <c r="M18" s="22">
        <f>F18+J18</f>
        <v>0</v>
      </c>
      <c r="N18" s="23">
        <f t="shared" si="5"/>
        <v>0</v>
      </c>
      <c r="O18" s="29">
        <v>0</v>
      </c>
      <c r="P18" s="37"/>
      <c r="Q18" s="26"/>
      <c r="S18" s="26"/>
      <c r="T18" s="38"/>
    </row>
    <row r="19" spans="1:20" ht="24" customHeight="1">
      <c r="A19" s="196" t="s">
        <v>28</v>
      </c>
      <c r="B19" s="197"/>
      <c r="C19" s="39"/>
      <c r="D19" s="39"/>
      <c r="E19" s="40">
        <f>SUM(E7:E18)</f>
        <v>61.470000000002983</v>
      </c>
      <c r="F19" s="41">
        <f>SUM(F5:F18)</f>
        <v>2619.2600000000002</v>
      </c>
      <c r="G19" s="39"/>
      <c r="H19" s="39"/>
      <c r="I19" s="40">
        <f>SUM(I7:I18)</f>
        <v>58.270000000000437</v>
      </c>
      <c r="J19" s="41">
        <f>SUM(J5:J18)</f>
        <v>2405.0099999999998</v>
      </c>
      <c r="K19" s="28">
        <f>IFERROR(J19/I19,0)</f>
        <v>41.273554144499428</v>
      </c>
      <c r="L19" s="42">
        <f>SUM(L7:L18)</f>
        <v>119.74000000000342</v>
      </c>
      <c r="M19" s="43">
        <f>SUM(M5:M18)</f>
        <v>5024.2700000000004</v>
      </c>
      <c r="N19" s="23">
        <f>IFERROR(M19/L19,0)</f>
        <v>41.959829630865684</v>
      </c>
      <c r="O19" s="44">
        <f>SUM(O5:O18)</f>
        <v>1794</v>
      </c>
      <c r="P19" s="45"/>
      <c r="S19" s="26"/>
    </row>
    <row r="20" spans="1:20" ht="18" customHeight="1" thickBot="1">
      <c r="A20" s="206" t="s">
        <v>29</v>
      </c>
      <c r="B20" s="207"/>
      <c r="C20" s="207"/>
      <c r="D20" s="207"/>
      <c r="E20" s="207"/>
      <c r="F20" s="207"/>
      <c r="G20" s="207"/>
      <c r="H20" s="207"/>
      <c r="I20" s="207"/>
      <c r="J20" s="207"/>
      <c r="K20" s="207"/>
      <c r="L20" s="208"/>
      <c r="M20" s="46"/>
      <c r="N20" s="47"/>
      <c r="O20" s="37"/>
    </row>
    <row r="21" spans="1:20" ht="22.8" customHeight="1">
      <c r="A21" s="209" t="s">
        <v>3</v>
      </c>
      <c r="B21" s="211" t="s">
        <v>4</v>
      </c>
      <c r="C21" s="234" t="s">
        <v>5</v>
      </c>
      <c r="D21" s="234"/>
      <c r="E21" s="234"/>
      <c r="F21" s="234"/>
      <c r="G21" s="234"/>
      <c r="H21" s="235" t="s">
        <v>6</v>
      </c>
      <c r="I21" s="235"/>
      <c r="J21" s="235"/>
      <c r="K21" s="235"/>
      <c r="L21" s="48"/>
      <c r="M21" s="219" t="s">
        <v>7</v>
      </c>
      <c r="N21" s="194" t="s">
        <v>8</v>
      </c>
      <c r="O21" s="37"/>
    </row>
    <row r="22" spans="1:20" s="51" customFormat="1" ht="24" customHeight="1" thickBot="1">
      <c r="A22" s="210"/>
      <c r="B22" s="212"/>
      <c r="C22" s="49" t="s">
        <v>11</v>
      </c>
      <c r="D22" s="49" t="s">
        <v>12</v>
      </c>
      <c r="E22" s="49" t="s">
        <v>13</v>
      </c>
      <c r="F22" s="2" t="s">
        <v>14</v>
      </c>
      <c r="G22" s="2" t="s">
        <v>8</v>
      </c>
      <c r="H22" s="49" t="s">
        <v>12</v>
      </c>
      <c r="I22" s="49" t="s">
        <v>13</v>
      </c>
      <c r="J22" s="49" t="s">
        <v>14</v>
      </c>
      <c r="K22" s="7" t="s">
        <v>8</v>
      </c>
      <c r="L22" s="50" t="s">
        <v>15</v>
      </c>
      <c r="M22" s="220"/>
      <c r="N22" s="195"/>
      <c r="O22" s="37"/>
      <c r="Q22"/>
      <c r="R22"/>
      <c r="S22"/>
      <c r="T22"/>
    </row>
    <row r="23" spans="1:20" s="51" customFormat="1" ht="24" customHeight="1">
      <c r="A23" s="27">
        <v>1</v>
      </c>
      <c r="B23" s="52" t="s">
        <v>30</v>
      </c>
      <c r="C23" s="6">
        <v>18894</v>
      </c>
      <c r="D23" s="6">
        <v>18898.099999999999</v>
      </c>
      <c r="E23" s="53">
        <f>D23-C23</f>
        <v>4.0999999999985448</v>
      </c>
      <c r="F23" s="54">
        <v>53</v>
      </c>
      <c r="G23" s="55">
        <f>IFERROR(F23/E23,0)</f>
        <v>12.92682926829727</v>
      </c>
      <c r="H23" s="6">
        <v>18905.3</v>
      </c>
      <c r="I23" s="56">
        <f>H23-D23</f>
        <v>7.2000000000007276</v>
      </c>
      <c r="J23" s="54">
        <v>88.05</v>
      </c>
      <c r="K23" s="57">
        <f>IFERROR(J23/I23,0)</f>
        <v>12.22916666666543</v>
      </c>
      <c r="L23" s="58">
        <f>E23+I23</f>
        <v>11.299999999999272</v>
      </c>
      <c r="M23" s="59">
        <f t="shared" ref="M23:M24" si="9">F23+J23</f>
        <v>141.05000000000001</v>
      </c>
      <c r="N23" s="60">
        <f>IFERROR(M23/L23,0)</f>
        <v>12.482300884956556</v>
      </c>
      <c r="O23" s="61"/>
      <c r="Q23"/>
      <c r="R23"/>
      <c r="S23"/>
      <c r="T23"/>
    </row>
    <row r="24" spans="1:20" ht="24" customHeight="1">
      <c r="A24" s="62">
        <v>2</v>
      </c>
      <c r="B24" s="52" t="s">
        <v>31</v>
      </c>
      <c r="C24" s="63">
        <v>11276.9</v>
      </c>
      <c r="D24" s="63">
        <v>11283.7</v>
      </c>
      <c r="E24" s="53">
        <f>D24-C24</f>
        <v>6.8000000000010914</v>
      </c>
      <c r="F24" s="54">
        <v>128</v>
      </c>
      <c r="G24" s="55">
        <f>IFERROR(F24/E24,0)</f>
        <v>18.823529411761683</v>
      </c>
      <c r="H24" s="63">
        <v>11289.3</v>
      </c>
      <c r="I24" s="64">
        <f>H24-D24</f>
        <v>5.5999999999985448</v>
      </c>
      <c r="J24" s="54">
        <v>111.7</v>
      </c>
      <c r="K24" s="57">
        <f>IFERROR(J24/I24,0)</f>
        <v>19.946428571433756</v>
      </c>
      <c r="L24" s="58">
        <f>E24+I24</f>
        <v>12.399999999999636</v>
      </c>
      <c r="M24" s="59">
        <f t="shared" si="9"/>
        <v>239.7</v>
      </c>
      <c r="N24" s="60">
        <f>IFERROR(M24/L24,0)</f>
        <v>19.330645161290889</v>
      </c>
      <c r="O24" s="65"/>
    </row>
    <row r="25" spans="1:20" ht="24" customHeight="1" thickBot="1">
      <c r="A25" s="238" t="s">
        <v>28</v>
      </c>
      <c r="B25" s="239"/>
      <c r="C25" s="66"/>
      <c r="D25" s="66"/>
      <c r="E25" s="67">
        <f>SUM(E23:E24)</f>
        <v>10.899999999999636</v>
      </c>
      <c r="F25" s="67">
        <f>SUM(F23:F24)</f>
        <v>181</v>
      </c>
      <c r="G25" s="68"/>
      <c r="H25" s="68"/>
      <c r="I25" s="67">
        <f>SUM(I23:I24)</f>
        <v>12.799999999999272</v>
      </c>
      <c r="J25" s="67">
        <f>SUM(J23:J24)</f>
        <v>199.75</v>
      </c>
      <c r="K25" s="69">
        <f>SUM(K23:K24)</f>
        <v>32.175595238099184</v>
      </c>
      <c r="L25" s="70">
        <f>SUM(L23:L24)</f>
        <v>23.699999999998909</v>
      </c>
      <c r="M25" s="43">
        <f>SUM(M23:M24)</f>
        <v>380.75</v>
      </c>
      <c r="N25" s="71"/>
      <c r="O25" s="37"/>
      <c r="P25" s="72"/>
    </row>
    <row r="26" spans="1:20" ht="18" customHeight="1" thickBot="1">
      <c r="A26" s="245" t="s">
        <v>32</v>
      </c>
      <c r="B26" s="246"/>
      <c r="C26" s="226"/>
      <c r="D26" s="226"/>
      <c r="E26" s="226"/>
      <c r="F26" s="226"/>
      <c r="G26" s="226"/>
      <c r="H26" s="226"/>
      <c r="I26" s="226"/>
      <c r="J26" s="226"/>
      <c r="K26" s="226"/>
      <c r="L26" s="246"/>
      <c r="M26" s="46"/>
      <c r="N26" s="47"/>
      <c r="O26" s="37"/>
    </row>
    <row r="27" spans="1:20" ht="22.8" customHeight="1">
      <c r="A27" s="209" t="s">
        <v>3</v>
      </c>
      <c r="B27" s="211" t="s">
        <v>4</v>
      </c>
      <c r="C27" s="234" t="s">
        <v>5</v>
      </c>
      <c r="D27" s="234"/>
      <c r="E27" s="234"/>
      <c r="F27" s="234"/>
      <c r="G27" s="234"/>
      <c r="H27" s="235" t="s">
        <v>6</v>
      </c>
      <c r="I27" s="235"/>
      <c r="J27" s="235"/>
      <c r="K27" s="235"/>
      <c r="L27" s="48"/>
      <c r="M27" s="219" t="s">
        <v>7</v>
      </c>
      <c r="N27" s="194" t="s">
        <v>8</v>
      </c>
      <c r="O27" s="37"/>
      <c r="S27" s="51"/>
    </row>
    <row r="28" spans="1:20" ht="24" customHeight="1">
      <c r="A28" s="247"/>
      <c r="B28" s="248"/>
      <c r="C28" s="6" t="s">
        <v>11</v>
      </c>
      <c r="D28" s="6" t="s">
        <v>12</v>
      </c>
      <c r="E28" s="6" t="s">
        <v>13</v>
      </c>
      <c r="F28" s="6" t="s">
        <v>14</v>
      </c>
      <c r="G28" s="6" t="s">
        <v>8</v>
      </c>
      <c r="H28" s="6" t="s">
        <v>12</v>
      </c>
      <c r="I28" s="6" t="s">
        <v>13</v>
      </c>
      <c r="J28" s="6" t="s">
        <v>14</v>
      </c>
      <c r="K28" s="7" t="s">
        <v>8</v>
      </c>
      <c r="L28" s="73" t="s">
        <v>15</v>
      </c>
      <c r="M28" s="236"/>
      <c r="N28" s="237"/>
      <c r="O28" s="61"/>
      <c r="P28" s="74"/>
      <c r="S28" s="51"/>
      <c r="T28" s="75"/>
    </row>
    <row r="29" spans="1:20" ht="24" customHeight="1">
      <c r="A29" s="76">
        <v>1</v>
      </c>
      <c r="B29" s="31" t="s">
        <v>33</v>
      </c>
      <c r="C29" s="35">
        <v>21689.1</v>
      </c>
      <c r="D29" s="35">
        <v>21697.4</v>
      </c>
      <c r="E29" s="35">
        <f>D29-C29</f>
        <v>8.3000000000029104</v>
      </c>
      <c r="F29" s="33">
        <v>161.63</v>
      </c>
      <c r="G29" s="10">
        <f t="shared" ref="G29:G33" si="10">IFERROR(F29/E29,0)</f>
        <v>19.473493975896787</v>
      </c>
      <c r="H29" s="35">
        <v>21709.3</v>
      </c>
      <c r="I29" s="56">
        <f>H29-D29</f>
        <v>11.899999999997817</v>
      </c>
      <c r="J29" s="33">
        <v>239.88</v>
      </c>
      <c r="K29" s="28">
        <f t="shared" ref="K29:K33" si="11">IFERROR(J29/I29,0)</f>
        <v>20.157983193281009</v>
      </c>
      <c r="L29" s="84">
        <f t="shared" ref="L29:M33" si="12">E29+I29</f>
        <v>20.200000000000728</v>
      </c>
      <c r="M29" s="79">
        <f t="shared" si="12"/>
        <v>401.51</v>
      </c>
      <c r="N29" s="34">
        <f>IFERROR(M29/L29,0)</f>
        <v>19.876732673266609</v>
      </c>
      <c r="O29" s="37"/>
    </row>
    <row r="30" spans="1:20" ht="24" customHeight="1">
      <c r="A30" s="76">
        <v>2</v>
      </c>
      <c r="B30" s="31" t="s">
        <v>34</v>
      </c>
      <c r="C30" s="35">
        <v>21159.8</v>
      </c>
      <c r="D30" s="35">
        <v>21165.7</v>
      </c>
      <c r="E30" s="35">
        <f>D30-C30</f>
        <v>5.9000000000014552</v>
      </c>
      <c r="F30" s="33">
        <v>102.93</v>
      </c>
      <c r="G30" s="10">
        <f t="shared" si="10"/>
        <v>17.445762711860105</v>
      </c>
      <c r="H30" s="35">
        <v>21173.3</v>
      </c>
      <c r="I30" s="56">
        <f>H30-D30</f>
        <v>7.5999999999985448</v>
      </c>
      <c r="J30" s="33">
        <v>167.37</v>
      </c>
      <c r="K30" s="28">
        <f>IFERROR(J30/I30,0)</f>
        <v>22.02236842105685</v>
      </c>
      <c r="L30" s="18">
        <f t="shared" si="12"/>
        <v>13.5</v>
      </c>
      <c r="M30" s="22">
        <f t="shared" si="12"/>
        <v>270.3</v>
      </c>
      <c r="N30" s="23">
        <f>IFERROR(M30/L30,0)</f>
        <v>20.022222222222222</v>
      </c>
      <c r="O30" s="37"/>
    </row>
    <row r="31" spans="1:20" ht="24" customHeight="1">
      <c r="A31" s="76">
        <v>3</v>
      </c>
      <c r="B31" s="31" t="s">
        <v>35</v>
      </c>
      <c r="C31" s="35">
        <v>8965.4</v>
      </c>
      <c r="D31" s="35">
        <v>8967.6</v>
      </c>
      <c r="E31" s="17">
        <f t="shared" ref="E31:E33" si="13">D31-C31</f>
        <v>2.2000000000007276</v>
      </c>
      <c r="F31" s="33">
        <v>49.96</v>
      </c>
      <c r="G31" s="10">
        <f t="shared" si="10"/>
        <v>22.7090909090834</v>
      </c>
      <c r="H31" s="35">
        <v>8976.7000000000007</v>
      </c>
      <c r="I31" s="19">
        <f>H31-D31</f>
        <v>9.1000000000003638</v>
      </c>
      <c r="J31" s="33">
        <v>154.24</v>
      </c>
      <c r="K31" s="28">
        <f t="shared" si="11"/>
        <v>16.949450549449875</v>
      </c>
      <c r="L31" s="18">
        <f t="shared" si="12"/>
        <v>11.300000000001091</v>
      </c>
      <c r="M31" s="22">
        <f t="shared" si="12"/>
        <v>204.20000000000002</v>
      </c>
      <c r="N31" s="23">
        <f>IFERROR(M31/L31,0)</f>
        <v>18.070796460175249</v>
      </c>
      <c r="O31" s="77"/>
    </row>
    <row r="32" spans="1:20" ht="24.6" customHeight="1">
      <c r="A32" s="76">
        <v>4</v>
      </c>
      <c r="B32" s="31" t="s">
        <v>36</v>
      </c>
      <c r="C32" s="35">
        <v>3469.1</v>
      </c>
      <c r="D32" s="35">
        <v>3477.2</v>
      </c>
      <c r="E32" s="17">
        <f t="shared" si="13"/>
        <v>8.0999999999999091</v>
      </c>
      <c r="F32" s="33">
        <v>221.33</v>
      </c>
      <c r="G32" s="78">
        <f t="shared" si="10"/>
        <v>27.324691358024999</v>
      </c>
      <c r="H32" s="35">
        <v>3477.2</v>
      </c>
      <c r="I32" s="19">
        <f t="shared" ref="I32:I33" si="14">H32-D32</f>
        <v>0</v>
      </c>
      <c r="J32" s="33">
        <v>0</v>
      </c>
      <c r="K32" s="28">
        <f t="shared" si="11"/>
        <v>0</v>
      </c>
      <c r="L32" s="18">
        <f t="shared" si="12"/>
        <v>8.0999999999999091</v>
      </c>
      <c r="M32" s="79">
        <f t="shared" si="12"/>
        <v>221.33</v>
      </c>
      <c r="N32" s="23">
        <f>IFERROR(M32/L32,0)</f>
        <v>27.324691358024999</v>
      </c>
      <c r="O32" s="80"/>
    </row>
    <row r="33" spans="1:19" ht="24.6" customHeight="1">
      <c r="A33" s="76">
        <v>5</v>
      </c>
      <c r="B33" s="31" t="s">
        <v>37</v>
      </c>
      <c r="C33" s="35">
        <v>777.7</v>
      </c>
      <c r="D33" s="35">
        <v>787.4</v>
      </c>
      <c r="E33" s="17">
        <f t="shared" si="13"/>
        <v>9.6999999999999318</v>
      </c>
      <c r="F33" s="33">
        <v>288</v>
      </c>
      <c r="G33" s="78">
        <f t="shared" si="10"/>
        <v>29.690721649484743</v>
      </c>
      <c r="H33" s="35">
        <v>790.7</v>
      </c>
      <c r="I33" s="19">
        <f t="shared" si="14"/>
        <v>3.3000000000000682</v>
      </c>
      <c r="J33" s="33">
        <v>113.83</v>
      </c>
      <c r="K33" s="28">
        <f t="shared" si="11"/>
        <v>34.493939393938682</v>
      </c>
      <c r="L33" s="18">
        <f t="shared" si="12"/>
        <v>13</v>
      </c>
      <c r="M33" s="79">
        <f t="shared" si="12"/>
        <v>401.83</v>
      </c>
      <c r="N33" s="23">
        <f>IFERROR(M33/L33,0)</f>
        <v>30.91</v>
      </c>
      <c r="O33" s="80"/>
    </row>
    <row r="34" spans="1:19" ht="22.8" customHeight="1" thickBot="1">
      <c r="A34" s="238" t="s">
        <v>28</v>
      </c>
      <c r="B34" s="239"/>
      <c r="C34" s="66"/>
      <c r="D34" s="66"/>
      <c r="E34" s="67">
        <f>SUM(E29:E33)</f>
        <v>34.200000000004934</v>
      </c>
      <c r="F34" s="67">
        <f>SUM(F29:F33)</f>
        <v>823.85</v>
      </c>
      <c r="G34" s="68"/>
      <c r="H34" s="68"/>
      <c r="I34" s="67">
        <f>SUM(I29:I33)</f>
        <v>31.899999999996794</v>
      </c>
      <c r="J34" s="67">
        <f>SUM(J29:J33)</f>
        <v>675.32</v>
      </c>
      <c r="K34" s="69">
        <f>SUM(K29:K33)</f>
        <v>93.623741557726419</v>
      </c>
      <c r="L34" s="70">
        <f>SUM(L29:L33)</f>
        <v>66.100000000001728</v>
      </c>
      <c r="M34" s="43">
        <f>SUM(M29:M33)</f>
        <v>1499.1699999999998</v>
      </c>
      <c r="N34" s="71">
        <f>IFERROR(M34/K34,0)</f>
        <v>16.012711893976629</v>
      </c>
      <c r="O34" s="37"/>
      <c r="P34" s="72"/>
      <c r="S34" s="51"/>
    </row>
    <row r="35" spans="1:19" ht="24" customHeight="1">
      <c r="A35" s="240" t="s">
        <v>38</v>
      </c>
      <c r="B35" s="241"/>
      <c r="C35" s="241"/>
      <c r="D35" s="241"/>
      <c r="E35" s="241"/>
      <c r="F35" s="241"/>
      <c r="G35" s="241"/>
      <c r="H35" s="241"/>
      <c r="I35" s="241"/>
      <c r="J35" s="241"/>
      <c r="K35" s="241"/>
      <c r="L35" s="242"/>
      <c r="M35" s="46"/>
      <c r="N35" s="47"/>
      <c r="O35" s="61"/>
      <c r="S35" s="51"/>
    </row>
    <row r="36" spans="1:19" ht="24" customHeight="1">
      <c r="A36" s="243" t="s">
        <v>3</v>
      </c>
      <c r="B36" s="243" t="s">
        <v>4</v>
      </c>
      <c r="C36" s="213" t="s">
        <v>5</v>
      </c>
      <c r="D36" s="214"/>
      <c r="E36" s="214"/>
      <c r="F36" s="214"/>
      <c r="G36" s="215"/>
      <c r="H36" s="216" t="s">
        <v>6</v>
      </c>
      <c r="I36" s="217"/>
      <c r="J36" s="217"/>
      <c r="K36" s="218"/>
      <c r="L36" s="5"/>
      <c r="M36" s="221" t="s">
        <v>7</v>
      </c>
      <c r="N36" s="222" t="s">
        <v>8</v>
      </c>
      <c r="O36" s="37"/>
    </row>
    <row r="37" spans="1:19" ht="24" customHeight="1">
      <c r="A37" s="244"/>
      <c r="B37" s="244"/>
      <c r="C37" s="2" t="s">
        <v>11</v>
      </c>
      <c r="D37" s="2" t="s">
        <v>12</v>
      </c>
      <c r="E37" s="2" t="s">
        <v>13</v>
      </c>
      <c r="F37" s="2" t="s">
        <v>14</v>
      </c>
      <c r="G37" s="2" t="s">
        <v>8</v>
      </c>
      <c r="H37" s="2" t="s">
        <v>12</v>
      </c>
      <c r="I37" s="2" t="s">
        <v>13</v>
      </c>
      <c r="J37" s="2" t="s">
        <v>14</v>
      </c>
      <c r="K37" s="82" t="s">
        <v>8</v>
      </c>
      <c r="L37" s="12" t="s">
        <v>15</v>
      </c>
      <c r="M37" s="221"/>
      <c r="N37" s="222"/>
      <c r="O37" s="37"/>
    </row>
    <row r="38" spans="1:19" ht="24" customHeight="1">
      <c r="A38" s="76">
        <v>1</v>
      </c>
      <c r="B38" s="31" t="s">
        <v>39</v>
      </c>
      <c r="C38" s="83">
        <v>16622.7</v>
      </c>
      <c r="D38" s="83">
        <v>16629.7</v>
      </c>
      <c r="E38" s="35">
        <f>D38-C38</f>
        <v>7</v>
      </c>
      <c r="F38" s="33">
        <v>85</v>
      </c>
      <c r="G38" s="78">
        <f t="shared" ref="G38:G39" si="15">IFERROR(F38/E38,0)</f>
        <v>12.142857142857142</v>
      </c>
      <c r="H38" s="83">
        <v>16636</v>
      </c>
      <c r="I38" s="56">
        <f>H38-D38</f>
        <v>6.2999999999992724</v>
      </c>
      <c r="J38" s="33">
        <v>122.23</v>
      </c>
      <c r="K38" s="28">
        <f>IFERROR(J38/I38,0)</f>
        <v>19.401587301589544</v>
      </c>
      <c r="L38" s="84">
        <f t="shared" ref="L38:L39" si="16">E38+I38</f>
        <v>13.299999999999272</v>
      </c>
      <c r="M38" s="79">
        <f>F38+J38</f>
        <v>207.23000000000002</v>
      </c>
      <c r="N38" s="34">
        <f>IFERROR(M38/L38,0)</f>
        <v>15.581203007519651</v>
      </c>
      <c r="O38" s="37"/>
    </row>
    <row r="39" spans="1:19" ht="27" customHeight="1">
      <c r="A39" s="76">
        <v>2</v>
      </c>
      <c r="B39" s="31" t="s">
        <v>40</v>
      </c>
      <c r="C39" s="35">
        <v>4486.3999999999996</v>
      </c>
      <c r="D39" s="35">
        <v>4492</v>
      </c>
      <c r="E39" s="17">
        <f>D39-C39</f>
        <v>5.6000000000003638</v>
      </c>
      <c r="F39" s="33">
        <v>95.13</v>
      </c>
      <c r="G39" s="10">
        <f t="shared" si="15"/>
        <v>16.987499999998896</v>
      </c>
      <c r="H39" s="35">
        <v>4501.7</v>
      </c>
      <c r="I39" s="19">
        <f>H39-D39</f>
        <v>9.6999999999998181</v>
      </c>
      <c r="J39" s="33">
        <v>217.96</v>
      </c>
      <c r="K39" s="28">
        <f>IFERROR(J39/I39,0)</f>
        <v>22.470103092783926</v>
      </c>
      <c r="L39" s="18">
        <f t="shared" si="16"/>
        <v>15.300000000000182</v>
      </c>
      <c r="M39" s="22">
        <f>F39+J39</f>
        <v>313.09000000000003</v>
      </c>
      <c r="N39" s="23">
        <f>IFERROR(M39/L39,0)</f>
        <v>20.463398692810216</v>
      </c>
      <c r="O39" s="37"/>
      <c r="S39" s="51"/>
    </row>
    <row r="40" spans="1:19" ht="22.8" customHeight="1" thickBot="1">
      <c r="A40" s="196" t="s">
        <v>28</v>
      </c>
      <c r="B40" s="233"/>
      <c r="C40" s="68"/>
      <c r="D40" s="66"/>
      <c r="E40" s="67">
        <f>SUM(E38:E39)</f>
        <v>12.600000000000364</v>
      </c>
      <c r="F40" s="67">
        <f>SUM(F38:F39:F39)</f>
        <v>180.13</v>
      </c>
      <c r="G40" s="68"/>
      <c r="H40" s="68"/>
      <c r="I40" s="67">
        <f>SUM(I38:I39)</f>
        <v>15.999999999999091</v>
      </c>
      <c r="J40" s="67">
        <f>SUM(J38:J39)</f>
        <v>340.19</v>
      </c>
      <c r="K40" s="69">
        <f>SUM(K38:K39)</f>
        <v>41.871690394373474</v>
      </c>
      <c r="L40" s="70">
        <f>SUM(L38:L39)</f>
        <v>28.599999999999454</v>
      </c>
      <c r="M40" s="43">
        <f>SUM(M38:M39)</f>
        <v>520.32000000000005</v>
      </c>
      <c r="N40" s="71">
        <f>IFERROR(M40/K40,0)</f>
        <v>12.426534374402001</v>
      </c>
      <c r="O40" s="37"/>
      <c r="P40" s="72"/>
      <c r="S40" s="51"/>
    </row>
    <row r="41" spans="1:19" ht="24" customHeight="1">
      <c r="A41" s="225" t="s">
        <v>41</v>
      </c>
      <c r="B41" s="226"/>
      <c r="C41" s="226"/>
      <c r="D41" s="226"/>
      <c r="E41" s="226"/>
      <c r="F41" s="226"/>
      <c r="G41" s="226"/>
      <c r="H41" s="226"/>
      <c r="I41" s="226"/>
      <c r="J41" s="226"/>
      <c r="K41" s="226"/>
      <c r="L41" s="226"/>
      <c r="M41" s="46"/>
      <c r="N41" s="47"/>
      <c r="O41" s="61"/>
    </row>
    <row r="42" spans="1:19" ht="24" customHeight="1">
      <c r="A42" s="222" t="s">
        <v>3</v>
      </c>
      <c r="B42" s="222" t="s">
        <v>4</v>
      </c>
      <c r="C42" s="234" t="s">
        <v>5</v>
      </c>
      <c r="D42" s="234"/>
      <c r="E42" s="234"/>
      <c r="F42" s="234"/>
      <c r="G42" s="234"/>
      <c r="H42" s="235" t="s">
        <v>6</v>
      </c>
      <c r="I42" s="235"/>
      <c r="J42" s="235"/>
      <c r="K42" s="235"/>
      <c r="L42" s="5"/>
      <c r="M42" s="221" t="s">
        <v>7</v>
      </c>
      <c r="N42" s="222" t="s">
        <v>8</v>
      </c>
      <c r="O42" s="37"/>
    </row>
    <row r="43" spans="1:19" ht="25.8" customHeight="1">
      <c r="A43" s="222"/>
      <c r="B43" s="222"/>
      <c r="C43" s="2" t="s">
        <v>11</v>
      </c>
      <c r="D43" s="2" t="s">
        <v>12</v>
      </c>
      <c r="E43" s="2" t="s">
        <v>13</v>
      </c>
      <c r="F43" s="2" t="s">
        <v>14</v>
      </c>
      <c r="G43" s="2" t="s">
        <v>8</v>
      </c>
      <c r="H43" s="2" t="s">
        <v>12</v>
      </c>
      <c r="I43" s="2" t="s">
        <v>13</v>
      </c>
      <c r="J43" s="2" t="s">
        <v>14</v>
      </c>
      <c r="K43" s="82" t="s">
        <v>8</v>
      </c>
      <c r="L43" s="12" t="s">
        <v>15</v>
      </c>
      <c r="M43" s="221"/>
      <c r="N43" s="222"/>
      <c r="O43" s="37"/>
    </row>
    <row r="44" spans="1:19" ht="25.8" customHeight="1">
      <c r="A44" s="5">
        <v>1</v>
      </c>
      <c r="B44" s="85" t="s">
        <v>186</v>
      </c>
      <c r="C44" s="2">
        <v>0</v>
      </c>
      <c r="D44" s="2">
        <v>0</v>
      </c>
      <c r="E44" s="20">
        <f>D44-C44</f>
        <v>0</v>
      </c>
      <c r="F44" s="2">
        <v>0</v>
      </c>
      <c r="G44" s="10">
        <f t="shared" ref="G44:G46" si="17">IFERROR(F44/E44,0)</f>
        <v>0</v>
      </c>
      <c r="H44" s="2">
        <v>0</v>
      </c>
      <c r="I44" s="86">
        <f>H44-D44</f>
        <v>0</v>
      </c>
      <c r="J44" s="2">
        <v>0</v>
      </c>
      <c r="K44" s="28">
        <f>IFERROR(J44/I44,0)</f>
        <v>0</v>
      </c>
      <c r="L44" s="18">
        <f>E44+I44</f>
        <v>0</v>
      </c>
      <c r="M44" s="22">
        <f>F44+J44</f>
        <v>0</v>
      </c>
      <c r="N44" s="23">
        <f>IFERROR(M44/L44,0)</f>
        <v>0</v>
      </c>
      <c r="O44" s="37"/>
    </row>
    <row r="45" spans="1:19" ht="24.6" customHeight="1">
      <c r="A45" s="76">
        <v>2</v>
      </c>
      <c r="B45" s="85" t="s">
        <v>42</v>
      </c>
      <c r="C45" s="33">
        <v>8692.1</v>
      </c>
      <c r="D45" s="33">
        <v>8692.1</v>
      </c>
      <c r="E45" s="20">
        <f>D45-C45</f>
        <v>0</v>
      </c>
      <c r="F45" s="33">
        <v>0</v>
      </c>
      <c r="G45" s="10">
        <f t="shared" si="17"/>
        <v>0</v>
      </c>
      <c r="H45" s="33">
        <v>8692.1</v>
      </c>
      <c r="I45" s="86">
        <f>H45-D45</f>
        <v>0</v>
      </c>
      <c r="J45" s="33">
        <v>0</v>
      </c>
      <c r="K45" s="28">
        <f>IFERROR(J45/I45,0)</f>
        <v>0</v>
      </c>
      <c r="L45" s="18">
        <f>E45+I45</f>
        <v>0</v>
      </c>
      <c r="M45" s="22">
        <f>F45+J45</f>
        <v>0</v>
      </c>
      <c r="N45" s="23">
        <f>IFERROR(M45/L45,0)</f>
        <v>0</v>
      </c>
      <c r="O45" s="87"/>
      <c r="S45" s="51"/>
    </row>
    <row r="46" spans="1:19" ht="22.8" customHeight="1">
      <c r="A46" s="76">
        <v>3</v>
      </c>
      <c r="B46" s="85" t="s">
        <v>43</v>
      </c>
      <c r="C46" s="33">
        <v>1647.1</v>
      </c>
      <c r="D46" s="33">
        <v>1658.5</v>
      </c>
      <c r="E46" s="20">
        <f>D46-C46</f>
        <v>11.400000000000091</v>
      </c>
      <c r="F46" s="33">
        <f>115+304</f>
        <v>419</v>
      </c>
      <c r="G46" s="10">
        <f t="shared" si="17"/>
        <v>36.75438596491199</v>
      </c>
      <c r="H46" s="33">
        <v>1658.5</v>
      </c>
      <c r="I46" s="86">
        <f>H46-D46</f>
        <v>0</v>
      </c>
      <c r="J46" s="33">
        <v>0</v>
      </c>
      <c r="K46" s="28">
        <f>IFERROR(J46/I46,0)</f>
        <v>0</v>
      </c>
      <c r="L46" s="18">
        <f>E46+I46</f>
        <v>11.400000000000091</v>
      </c>
      <c r="M46" s="22">
        <f t="shared" ref="M46" si="18">F46+J46</f>
        <v>419</v>
      </c>
      <c r="N46" s="23">
        <f>IFERROR(M46/L46,0)</f>
        <v>36.75438596491199</v>
      </c>
      <c r="O46" s="87"/>
      <c r="P46" s="88"/>
      <c r="Q46" s="89"/>
    </row>
    <row r="47" spans="1:19" ht="24" customHeight="1" thickBot="1">
      <c r="A47" s="223" t="s">
        <v>28</v>
      </c>
      <c r="B47" s="224"/>
      <c r="C47" s="90"/>
      <c r="D47" s="90"/>
      <c r="E47" s="91">
        <f>SUM(E45:E46)</f>
        <v>11.400000000000091</v>
      </c>
      <c r="F47" s="91">
        <f>SUM(F45:F46)</f>
        <v>419</v>
      </c>
      <c r="G47" s="92"/>
      <c r="H47" s="92"/>
      <c r="I47" s="91">
        <f>SUM(I44:I46)</f>
        <v>0</v>
      </c>
      <c r="J47" s="91">
        <f>SUM(J44:J46)</f>
        <v>0</v>
      </c>
      <c r="K47" s="93">
        <f>SUM(K44:K46)</f>
        <v>0</v>
      </c>
      <c r="L47" s="94">
        <f>SUM(L44:L46)</f>
        <v>11.400000000000091</v>
      </c>
      <c r="M47" s="95">
        <f>SUM(M44:M46)</f>
        <v>419</v>
      </c>
      <c r="N47" s="96">
        <f>M47/L47</f>
        <v>36.75438596491199</v>
      </c>
      <c r="O47" s="37"/>
      <c r="P47" s="97"/>
      <c r="Q47" s="89"/>
    </row>
    <row r="48" spans="1:19" ht="24" customHeight="1">
      <c r="A48" s="225" t="s">
        <v>44</v>
      </c>
      <c r="B48" s="226"/>
      <c r="C48" s="226"/>
      <c r="D48" s="226"/>
      <c r="E48" s="226"/>
      <c r="F48" s="226"/>
      <c r="G48" s="226"/>
      <c r="H48" s="226"/>
      <c r="I48" s="226"/>
      <c r="J48" s="226"/>
      <c r="K48" s="226"/>
      <c r="L48" s="226"/>
      <c r="M48" s="98"/>
      <c r="N48" s="99"/>
      <c r="O48" s="37"/>
      <c r="P48" s="100"/>
      <c r="Q48" s="100"/>
    </row>
    <row r="49" spans="1:27" ht="24" customHeight="1">
      <c r="A49" s="222" t="s">
        <v>3</v>
      </c>
      <c r="B49" s="222" t="s">
        <v>4</v>
      </c>
      <c r="C49" s="227" t="s">
        <v>5</v>
      </c>
      <c r="D49" s="228"/>
      <c r="E49" s="228"/>
      <c r="F49" s="228"/>
      <c r="G49" s="228"/>
      <c r="H49" s="229"/>
      <c r="I49" s="230" t="s">
        <v>6</v>
      </c>
      <c r="J49" s="231"/>
      <c r="K49" s="231"/>
      <c r="L49" s="231"/>
      <c r="M49" s="231"/>
      <c r="N49" s="232"/>
      <c r="O49" s="201" t="s">
        <v>45</v>
      </c>
      <c r="P49" s="203" t="s">
        <v>46</v>
      </c>
      <c r="Q49" s="203" t="s">
        <v>47</v>
      </c>
      <c r="R49" s="205" t="s">
        <v>48</v>
      </c>
      <c r="Z49" s="101"/>
    </row>
    <row r="50" spans="1:27" ht="33" customHeight="1">
      <c r="A50" s="222"/>
      <c r="B50" s="222"/>
      <c r="C50" s="2" t="s">
        <v>49</v>
      </c>
      <c r="D50" s="2" t="s">
        <v>50</v>
      </c>
      <c r="E50" s="2" t="s">
        <v>51</v>
      </c>
      <c r="F50" s="102" t="s">
        <v>11</v>
      </c>
      <c r="G50" s="2" t="s">
        <v>14</v>
      </c>
      <c r="H50" s="2" t="s">
        <v>8</v>
      </c>
      <c r="I50" s="2" t="s">
        <v>50</v>
      </c>
      <c r="J50" s="2" t="s">
        <v>45</v>
      </c>
      <c r="K50" s="102" t="s">
        <v>12</v>
      </c>
      <c r="L50" s="102" t="s">
        <v>15</v>
      </c>
      <c r="M50" s="2" t="s">
        <v>14</v>
      </c>
      <c r="N50" s="82" t="s">
        <v>8</v>
      </c>
      <c r="O50" s="202"/>
      <c r="P50" s="204"/>
      <c r="Q50" s="204"/>
      <c r="R50" s="205"/>
    </row>
    <row r="51" spans="1:27" ht="21" customHeight="1">
      <c r="A51" s="81">
        <v>1</v>
      </c>
      <c r="B51" s="103" t="s">
        <v>52</v>
      </c>
      <c r="C51" s="2">
        <v>279666.09999999998</v>
      </c>
      <c r="D51" s="2">
        <v>279666.09999999998</v>
      </c>
      <c r="E51" s="104">
        <f t="shared" ref="E51:E116" si="19">D51-C51</f>
        <v>0</v>
      </c>
      <c r="F51" s="105">
        <v>22150.12</v>
      </c>
      <c r="G51" s="49">
        <v>0</v>
      </c>
      <c r="H51" s="10">
        <f t="shared" ref="H51:H116" si="20">IFERROR(E51/G51,0)</f>
        <v>0</v>
      </c>
      <c r="I51" s="2">
        <v>279719.5</v>
      </c>
      <c r="J51" s="106">
        <f t="shared" ref="J51:J116" si="21">I51-D51</f>
        <v>53.400000000023283</v>
      </c>
      <c r="K51" s="105">
        <v>22156.560000000001</v>
      </c>
      <c r="L51" s="107">
        <f t="shared" ref="L51:L116" si="22">K51-F51</f>
        <v>6.4400000000023283</v>
      </c>
      <c r="M51" s="2">
        <v>76</v>
      </c>
      <c r="N51" s="28">
        <f t="shared" ref="N51:N116" si="23">IFERROR(J51/M51,0)</f>
        <v>0.70263157894767481</v>
      </c>
      <c r="O51" s="84">
        <f t="shared" ref="O51:O116" si="24">J51+E51</f>
        <v>53.400000000023283</v>
      </c>
      <c r="P51" s="79">
        <f t="shared" ref="P51:P116" si="25">G51+M51</f>
        <v>76</v>
      </c>
      <c r="Q51" s="34">
        <f t="shared" ref="Q51:Q116" si="26">IFERROR(O51/P51,0)</f>
        <v>0.70263157894767481</v>
      </c>
      <c r="R51" s="108">
        <v>0</v>
      </c>
    </row>
    <row r="52" spans="1:27" ht="21" customHeight="1">
      <c r="A52" s="81">
        <v>2</v>
      </c>
      <c r="B52" s="103" t="s">
        <v>155</v>
      </c>
      <c r="C52" s="2">
        <v>302456</v>
      </c>
      <c r="D52" s="2">
        <v>302507</v>
      </c>
      <c r="E52" s="104">
        <f t="shared" si="19"/>
        <v>51</v>
      </c>
      <c r="F52" s="105">
        <v>30581</v>
      </c>
      <c r="G52" s="49">
        <v>84</v>
      </c>
      <c r="H52" s="10">
        <f t="shared" si="20"/>
        <v>0.6071428571428571</v>
      </c>
      <c r="I52" s="2">
        <v>302581</v>
      </c>
      <c r="J52" s="106">
        <f t="shared" si="21"/>
        <v>74</v>
      </c>
      <c r="K52" s="105">
        <v>30596</v>
      </c>
      <c r="L52" s="107">
        <f t="shared" si="22"/>
        <v>15</v>
      </c>
      <c r="M52" s="2">
        <v>116</v>
      </c>
      <c r="N52" s="28">
        <f t="shared" si="23"/>
        <v>0.63793103448275867</v>
      </c>
      <c r="O52" s="84">
        <f t="shared" si="24"/>
        <v>125</v>
      </c>
      <c r="P52" s="79">
        <f t="shared" si="25"/>
        <v>200</v>
      </c>
      <c r="Q52" s="34">
        <f t="shared" si="26"/>
        <v>0.625</v>
      </c>
      <c r="R52" s="108">
        <v>48</v>
      </c>
    </row>
    <row r="53" spans="1:27" ht="21" customHeight="1">
      <c r="A53" s="81">
        <v>3</v>
      </c>
      <c r="B53" s="103" t="s">
        <v>171</v>
      </c>
      <c r="C53" s="2">
        <v>311558</v>
      </c>
      <c r="D53" s="2">
        <v>311635</v>
      </c>
      <c r="E53" s="104">
        <f t="shared" si="19"/>
        <v>77</v>
      </c>
      <c r="F53" s="105">
        <v>31131</v>
      </c>
      <c r="G53" s="49">
        <v>95</v>
      </c>
      <c r="H53" s="10">
        <f t="shared" si="20"/>
        <v>0.81052631578947365</v>
      </c>
      <c r="I53" s="2">
        <v>311635</v>
      </c>
      <c r="J53" s="106">
        <f t="shared" si="21"/>
        <v>0</v>
      </c>
      <c r="K53" s="105">
        <v>31137</v>
      </c>
      <c r="L53" s="107">
        <f t="shared" si="22"/>
        <v>6</v>
      </c>
      <c r="M53" s="2">
        <v>0</v>
      </c>
      <c r="N53" s="28">
        <f t="shared" si="23"/>
        <v>0</v>
      </c>
      <c r="O53" s="84">
        <f t="shared" si="24"/>
        <v>77</v>
      </c>
      <c r="P53" s="79">
        <f t="shared" si="25"/>
        <v>95</v>
      </c>
      <c r="Q53" s="34">
        <f t="shared" si="26"/>
        <v>0.81052631578947365</v>
      </c>
      <c r="R53" s="108">
        <v>9</v>
      </c>
    </row>
    <row r="54" spans="1:27" ht="21" customHeight="1">
      <c r="A54" s="81">
        <v>4</v>
      </c>
      <c r="B54" s="103" t="s">
        <v>156</v>
      </c>
      <c r="C54" s="2">
        <v>262397</v>
      </c>
      <c r="D54" s="2">
        <v>262397</v>
      </c>
      <c r="E54" s="104">
        <f t="shared" si="19"/>
        <v>0</v>
      </c>
      <c r="F54" s="105">
        <v>27814</v>
      </c>
      <c r="G54" s="49">
        <v>0</v>
      </c>
      <c r="H54" s="10">
        <f t="shared" si="20"/>
        <v>0</v>
      </c>
      <c r="I54" s="2">
        <v>262554</v>
      </c>
      <c r="J54" s="106">
        <f t="shared" si="21"/>
        <v>157</v>
      </c>
      <c r="K54" s="105">
        <v>27828</v>
      </c>
      <c r="L54" s="107">
        <f t="shared" si="22"/>
        <v>14</v>
      </c>
      <c r="M54" s="2">
        <v>226</v>
      </c>
      <c r="N54" s="28">
        <f t="shared" si="23"/>
        <v>0.69469026548672563</v>
      </c>
      <c r="O54" s="84">
        <f t="shared" si="24"/>
        <v>157</v>
      </c>
      <c r="P54" s="79">
        <f t="shared" si="25"/>
        <v>226</v>
      </c>
      <c r="Q54" s="34">
        <f t="shared" si="26"/>
        <v>0.69469026548672563</v>
      </c>
      <c r="R54" s="108">
        <v>35</v>
      </c>
    </row>
    <row r="55" spans="1:27" ht="21" customHeight="1">
      <c r="A55" s="81">
        <v>5</v>
      </c>
      <c r="B55" s="103" t="s">
        <v>157</v>
      </c>
      <c r="C55" s="2">
        <v>277583</v>
      </c>
      <c r="D55" s="2">
        <v>277674</v>
      </c>
      <c r="E55" s="104">
        <f t="shared" si="19"/>
        <v>91</v>
      </c>
      <c r="F55" s="105">
        <v>28152</v>
      </c>
      <c r="G55" s="49">
        <v>125</v>
      </c>
      <c r="H55" s="10">
        <f t="shared" si="20"/>
        <v>0.72799999999999998</v>
      </c>
      <c r="I55" s="2">
        <v>277709</v>
      </c>
      <c r="J55" s="106">
        <f t="shared" si="21"/>
        <v>35</v>
      </c>
      <c r="K55" s="105">
        <v>28161</v>
      </c>
      <c r="L55" s="107">
        <f t="shared" si="22"/>
        <v>9</v>
      </c>
      <c r="M55" s="2">
        <v>58</v>
      </c>
      <c r="N55" s="28">
        <f t="shared" si="23"/>
        <v>0.60344827586206895</v>
      </c>
      <c r="O55" s="84">
        <f t="shared" si="24"/>
        <v>126</v>
      </c>
      <c r="P55" s="79">
        <f t="shared" si="25"/>
        <v>183</v>
      </c>
      <c r="Q55" s="34">
        <f t="shared" si="26"/>
        <v>0.68852459016393441</v>
      </c>
      <c r="R55" s="108">
        <v>18</v>
      </c>
    </row>
    <row r="56" spans="1:27" ht="21" customHeight="1">
      <c r="A56" s="81">
        <v>6</v>
      </c>
      <c r="B56" s="103" t="s">
        <v>172</v>
      </c>
      <c r="C56" s="2">
        <v>267105</v>
      </c>
      <c r="D56" s="2">
        <v>267105</v>
      </c>
      <c r="E56" s="104">
        <f t="shared" si="19"/>
        <v>0</v>
      </c>
      <c r="F56" s="105">
        <v>26433</v>
      </c>
      <c r="G56" s="49">
        <v>0</v>
      </c>
      <c r="H56" s="10">
        <f t="shared" si="20"/>
        <v>0</v>
      </c>
      <c r="I56" s="2">
        <v>267178</v>
      </c>
      <c r="J56" s="106">
        <f t="shared" si="21"/>
        <v>73</v>
      </c>
      <c r="K56" s="105">
        <v>26440</v>
      </c>
      <c r="L56" s="107">
        <f t="shared" si="22"/>
        <v>7</v>
      </c>
      <c r="M56" s="2">
        <v>116</v>
      </c>
      <c r="N56" s="28">
        <f t="shared" si="23"/>
        <v>0.62931034482758619</v>
      </c>
      <c r="O56" s="84">
        <f t="shared" si="24"/>
        <v>73</v>
      </c>
      <c r="P56" s="79">
        <f t="shared" si="25"/>
        <v>116</v>
      </c>
      <c r="Q56" s="34">
        <f t="shared" si="26"/>
        <v>0.62931034482758619</v>
      </c>
      <c r="R56" s="108">
        <v>15</v>
      </c>
    </row>
    <row r="57" spans="1:27" ht="21" customHeight="1">
      <c r="A57" s="81">
        <v>7</v>
      </c>
      <c r="B57" s="103" t="s">
        <v>173</v>
      </c>
      <c r="C57" s="2">
        <v>295916</v>
      </c>
      <c r="D57" s="2">
        <v>295916</v>
      </c>
      <c r="E57" s="104">
        <f t="shared" si="19"/>
        <v>0</v>
      </c>
      <c r="F57" s="105">
        <v>28794</v>
      </c>
      <c r="G57" s="49">
        <v>0</v>
      </c>
      <c r="H57" s="10">
        <f t="shared" si="20"/>
        <v>0</v>
      </c>
      <c r="I57" s="2">
        <v>295972</v>
      </c>
      <c r="J57" s="106">
        <f t="shared" si="21"/>
        <v>56</v>
      </c>
      <c r="K57" s="105">
        <v>28802</v>
      </c>
      <c r="L57" s="107">
        <f t="shared" si="22"/>
        <v>8</v>
      </c>
      <c r="M57" s="2">
        <v>71</v>
      </c>
      <c r="N57" s="28">
        <f t="shared" si="23"/>
        <v>0.78873239436619713</v>
      </c>
      <c r="O57" s="84">
        <f t="shared" si="24"/>
        <v>56</v>
      </c>
      <c r="P57" s="79">
        <f t="shared" si="25"/>
        <v>71</v>
      </c>
      <c r="Q57" s="34">
        <f t="shared" si="26"/>
        <v>0.78873239436619713</v>
      </c>
      <c r="R57" s="108">
        <v>11</v>
      </c>
    </row>
    <row r="58" spans="1:27" ht="24" customHeight="1">
      <c r="A58" s="81">
        <v>8</v>
      </c>
      <c r="B58" s="31" t="s">
        <v>53</v>
      </c>
      <c r="C58" s="35">
        <v>334962</v>
      </c>
      <c r="D58" s="35">
        <v>335001.3</v>
      </c>
      <c r="E58" s="104">
        <f t="shared" si="19"/>
        <v>39.299999999988358</v>
      </c>
      <c r="F58" s="110">
        <v>29915.200000000001</v>
      </c>
      <c r="G58" s="111">
        <v>67.680000000000007</v>
      </c>
      <c r="H58" s="10">
        <f t="shared" si="20"/>
        <v>0.58067375886507611</v>
      </c>
      <c r="I58" s="35">
        <v>335064.3</v>
      </c>
      <c r="J58" s="106">
        <f t="shared" si="21"/>
        <v>63</v>
      </c>
      <c r="K58" s="110">
        <v>29928.39</v>
      </c>
      <c r="L58" s="107">
        <f t="shared" si="22"/>
        <v>13.18999999999869</v>
      </c>
      <c r="M58" s="112">
        <v>95</v>
      </c>
      <c r="N58" s="28">
        <f t="shared" si="23"/>
        <v>0.66315789473684206</v>
      </c>
      <c r="O58" s="84">
        <f t="shared" si="24"/>
        <v>102.29999999998836</v>
      </c>
      <c r="P58" s="79">
        <f t="shared" si="25"/>
        <v>162.68</v>
      </c>
      <c r="Q58" s="34">
        <f t="shared" si="26"/>
        <v>0.62884189820499359</v>
      </c>
      <c r="R58" s="1">
        <v>35</v>
      </c>
    </row>
    <row r="59" spans="1:27" ht="24" customHeight="1">
      <c r="A59" s="81">
        <v>9</v>
      </c>
      <c r="B59" s="31" t="s">
        <v>54</v>
      </c>
      <c r="C59" s="104">
        <v>293683.59999999998</v>
      </c>
      <c r="D59" s="104">
        <v>293683.59999999998</v>
      </c>
      <c r="E59" s="104">
        <f t="shared" si="19"/>
        <v>0</v>
      </c>
      <c r="F59" s="110">
        <v>28137.119999999999</v>
      </c>
      <c r="G59" s="111">
        <v>0</v>
      </c>
      <c r="H59" s="10">
        <f t="shared" si="20"/>
        <v>0</v>
      </c>
      <c r="I59" s="104">
        <v>293828.90000000002</v>
      </c>
      <c r="J59" s="106">
        <f>I59-D59</f>
        <v>145.30000000004657</v>
      </c>
      <c r="K59" s="110">
        <v>28151.35</v>
      </c>
      <c r="L59" s="107">
        <f t="shared" si="22"/>
        <v>14.229999999999563</v>
      </c>
      <c r="M59" s="111">
        <v>255</v>
      </c>
      <c r="N59" s="28">
        <f t="shared" si="23"/>
        <v>0.5698039215688101</v>
      </c>
      <c r="O59" s="84">
        <f t="shared" si="24"/>
        <v>145.30000000004657</v>
      </c>
      <c r="P59" s="79">
        <f t="shared" si="25"/>
        <v>255</v>
      </c>
      <c r="Q59" s="34">
        <f t="shared" si="26"/>
        <v>0.5698039215688101</v>
      </c>
      <c r="R59" s="1">
        <v>35</v>
      </c>
      <c r="AA59" s="101"/>
    </row>
    <row r="60" spans="1:27" ht="24" customHeight="1">
      <c r="A60" s="81">
        <v>10</v>
      </c>
      <c r="B60" s="31" t="s">
        <v>55</v>
      </c>
      <c r="C60" s="104">
        <v>298907.40000000002</v>
      </c>
      <c r="D60" s="104">
        <v>298907.40000000002</v>
      </c>
      <c r="E60" s="104">
        <f t="shared" si="19"/>
        <v>0</v>
      </c>
      <c r="F60" s="110">
        <v>27086</v>
      </c>
      <c r="G60" s="111">
        <v>0</v>
      </c>
      <c r="H60" s="10">
        <f t="shared" si="20"/>
        <v>0</v>
      </c>
      <c r="I60" s="104">
        <v>298907.40000000002</v>
      </c>
      <c r="J60" s="106">
        <f>I60-D60</f>
        <v>0</v>
      </c>
      <c r="K60" s="110">
        <v>27086</v>
      </c>
      <c r="L60" s="107">
        <f t="shared" si="22"/>
        <v>0</v>
      </c>
      <c r="M60" s="111">
        <v>0</v>
      </c>
      <c r="N60" s="28">
        <f t="shared" si="23"/>
        <v>0</v>
      </c>
      <c r="O60" s="84">
        <f t="shared" si="24"/>
        <v>0</v>
      </c>
      <c r="P60" s="79">
        <f t="shared" si="25"/>
        <v>0</v>
      </c>
      <c r="Q60" s="34">
        <f t="shared" si="26"/>
        <v>0</v>
      </c>
      <c r="R60" s="1">
        <v>0</v>
      </c>
      <c r="AA60" s="101"/>
    </row>
    <row r="61" spans="1:27" ht="24" customHeight="1">
      <c r="A61" s="81">
        <v>11</v>
      </c>
      <c r="B61" s="31" t="s">
        <v>56</v>
      </c>
      <c r="C61" s="104">
        <v>341410.8</v>
      </c>
      <c r="D61" s="104">
        <v>341410.8</v>
      </c>
      <c r="E61" s="104">
        <f t="shared" si="19"/>
        <v>0</v>
      </c>
      <c r="F61" s="110">
        <v>26986.34</v>
      </c>
      <c r="G61" s="111">
        <v>0</v>
      </c>
      <c r="H61" s="10">
        <f t="shared" si="20"/>
        <v>0</v>
      </c>
      <c r="I61" s="104">
        <v>341478.1</v>
      </c>
      <c r="J61" s="106">
        <f>I61-D61</f>
        <v>67.299999999988358</v>
      </c>
      <c r="K61" s="110">
        <v>26993.15</v>
      </c>
      <c r="L61" s="107">
        <f t="shared" si="22"/>
        <v>6.8100000000013097</v>
      </c>
      <c r="M61" s="111">
        <v>92</v>
      </c>
      <c r="N61" s="28">
        <f t="shared" si="23"/>
        <v>0.73152173913030827</v>
      </c>
      <c r="O61" s="84">
        <f t="shared" si="24"/>
        <v>67.299999999988358</v>
      </c>
      <c r="P61" s="79">
        <f t="shared" si="25"/>
        <v>92</v>
      </c>
      <c r="Q61" s="34">
        <f t="shared" si="26"/>
        <v>0.73152173913030827</v>
      </c>
      <c r="R61" s="1">
        <v>35</v>
      </c>
      <c r="AA61" s="101"/>
    </row>
    <row r="62" spans="1:27" ht="24" customHeight="1">
      <c r="A62" s="81">
        <v>12</v>
      </c>
      <c r="B62" s="31" t="s">
        <v>57</v>
      </c>
      <c r="C62" s="104">
        <v>344722</v>
      </c>
      <c r="D62" s="104">
        <v>344821.8</v>
      </c>
      <c r="E62" s="104">
        <f t="shared" si="19"/>
        <v>99.799999999988358</v>
      </c>
      <c r="F62" s="110">
        <v>26806.48</v>
      </c>
      <c r="G62" s="111">
        <v>119.25</v>
      </c>
      <c r="H62" s="10">
        <f t="shared" si="20"/>
        <v>0.8368972746330261</v>
      </c>
      <c r="I62" s="104">
        <v>344851</v>
      </c>
      <c r="J62" s="106">
        <f>I62-D62</f>
        <v>29.200000000011642</v>
      </c>
      <c r="K62" s="110">
        <v>26821.54</v>
      </c>
      <c r="L62" s="107">
        <f t="shared" si="22"/>
        <v>15.06000000000131</v>
      </c>
      <c r="M62" s="111">
        <v>90</v>
      </c>
      <c r="N62" s="28">
        <f t="shared" si="23"/>
        <v>0.32444444444457382</v>
      </c>
      <c r="O62" s="84">
        <f t="shared" si="24"/>
        <v>129</v>
      </c>
      <c r="P62" s="79">
        <f t="shared" si="25"/>
        <v>209.25</v>
      </c>
      <c r="Q62" s="34">
        <f t="shared" si="26"/>
        <v>0.61648745519713266</v>
      </c>
      <c r="R62" s="1">
        <v>51</v>
      </c>
      <c r="AA62" s="101"/>
    </row>
    <row r="63" spans="1:27" ht="24" customHeight="1">
      <c r="A63" s="81">
        <v>13</v>
      </c>
      <c r="B63" s="31" t="s">
        <v>58</v>
      </c>
      <c r="C63" s="35">
        <v>301218</v>
      </c>
      <c r="D63" s="35">
        <v>301248.59999999998</v>
      </c>
      <c r="E63" s="104">
        <f t="shared" si="19"/>
        <v>30.599999999976717</v>
      </c>
      <c r="F63" s="110">
        <v>26777.42</v>
      </c>
      <c r="G63" s="111">
        <v>57</v>
      </c>
      <c r="H63" s="10">
        <f t="shared" si="20"/>
        <v>0.53684210526274945</v>
      </c>
      <c r="I63" s="35">
        <v>301270.59999999998</v>
      </c>
      <c r="J63" s="106">
        <f t="shared" si="21"/>
        <v>22</v>
      </c>
      <c r="K63" s="110">
        <v>26793</v>
      </c>
      <c r="L63" s="107">
        <f t="shared" si="22"/>
        <v>15.580000000001746</v>
      </c>
      <c r="M63" s="112">
        <v>41</v>
      </c>
      <c r="N63" s="28">
        <f>IFERROR(J63/M63,0)</f>
        <v>0.53658536585365857</v>
      </c>
      <c r="O63" s="84">
        <f t="shared" si="24"/>
        <v>52.599999999976717</v>
      </c>
      <c r="P63" s="79">
        <f t="shared" si="25"/>
        <v>98</v>
      </c>
      <c r="Q63" s="34">
        <f t="shared" si="26"/>
        <v>0.53673469387731343</v>
      </c>
      <c r="R63" s="1">
        <v>73</v>
      </c>
      <c r="U63" s="113"/>
    </row>
    <row r="64" spans="1:27" ht="24" customHeight="1">
      <c r="A64" s="81">
        <v>14</v>
      </c>
      <c r="B64" s="31" t="s">
        <v>59</v>
      </c>
      <c r="C64" s="35">
        <v>273403.09999999998</v>
      </c>
      <c r="D64" s="35">
        <v>273403.09999999998</v>
      </c>
      <c r="E64" s="104">
        <f t="shared" si="19"/>
        <v>0</v>
      </c>
      <c r="F64" s="110">
        <v>25563.040000000001</v>
      </c>
      <c r="G64" s="111">
        <v>0</v>
      </c>
      <c r="H64" s="10">
        <f t="shared" si="20"/>
        <v>0</v>
      </c>
      <c r="I64" s="35">
        <v>273403.09999999998</v>
      </c>
      <c r="J64" s="106">
        <f>I64-D64</f>
        <v>0</v>
      </c>
      <c r="K64" s="110">
        <v>25563.040000000001</v>
      </c>
      <c r="L64" s="107">
        <f t="shared" si="22"/>
        <v>0</v>
      </c>
      <c r="M64" s="111">
        <v>0</v>
      </c>
      <c r="N64" s="28">
        <f>IFERROR(J64/M64,0)</f>
        <v>0</v>
      </c>
      <c r="O64" s="84">
        <f t="shared" si="24"/>
        <v>0</v>
      </c>
      <c r="P64" s="79">
        <f t="shared" si="25"/>
        <v>0</v>
      </c>
      <c r="Q64" s="34">
        <f t="shared" si="26"/>
        <v>0</v>
      </c>
      <c r="R64" s="1">
        <v>15</v>
      </c>
      <c r="X64" t="s">
        <v>60</v>
      </c>
    </row>
    <row r="65" spans="1:18" ht="24" customHeight="1">
      <c r="A65" s="81">
        <v>15</v>
      </c>
      <c r="B65" s="31" t="s">
        <v>61</v>
      </c>
      <c r="C65" s="104">
        <v>286500.40000000002</v>
      </c>
      <c r="D65" s="104">
        <v>286524.59999999998</v>
      </c>
      <c r="E65" s="104">
        <f t="shared" si="19"/>
        <v>24.199999999953434</v>
      </c>
      <c r="F65" s="110">
        <v>26741.06</v>
      </c>
      <c r="G65" s="111">
        <v>46</v>
      </c>
      <c r="H65" s="10">
        <f t="shared" si="20"/>
        <v>0.52608695652072679</v>
      </c>
      <c r="I65" s="104">
        <v>286571.5</v>
      </c>
      <c r="J65" s="106">
        <f>I65-D65</f>
        <v>46.900000000023283</v>
      </c>
      <c r="K65" s="110">
        <v>26757.26</v>
      </c>
      <c r="L65" s="107">
        <f t="shared" si="22"/>
        <v>16.19999999999709</v>
      </c>
      <c r="M65" s="112">
        <v>102</v>
      </c>
      <c r="N65" s="28">
        <f t="shared" si="23"/>
        <v>0.45980392156885569</v>
      </c>
      <c r="O65" s="84">
        <f t="shared" si="24"/>
        <v>71.099999999976717</v>
      </c>
      <c r="P65" s="79">
        <f t="shared" si="25"/>
        <v>148</v>
      </c>
      <c r="Q65" s="34">
        <f t="shared" si="26"/>
        <v>0.48040540540524806</v>
      </c>
      <c r="R65" s="1">
        <v>40</v>
      </c>
    </row>
    <row r="66" spans="1:18" ht="24" customHeight="1">
      <c r="A66" s="81">
        <v>16</v>
      </c>
      <c r="B66" s="31" t="s">
        <v>62</v>
      </c>
      <c r="C66" s="35">
        <v>304591</v>
      </c>
      <c r="D66" s="35">
        <v>304591</v>
      </c>
      <c r="E66" s="104">
        <f t="shared" si="19"/>
        <v>0</v>
      </c>
      <c r="F66" s="110">
        <v>27407.27</v>
      </c>
      <c r="G66" s="111">
        <v>0</v>
      </c>
      <c r="H66" s="10">
        <f t="shared" si="20"/>
        <v>0</v>
      </c>
      <c r="I66" s="35">
        <v>304591</v>
      </c>
      <c r="J66" s="106">
        <f t="shared" si="21"/>
        <v>0</v>
      </c>
      <c r="K66" s="110">
        <v>27407.27</v>
      </c>
      <c r="L66" s="107">
        <f t="shared" si="22"/>
        <v>0</v>
      </c>
      <c r="M66" s="112">
        <v>0</v>
      </c>
      <c r="N66" s="28">
        <f t="shared" si="23"/>
        <v>0</v>
      </c>
      <c r="O66" s="84">
        <f t="shared" si="24"/>
        <v>0</v>
      </c>
      <c r="P66" s="79">
        <f t="shared" si="25"/>
        <v>0</v>
      </c>
      <c r="Q66" s="34">
        <f t="shared" si="26"/>
        <v>0</v>
      </c>
      <c r="R66" s="1">
        <v>0</v>
      </c>
    </row>
    <row r="67" spans="1:18" ht="24" customHeight="1">
      <c r="A67" s="81">
        <v>17</v>
      </c>
      <c r="B67" s="31" t="s">
        <v>158</v>
      </c>
      <c r="C67" s="17">
        <v>275956</v>
      </c>
      <c r="D67" s="17">
        <v>276019</v>
      </c>
      <c r="E67" s="104">
        <f t="shared" si="19"/>
        <v>63</v>
      </c>
      <c r="F67" s="110">
        <v>25171</v>
      </c>
      <c r="G67" s="111">
        <v>99</v>
      </c>
      <c r="H67" s="10">
        <f t="shared" si="20"/>
        <v>0.63636363636363635</v>
      </c>
      <c r="I67" s="17">
        <v>276044</v>
      </c>
      <c r="J67" s="106">
        <f t="shared" si="21"/>
        <v>25</v>
      </c>
      <c r="K67" s="110">
        <v>25183</v>
      </c>
      <c r="L67" s="107">
        <f t="shared" si="22"/>
        <v>12</v>
      </c>
      <c r="M67" s="111">
        <v>50</v>
      </c>
      <c r="N67" s="28">
        <f t="shared" si="23"/>
        <v>0.5</v>
      </c>
      <c r="O67" s="84">
        <f t="shared" si="24"/>
        <v>88</v>
      </c>
      <c r="P67" s="79">
        <f t="shared" si="25"/>
        <v>149</v>
      </c>
      <c r="Q67" s="34">
        <f t="shared" si="26"/>
        <v>0.59060402684563762</v>
      </c>
      <c r="R67" s="1">
        <v>32</v>
      </c>
    </row>
    <row r="68" spans="1:18" ht="24" customHeight="1">
      <c r="A68" s="81">
        <v>18</v>
      </c>
      <c r="B68" s="31" t="s">
        <v>159</v>
      </c>
      <c r="C68" s="17">
        <v>279389</v>
      </c>
      <c r="D68" s="17">
        <v>279389</v>
      </c>
      <c r="E68" s="104">
        <f t="shared" si="19"/>
        <v>0</v>
      </c>
      <c r="F68" s="110">
        <v>26027</v>
      </c>
      <c r="G68" s="111">
        <v>0</v>
      </c>
      <c r="H68" s="10">
        <f t="shared" si="20"/>
        <v>0</v>
      </c>
      <c r="I68" s="17">
        <v>279499</v>
      </c>
      <c r="J68" s="106">
        <f t="shared" si="21"/>
        <v>110</v>
      </c>
      <c r="K68" s="110">
        <v>26037</v>
      </c>
      <c r="L68" s="107">
        <f t="shared" si="22"/>
        <v>10</v>
      </c>
      <c r="M68" s="111">
        <v>167</v>
      </c>
      <c r="N68" s="28">
        <f t="shared" si="23"/>
        <v>0.6586826347305389</v>
      </c>
      <c r="O68" s="84">
        <f t="shared" si="24"/>
        <v>110</v>
      </c>
      <c r="P68" s="79">
        <f t="shared" si="25"/>
        <v>167</v>
      </c>
      <c r="Q68" s="34">
        <f t="shared" si="26"/>
        <v>0.6586826347305389</v>
      </c>
      <c r="R68" s="1">
        <v>19</v>
      </c>
    </row>
    <row r="69" spans="1:18" ht="24" customHeight="1">
      <c r="A69" s="81">
        <v>19</v>
      </c>
      <c r="B69" s="31" t="s">
        <v>160</v>
      </c>
      <c r="C69" s="17">
        <v>306374</v>
      </c>
      <c r="D69" s="17">
        <v>306374</v>
      </c>
      <c r="E69" s="104">
        <f t="shared" si="19"/>
        <v>0</v>
      </c>
      <c r="F69" s="110">
        <v>25211</v>
      </c>
      <c r="G69" s="111">
        <v>0</v>
      </c>
      <c r="H69" s="10">
        <f t="shared" si="20"/>
        <v>0</v>
      </c>
      <c r="I69" s="17">
        <v>306486</v>
      </c>
      <c r="J69" s="106">
        <f t="shared" si="21"/>
        <v>112</v>
      </c>
      <c r="K69" s="110">
        <v>25222</v>
      </c>
      <c r="L69" s="107">
        <f t="shared" si="22"/>
        <v>11</v>
      </c>
      <c r="M69" s="111">
        <v>173</v>
      </c>
      <c r="N69" s="28">
        <f t="shared" si="23"/>
        <v>0.64739884393063585</v>
      </c>
      <c r="O69" s="84">
        <f t="shared" si="24"/>
        <v>112</v>
      </c>
      <c r="P69" s="79">
        <f t="shared" si="25"/>
        <v>173</v>
      </c>
      <c r="Q69" s="34">
        <f t="shared" si="26"/>
        <v>0.64739884393063585</v>
      </c>
      <c r="R69" s="1">
        <v>12</v>
      </c>
    </row>
    <row r="70" spans="1:18" ht="24" customHeight="1">
      <c r="A70" s="81">
        <v>20</v>
      </c>
      <c r="B70" s="31" t="s">
        <v>161</v>
      </c>
      <c r="C70" s="17">
        <v>305675</v>
      </c>
      <c r="D70" s="17">
        <v>305698</v>
      </c>
      <c r="E70" s="104">
        <f t="shared" si="19"/>
        <v>23</v>
      </c>
      <c r="F70" s="110">
        <v>25539</v>
      </c>
      <c r="G70" s="116">
        <v>123</v>
      </c>
      <c r="H70" s="10">
        <f t="shared" si="20"/>
        <v>0.18699186991869918</v>
      </c>
      <c r="I70" s="17">
        <v>305776</v>
      </c>
      <c r="J70" s="106">
        <f t="shared" si="21"/>
        <v>78</v>
      </c>
      <c r="K70" s="110">
        <v>25553</v>
      </c>
      <c r="L70" s="107">
        <f t="shared" si="22"/>
        <v>14</v>
      </c>
      <c r="M70" s="111">
        <v>143</v>
      </c>
      <c r="N70" s="28">
        <f t="shared" si="23"/>
        <v>0.54545454545454541</v>
      </c>
      <c r="O70" s="84">
        <f t="shared" si="24"/>
        <v>101</v>
      </c>
      <c r="P70" s="79">
        <f t="shared" si="25"/>
        <v>266</v>
      </c>
      <c r="Q70" s="34">
        <f t="shared" si="26"/>
        <v>0.37969924812030076</v>
      </c>
      <c r="R70" s="1">
        <v>19</v>
      </c>
    </row>
    <row r="71" spans="1:18" ht="24" customHeight="1">
      <c r="A71" s="81">
        <v>21</v>
      </c>
      <c r="B71" s="31" t="s">
        <v>162</v>
      </c>
      <c r="C71" s="17">
        <v>322291</v>
      </c>
      <c r="D71" s="17">
        <v>322291</v>
      </c>
      <c r="E71" s="104">
        <f t="shared" si="19"/>
        <v>0</v>
      </c>
      <c r="F71" s="110">
        <v>26739</v>
      </c>
      <c r="G71" s="111">
        <v>0</v>
      </c>
      <c r="H71" s="10">
        <f t="shared" si="20"/>
        <v>0</v>
      </c>
      <c r="I71" s="17">
        <v>322291</v>
      </c>
      <c r="J71" s="106">
        <f t="shared" si="21"/>
        <v>0</v>
      </c>
      <c r="K71" s="110">
        <v>26739</v>
      </c>
      <c r="L71" s="107">
        <f t="shared" si="22"/>
        <v>0</v>
      </c>
      <c r="M71" s="111">
        <v>0</v>
      </c>
      <c r="N71" s="28">
        <f t="shared" si="23"/>
        <v>0</v>
      </c>
      <c r="O71" s="84">
        <f t="shared" si="24"/>
        <v>0</v>
      </c>
      <c r="P71" s="79">
        <f t="shared" si="25"/>
        <v>0</v>
      </c>
      <c r="Q71" s="34">
        <f t="shared" si="26"/>
        <v>0</v>
      </c>
      <c r="R71" s="1">
        <v>0</v>
      </c>
    </row>
    <row r="72" spans="1:18" ht="24" customHeight="1">
      <c r="A72" s="81">
        <v>22</v>
      </c>
      <c r="B72" s="31" t="s">
        <v>68</v>
      </c>
      <c r="C72" s="17">
        <v>277834.40000000002</v>
      </c>
      <c r="D72" s="17">
        <v>277834.40000000002</v>
      </c>
      <c r="E72" s="104">
        <f t="shared" si="19"/>
        <v>0</v>
      </c>
      <c r="F72" s="110">
        <v>22564</v>
      </c>
      <c r="G72" s="111">
        <v>0</v>
      </c>
      <c r="H72" s="10">
        <f t="shared" si="20"/>
        <v>0</v>
      </c>
      <c r="I72" s="17">
        <v>277945</v>
      </c>
      <c r="J72" s="106">
        <f t="shared" si="21"/>
        <v>110.59999999997672</v>
      </c>
      <c r="K72" s="110">
        <v>22572</v>
      </c>
      <c r="L72" s="107">
        <f t="shared" si="22"/>
        <v>8</v>
      </c>
      <c r="M72" s="112">
        <v>186</v>
      </c>
      <c r="N72" s="28">
        <f t="shared" si="23"/>
        <v>0.59462365591385336</v>
      </c>
      <c r="O72" s="84">
        <f t="shared" si="24"/>
        <v>110.59999999997672</v>
      </c>
      <c r="P72" s="79">
        <f t="shared" si="25"/>
        <v>186</v>
      </c>
      <c r="Q72" s="34">
        <f t="shared" si="26"/>
        <v>0.59462365591385336</v>
      </c>
      <c r="R72" s="1">
        <v>26</v>
      </c>
    </row>
    <row r="73" spans="1:18" ht="24" customHeight="1">
      <c r="A73" s="81">
        <v>23</v>
      </c>
      <c r="B73" s="31" t="s">
        <v>69</v>
      </c>
      <c r="C73" s="17">
        <v>259827.5</v>
      </c>
      <c r="D73" s="17">
        <v>259868.9</v>
      </c>
      <c r="E73" s="104">
        <f t="shared" si="19"/>
        <v>41.399999999994179</v>
      </c>
      <c r="F73" s="110">
        <v>19925</v>
      </c>
      <c r="G73" s="111">
        <v>87.16</v>
      </c>
      <c r="H73" s="10">
        <f t="shared" si="20"/>
        <v>0.47498852684711085</v>
      </c>
      <c r="I73" s="17">
        <v>259948.3</v>
      </c>
      <c r="J73" s="106">
        <f t="shared" si="21"/>
        <v>79.399999999994179</v>
      </c>
      <c r="K73" s="110">
        <v>19938</v>
      </c>
      <c r="L73" s="107">
        <f t="shared" si="22"/>
        <v>13</v>
      </c>
      <c r="M73" s="112">
        <v>38</v>
      </c>
      <c r="N73" s="28">
        <f t="shared" si="23"/>
        <v>2.0894736842103732</v>
      </c>
      <c r="O73" s="84">
        <f t="shared" si="24"/>
        <v>120.79999999998836</v>
      </c>
      <c r="P73" s="79">
        <f t="shared" si="25"/>
        <v>125.16</v>
      </c>
      <c r="Q73" s="34">
        <f t="shared" si="26"/>
        <v>0.96516458932557014</v>
      </c>
      <c r="R73" s="1">
        <v>9</v>
      </c>
    </row>
    <row r="74" spans="1:18" ht="24" customHeight="1">
      <c r="A74" s="81">
        <v>24</v>
      </c>
      <c r="B74" s="31" t="s">
        <v>70</v>
      </c>
      <c r="C74" s="104">
        <v>304340</v>
      </c>
      <c r="D74" s="104">
        <v>304362.7</v>
      </c>
      <c r="E74" s="104">
        <f t="shared" si="19"/>
        <v>22.700000000011642</v>
      </c>
      <c r="F74" s="110">
        <v>5102</v>
      </c>
      <c r="G74" s="111">
        <v>45</v>
      </c>
      <c r="H74" s="10">
        <f t="shared" si="20"/>
        <v>0.50444444444470316</v>
      </c>
      <c r="I74" s="104">
        <v>304407.3</v>
      </c>
      <c r="J74" s="106">
        <f t="shared" si="21"/>
        <v>44.599999999976717</v>
      </c>
      <c r="K74" s="110">
        <v>5119</v>
      </c>
      <c r="L74" s="107">
        <f t="shared" si="22"/>
        <v>17</v>
      </c>
      <c r="M74" s="111">
        <v>91</v>
      </c>
      <c r="N74" s="28">
        <f t="shared" si="23"/>
        <v>0.49010989010963424</v>
      </c>
      <c r="O74" s="84">
        <f t="shared" si="24"/>
        <v>67.299999999988358</v>
      </c>
      <c r="P74" s="79">
        <f t="shared" si="25"/>
        <v>136</v>
      </c>
      <c r="Q74" s="34">
        <f t="shared" si="26"/>
        <v>0.49485294117638501</v>
      </c>
      <c r="R74" s="1">
        <v>51</v>
      </c>
    </row>
    <row r="75" spans="1:18" ht="24" customHeight="1">
      <c r="A75" s="81">
        <v>25</v>
      </c>
      <c r="B75" s="31" t="s">
        <v>71</v>
      </c>
      <c r="C75" s="35">
        <v>314241</v>
      </c>
      <c r="D75" s="35">
        <v>314288</v>
      </c>
      <c r="E75" s="104">
        <f t="shared" si="19"/>
        <v>47</v>
      </c>
      <c r="F75" s="110">
        <v>22992</v>
      </c>
      <c r="G75" s="111">
        <v>79</v>
      </c>
      <c r="H75" s="10">
        <f t="shared" si="20"/>
        <v>0.59493670886075944</v>
      </c>
      <c r="I75" s="35">
        <v>314366.40000000002</v>
      </c>
      <c r="J75" s="106">
        <f t="shared" si="21"/>
        <v>78.400000000023283</v>
      </c>
      <c r="K75" s="110">
        <v>23010</v>
      </c>
      <c r="L75" s="107">
        <f t="shared" si="22"/>
        <v>18</v>
      </c>
      <c r="M75" s="111">
        <v>146</v>
      </c>
      <c r="N75" s="28">
        <f>IFERROR(J75/M75,0)</f>
        <v>0.53698630137002246</v>
      </c>
      <c r="O75" s="84">
        <f t="shared" si="24"/>
        <v>125.40000000002328</v>
      </c>
      <c r="P75" s="79">
        <f>G75+M75</f>
        <v>225</v>
      </c>
      <c r="Q75" s="34">
        <f t="shared" si="26"/>
        <v>0.55733333333343682</v>
      </c>
      <c r="R75" s="1">
        <v>40</v>
      </c>
    </row>
    <row r="76" spans="1:18" ht="24" customHeight="1">
      <c r="A76" s="81">
        <v>26</v>
      </c>
      <c r="B76" s="31" t="s">
        <v>72</v>
      </c>
      <c r="C76" s="35">
        <v>284922.59999999998</v>
      </c>
      <c r="D76" s="35">
        <v>284969.90000000002</v>
      </c>
      <c r="E76" s="104">
        <f t="shared" si="19"/>
        <v>47.300000000046566</v>
      </c>
      <c r="F76" s="110">
        <v>20619</v>
      </c>
      <c r="G76" s="111">
        <v>94.05</v>
      </c>
      <c r="H76" s="10">
        <f t="shared" si="20"/>
        <v>0.50292397660868227</v>
      </c>
      <c r="I76" s="35">
        <v>285063.8</v>
      </c>
      <c r="J76" s="106">
        <f t="shared" si="21"/>
        <v>93.899999999965075</v>
      </c>
      <c r="K76" s="110">
        <v>20635</v>
      </c>
      <c r="L76" s="107">
        <f t="shared" si="22"/>
        <v>16</v>
      </c>
      <c r="M76" s="112">
        <v>147</v>
      </c>
      <c r="N76" s="28">
        <f t="shared" si="23"/>
        <v>0.63877551020384404</v>
      </c>
      <c r="O76" s="84">
        <f t="shared" si="24"/>
        <v>141.20000000001164</v>
      </c>
      <c r="P76" s="79">
        <f t="shared" si="25"/>
        <v>241.05</v>
      </c>
      <c r="Q76" s="34">
        <f t="shared" si="26"/>
        <v>0.58577058701519036</v>
      </c>
      <c r="R76" s="1">
        <v>32</v>
      </c>
    </row>
    <row r="77" spans="1:18" ht="24" customHeight="1">
      <c r="A77" s="81">
        <v>27</v>
      </c>
      <c r="B77" s="31" t="s">
        <v>73</v>
      </c>
      <c r="C77" s="104">
        <v>313229.2</v>
      </c>
      <c r="D77" s="104">
        <v>313274.3</v>
      </c>
      <c r="E77" s="104">
        <f t="shared" si="19"/>
        <v>45.099999999976717</v>
      </c>
      <c r="F77" s="110">
        <v>22754</v>
      </c>
      <c r="G77" s="111">
        <v>78.239999999999995</v>
      </c>
      <c r="H77" s="10">
        <f t="shared" si="20"/>
        <v>0.57643149284223827</v>
      </c>
      <c r="I77" s="104">
        <v>313387.59999999998</v>
      </c>
      <c r="J77" s="106">
        <f t="shared" si="21"/>
        <v>113.29999999998836</v>
      </c>
      <c r="K77" s="110">
        <v>22770</v>
      </c>
      <c r="L77" s="107">
        <f t="shared" si="22"/>
        <v>16</v>
      </c>
      <c r="M77" s="112">
        <v>161</v>
      </c>
      <c r="N77" s="28">
        <f t="shared" si="23"/>
        <v>0.7037267080744618</v>
      </c>
      <c r="O77" s="84">
        <f t="shared" si="24"/>
        <v>158.39999999996508</v>
      </c>
      <c r="P77" s="79">
        <f t="shared" si="25"/>
        <v>239.24</v>
      </c>
      <c r="Q77" s="34">
        <f t="shared" si="26"/>
        <v>0.66209663935782093</v>
      </c>
      <c r="R77" s="1">
        <v>38</v>
      </c>
    </row>
    <row r="78" spans="1:18" ht="24" customHeight="1">
      <c r="A78" s="81">
        <v>28</v>
      </c>
      <c r="B78" s="31" t="s">
        <v>74</v>
      </c>
      <c r="C78" s="35">
        <v>283406.7</v>
      </c>
      <c r="D78" s="35">
        <v>283450.59999999998</v>
      </c>
      <c r="E78" s="104">
        <f t="shared" si="19"/>
        <v>43.899999999965075</v>
      </c>
      <c r="F78" s="110">
        <v>4276</v>
      </c>
      <c r="G78" s="111">
        <v>92</v>
      </c>
      <c r="H78" s="10">
        <f t="shared" si="20"/>
        <v>0.47717391304309864</v>
      </c>
      <c r="I78" s="35">
        <v>283543.5</v>
      </c>
      <c r="J78" s="106">
        <f t="shared" si="21"/>
        <v>92.900000000023283</v>
      </c>
      <c r="K78" s="110">
        <v>4293</v>
      </c>
      <c r="L78" s="107">
        <f>K78-F78</f>
        <v>17</v>
      </c>
      <c r="M78" s="111">
        <v>180</v>
      </c>
      <c r="N78" s="28">
        <f t="shared" si="23"/>
        <v>0.51611111111124042</v>
      </c>
      <c r="O78" s="84">
        <f t="shared" si="24"/>
        <v>136.79999999998836</v>
      </c>
      <c r="P78" s="79">
        <f t="shared" si="25"/>
        <v>272</v>
      </c>
      <c r="Q78" s="34">
        <f t="shared" si="26"/>
        <v>0.50294117647054548</v>
      </c>
      <c r="R78" s="1">
        <v>44</v>
      </c>
    </row>
    <row r="79" spans="1:18" ht="24" customHeight="1">
      <c r="A79" s="81">
        <v>29</v>
      </c>
      <c r="B79" s="31" t="s">
        <v>75</v>
      </c>
      <c r="C79" s="104">
        <v>301315.59999999998</v>
      </c>
      <c r="D79" s="104">
        <v>301351.09999999998</v>
      </c>
      <c r="E79" s="104">
        <f t="shared" si="19"/>
        <v>35.5</v>
      </c>
      <c r="F79" s="110">
        <v>21704</v>
      </c>
      <c r="G79" s="111">
        <v>62</v>
      </c>
      <c r="H79" s="10">
        <f t="shared" si="20"/>
        <v>0.57258064516129037</v>
      </c>
      <c r="I79" s="104">
        <v>301409.40000000002</v>
      </c>
      <c r="J79" s="106">
        <f t="shared" si="21"/>
        <v>58.300000000046566</v>
      </c>
      <c r="K79" s="110">
        <v>21720</v>
      </c>
      <c r="L79" s="107">
        <f t="shared" si="22"/>
        <v>16</v>
      </c>
      <c r="M79" s="112">
        <v>110</v>
      </c>
      <c r="N79" s="28">
        <f t="shared" si="23"/>
        <v>0.53000000000042335</v>
      </c>
      <c r="O79" s="84">
        <f t="shared" si="24"/>
        <v>93.800000000046566</v>
      </c>
      <c r="P79" s="79">
        <f t="shared" si="25"/>
        <v>172</v>
      </c>
      <c r="Q79" s="34">
        <f t="shared" si="26"/>
        <v>0.54534883720957306</v>
      </c>
      <c r="R79" s="1">
        <v>38</v>
      </c>
    </row>
    <row r="80" spans="1:18" ht="24" customHeight="1">
      <c r="A80" s="81">
        <v>30</v>
      </c>
      <c r="B80" s="31" t="s">
        <v>76</v>
      </c>
      <c r="C80" s="104">
        <v>265865.59999999998</v>
      </c>
      <c r="D80" s="104">
        <v>265898.8</v>
      </c>
      <c r="E80" s="104">
        <f t="shared" si="19"/>
        <v>33.200000000011642</v>
      </c>
      <c r="F80" s="110">
        <v>19653</v>
      </c>
      <c r="G80" s="111">
        <v>66</v>
      </c>
      <c r="H80" s="10">
        <f t="shared" si="20"/>
        <v>0.50303030303047946</v>
      </c>
      <c r="I80" s="104">
        <v>265970.2</v>
      </c>
      <c r="J80" s="106">
        <f t="shared" si="21"/>
        <v>71.400000000023283</v>
      </c>
      <c r="K80" s="110">
        <v>19668</v>
      </c>
      <c r="L80" s="107">
        <f t="shared" si="22"/>
        <v>15</v>
      </c>
      <c r="M80" s="111">
        <v>111</v>
      </c>
      <c r="N80" s="28">
        <f t="shared" si="23"/>
        <v>0.64324324324345306</v>
      </c>
      <c r="O80" s="84">
        <f t="shared" si="24"/>
        <v>104.60000000003492</v>
      </c>
      <c r="P80" s="79">
        <f t="shared" si="25"/>
        <v>177</v>
      </c>
      <c r="Q80" s="34">
        <f t="shared" si="26"/>
        <v>0.59096045197759839</v>
      </c>
      <c r="R80" s="1">
        <v>32</v>
      </c>
    </row>
    <row r="81" spans="1:18" ht="24" customHeight="1">
      <c r="A81" s="81">
        <v>31</v>
      </c>
      <c r="B81" s="31" t="s">
        <v>77</v>
      </c>
      <c r="C81" s="83">
        <v>263695.2</v>
      </c>
      <c r="D81" s="83">
        <v>263735.8</v>
      </c>
      <c r="E81" s="104">
        <f t="shared" si="19"/>
        <v>40.599999999976717</v>
      </c>
      <c r="F81" s="110">
        <v>19334</v>
      </c>
      <c r="G81" s="111">
        <v>76</v>
      </c>
      <c r="H81" s="10">
        <f t="shared" si="20"/>
        <v>0.53421052631548316</v>
      </c>
      <c r="I81" s="83">
        <v>263797.59999999998</v>
      </c>
      <c r="J81" s="106">
        <f t="shared" si="21"/>
        <v>61.799999999988358</v>
      </c>
      <c r="K81" s="110">
        <v>19351</v>
      </c>
      <c r="L81" s="107">
        <f>K81-F81</f>
        <v>17</v>
      </c>
      <c r="M81" s="111">
        <v>140</v>
      </c>
      <c r="N81" s="28">
        <f t="shared" si="23"/>
        <v>0.44142857142848829</v>
      </c>
      <c r="O81" s="84">
        <f t="shared" si="24"/>
        <v>102.39999999996508</v>
      </c>
      <c r="P81" s="79">
        <f t="shared" si="25"/>
        <v>216</v>
      </c>
      <c r="Q81" s="34">
        <f t="shared" si="26"/>
        <v>0.47407407407391239</v>
      </c>
      <c r="R81" s="1">
        <v>42</v>
      </c>
    </row>
    <row r="82" spans="1:18" ht="24" customHeight="1">
      <c r="A82" s="81">
        <v>32</v>
      </c>
      <c r="B82" s="31" t="s">
        <v>78</v>
      </c>
      <c r="C82" s="104">
        <v>289742.09999999998</v>
      </c>
      <c r="D82" s="104">
        <v>289775.5</v>
      </c>
      <c r="E82" s="104">
        <f t="shared" si="19"/>
        <v>33.400000000023283</v>
      </c>
      <c r="F82" s="110">
        <v>20928</v>
      </c>
      <c r="G82" s="111">
        <v>58</v>
      </c>
      <c r="H82" s="10">
        <f t="shared" si="20"/>
        <v>0.57586206896591863</v>
      </c>
      <c r="I82" s="104">
        <v>289833.3</v>
      </c>
      <c r="J82" s="106">
        <f t="shared" si="21"/>
        <v>57.799999999988358</v>
      </c>
      <c r="K82" s="110">
        <v>20945</v>
      </c>
      <c r="L82" s="107">
        <f t="shared" si="22"/>
        <v>17</v>
      </c>
      <c r="M82" s="111">
        <v>94</v>
      </c>
      <c r="N82" s="28">
        <f t="shared" si="23"/>
        <v>0.61489361702115275</v>
      </c>
      <c r="O82" s="84">
        <f t="shared" si="24"/>
        <v>91.200000000011642</v>
      </c>
      <c r="P82" s="79">
        <f t="shared" si="25"/>
        <v>152</v>
      </c>
      <c r="Q82" s="34">
        <f t="shared" si="26"/>
        <v>0.60000000000007658</v>
      </c>
      <c r="R82" s="1">
        <v>48</v>
      </c>
    </row>
    <row r="83" spans="1:18" ht="24" customHeight="1">
      <c r="A83" s="81">
        <v>33</v>
      </c>
      <c r="B83" s="31" t="s">
        <v>79</v>
      </c>
      <c r="C83" s="104">
        <v>304551.8</v>
      </c>
      <c r="D83" s="104">
        <v>304603.40000000002</v>
      </c>
      <c r="E83" s="104">
        <f t="shared" si="19"/>
        <v>51.600000000034925</v>
      </c>
      <c r="F83" s="110">
        <v>21679</v>
      </c>
      <c r="G83" s="111">
        <v>85.91</v>
      </c>
      <c r="H83" s="10">
        <f t="shared" si="20"/>
        <v>0.60062856477749882</v>
      </c>
      <c r="I83" s="104">
        <v>304719</v>
      </c>
      <c r="J83" s="106">
        <f t="shared" si="21"/>
        <v>115.59999999997672</v>
      </c>
      <c r="K83" s="110">
        <v>21696</v>
      </c>
      <c r="L83" s="107">
        <f t="shared" si="22"/>
        <v>17</v>
      </c>
      <c r="M83" s="111">
        <v>173</v>
      </c>
      <c r="N83" s="28">
        <f t="shared" si="23"/>
        <v>0.66820809248541457</v>
      </c>
      <c r="O83" s="84">
        <f t="shared" si="24"/>
        <v>167.20000000001164</v>
      </c>
      <c r="P83" s="79">
        <f t="shared" si="25"/>
        <v>258.90999999999997</v>
      </c>
      <c r="Q83" s="34">
        <f t="shared" si="26"/>
        <v>0.64578424935310208</v>
      </c>
      <c r="R83" s="1">
        <v>35</v>
      </c>
    </row>
    <row r="84" spans="1:18" ht="24" customHeight="1">
      <c r="A84" s="81">
        <v>34</v>
      </c>
      <c r="B84" s="31" t="s">
        <v>163</v>
      </c>
      <c r="C84" s="104">
        <v>245559.7</v>
      </c>
      <c r="D84" s="104">
        <v>245643.3</v>
      </c>
      <c r="E84" s="104">
        <f t="shared" si="19"/>
        <v>83.599999999976717</v>
      </c>
      <c r="F84" s="110">
        <v>18340</v>
      </c>
      <c r="G84" s="111">
        <v>116</v>
      </c>
      <c r="H84" s="10">
        <f t="shared" si="20"/>
        <v>0.72068965517221306</v>
      </c>
      <c r="I84" s="104">
        <v>245739.1</v>
      </c>
      <c r="J84" s="106">
        <f t="shared" si="21"/>
        <v>95.800000000017462</v>
      </c>
      <c r="K84" s="110">
        <v>18352</v>
      </c>
      <c r="L84" s="107">
        <f t="shared" si="22"/>
        <v>12</v>
      </c>
      <c r="M84" s="111">
        <v>130</v>
      </c>
      <c r="N84" s="28">
        <f t="shared" si="23"/>
        <v>0.73692307692321124</v>
      </c>
      <c r="O84" s="84">
        <f t="shared" si="24"/>
        <v>179.39999999999418</v>
      </c>
      <c r="P84" s="79">
        <f t="shared" si="25"/>
        <v>246</v>
      </c>
      <c r="Q84" s="34">
        <f t="shared" si="26"/>
        <v>0.72926829268290316</v>
      </c>
      <c r="R84" s="1">
        <v>24</v>
      </c>
    </row>
    <row r="85" spans="1:18" ht="24" customHeight="1">
      <c r="A85" s="81">
        <v>35</v>
      </c>
      <c r="B85" s="31" t="s">
        <v>164</v>
      </c>
      <c r="C85" s="104">
        <v>245115.5</v>
      </c>
      <c r="D85" s="104">
        <v>245178.3</v>
      </c>
      <c r="E85" s="104">
        <f t="shared" si="19"/>
        <v>62.799999999988358</v>
      </c>
      <c r="F85" s="110">
        <v>18321</v>
      </c>
      <c r="G85" s="111">
        <v>105</v>
      </c>
      <c r="H85" s="10">
        <f t="shared" si="20"/>
        <v>0.59809523809512721</v>
      </c>
      <c r="I85" s="104">
        <v>245178.3</v>
      </c>
      <c r="J85" s="106">
        <f t="shared" si="21"/>
        <v>0</v>
      </c>
      <c r="K85" s="110">
        <v>18329</v>
      </c>
      <c r="L85" s="107">
        <f t="shared" si="22"/>
        <v>8</v>
      </c>
      <c r="M85" s="111">
        <v>0</v>
      </c>
      <c r="N85" s="28">
        <f t="shared" si="23"/>
        <v>0</v>
      </c>
      <c r="O85" s="84">
        <f t="shared" si="24"/>
        <v>62.799999999988358</v>
      </c>
      <c r="P85" s="79">
        <f t="shared" si="25"/>
        <v>105</v>
      </c>
      <c r="Q85" s="34">
        <f t="shared" si="26"/>
        <v>0.59809523809512721</v>
      </c>
      <c r="R85" s="1">
        <v>20</v>
      </c>
    </row>
    <row r="86" spans="1:18" ht="24" customHeight="1">
      <c r="A86" s="81">
        <v>36</v>
      </c>
      <c r="B86" s="31" t="s">
        <v>165</v>
      </c>
      <c r="C86" s="104">
        <v>251907.9</v>
      </c>
      <c r="D86" s="104">
        <v>251946.7</v>
      </c>
      <c r="E86" s="104">
        <f t="shared" si="19"/>
        <v>38.800000000017462</v>
      </c>
      <c r="F86" s="110">
        <v>17957</v>
      </c>
      <c r="G86" s="111">
        <v>63</v>
      </c>
      <c r="H86" s="10">
        <f t="shared" si="20"/>
        <v>0.61587301587329302</v>
      </c>
      <c r="I86" s="104">
        <v>252015.3</v>
      </c>
      <c r="J86" s="106">
        <f t="shared" si="21"/>
        <v>68.599999999976717</v>
      </c>
      <c r="K86" s="110">
        <v>17971</v>
      </c>
      <c r="L86" s="107">
        <f t="shared" si="22"/>
        <v>14</v>
      </c>
      <c r="M86" s="112">
        <v>113</v>
      </c>
      <c r="N86" s="28">
        <f t="shared" si="23"/>
        <v>0.60707964601749309</v>
      </c>
      <c r="O86" s="84">
        <f t="shared" si="24"/>
        <v>107.39999999999418</v>
      </c>
      <c r="P86" s="79">
        <f t="shared" si="25"/>
        <v>176</v>
      </c>
      <c r="Q86" s="34">
        <f t="shared" si="26"/>
        <v>0.61022727272723964</v>
      </c>
      <c r="R86" s="1">
        <v>36</v>
      </c>
    </row>
    <row r="87" spans="1:18" ht="24" customHeight="1">
      <c r="A87" s="81">
        <v>37</v>
      </c>
      <c r="B87" s="31" t="s">
        <v>83</v>
      </c>
      <c r="C87" s="104">
        <v>260417.1</v>
      </c>
      <c r="D87" s="104">
        <v>260417.1</v>
      </c>
      <c r="E87" s="104">
        <f t="shared" si="19"/>
        <v>0</v>
      </c>
      <c r="F87" s="110">
        <v>18483</v>
      </c>
      <c r="G87" s="111">
        <v>0</v>
      </c>
      <c r="H87" s="10">
        <f t="shared" si="20"/>
        <v>0</v>
      </c>
      <c r="I87" s="104">
        <v>260510.8</v>
      </c>
      <c r="J87" s="106">
        <f t="shared" si="21"/>
        <v>93.699999999982538</v>
      </c>
      <c r="K87" s="110">
        <v>18490</v>
      </c>
      <c r="L87" s="107">
        <f t="shared" si="22"/>
        <v>7</v>
      </c>
      <c r="M87" s="112">
        <v>122</v>
      </c>
      <c r="N87" s="28">
        <f t="shared" si="23"/>
        <v>0.76803278688510279</v>
      </c>
      <c r="O87" s="84">
        <f t="shared" si="24"/>
        <v>93.699999999982538</v>
      </c>
      <c r="P87" s="79">
        <f t="shared" si="25"/>
        <v>122</v>
      </c>
      <c r="Q87" s="34">
        <f t="shared" si="26"/>
        <v>0.76803278688510279</v>
      </c>
      <c r="R87" s="1">
        <v>31</v>
      </c>
    </row>
    <row r="88" spans="1:18" ht="24" customHeight="1">
      <c r="A88" s="81">
        <v>38</v>
      </c>
      <c r="B88" s="31" t="s">
        <v>84</v>
      </c>
      <c r="C88" s="104">
        <v>272149.7</v>
      </c>
      <c r="D88" s="104">
        <v>272149.7</v>
      </c>
      <c r="E88" s="104">
        <f t="shared" si="19"/>
        <v>0</v>
      </c>
      <c r="F88" s="110">
        <v>17855</v>
      </c>
      <c r="G88" s="111">
        <v>0</v>
      </c>
      <c r="H88" s="10">
        <f t="shared" si="20"/>
        <v>0</v>
      </c>
      <c r="I88" s="104">
        <v>272219.5</v>
      </c>
      <c r="J88" s="106">
        <f t="shared" si="21"/>
        <v>69.799999999988358</v>
      </c>
      <c r="K88" s="110">
        <v>17860</v>
      </c>
      <c r="L88" s="107">
        <f t="shared" si="22"/>
        <v>5</v>
      </c>
      <c r="M88" s="112">
        <v>40</v>
      </c>
      <c r="N88" s="28">
        <f t="shared" si="23"/>
        <v>1.744999999999709</v>
      </c>
      <c r="O88" s="84">
        <f t="shared" si="24"/>
        <v>69.799999999988358</v>
      </c>
      <c r="P88" s="79">
        <f t="shared" si="25"/>
        <v>40</v>
      </c>
      <c r="Q88" s="34">
        <f t="shared" si="26"/>
        <v>1.744999999999709</v>
      </c>
      <c r="R88" s="1">
        <v>19</v>
      </c>
    </row>
    <row r="89" spans="1:18" ht="24" customHeight="1">
      <c r="A89" s="81">
        <v>39</v>
      </c>
      <c r="B89" s="31" t="s">
        <v>85</v>
      </c>
      <c r="C89" s="35">
        <v>279972.8</v>
      </c>
      <c r="D89" s="35">
        <v>280021.90000000002</v>
      </c>
      <c r="E89" s="104">
        <f t="shared" si="19"/>
        <v>49.100000000034925</v>
      </c>
      <c r="F89" s="110">
        <v>19773</v>
      </c>
      <c r="G89" s="111">
        <v>77</v>
      </c>
      <c r="H89" s="10">
        <f t="shared" si="20"/>
        <v>0.63766233766279123</v>
      </c>
      <c r="I89" s="35">
        <v>280109.09999999998</v>
      </c>
      <c r="J89" s="106">
        <f t="shared" si="21"/>
        <v>87.199999999953434</v>
      </c>
      <c r="K89" s="110">
        <v>19790</v>
      </c>
      <c r="L89" s="107">
        <f t="shared" si="22"/>
        <v>17</v>
      </c>
      <c r="M89" s="112">
        <v>133</v>
      </c>
      <c r="N89" s="28">
        <f t="shared" si="23"/>
        <v>0.65563909774401075</v>
      </c>
      <c r="O89" s="84">
        <f t="shared" si="24"/>
        <v>136.29999999998836</v>
      </c>
      <c r="P89" s="79">
        <f t="shared" si="25"/>
        <v>210</v>
      </c>
      <c r="Q89" s="34">
        <f t="shared" si="26"/>
        <v>0.64904761904756358</v>
      </c>
      <c r="R89" s="1">
        <v>40</v>
      </c>
    </row>
    <row r="90" spans="1:18" ht="24" customHeight="1">
      <c r="A90" s="81">
        <v>40</v>
      </c>
      <c r="B90" s="31" t="s">
        <v>86</v>
      </c>
      <c r="C90" s="104">
        <v>250705</v>
      </c>
      <c r="D90" s="104">
        <v>250775.4</v>
      </c>
      <c r="E90" s="104">
        <f t="shared" si="19"/>
        <v>70.399999999994179</v>
      </c>
      <c r="F90" s="110">
        <v>17820</v>
      </c>
      <c r="G90" s="111">
        <v>92.01</v>
      </c>
      <c r="H90" s="10">
        <f t="shared" si="20"/>
        <v>0.76513422454074753</v>
      </c>
      <c r="I90" s="104">
        <v>250842.8</v>
      </c>
      <c r="J90" s="106">
        <f t="shared" si="21"/>
        <v>67.399999999994179</v>
      </c>
      <c r="K90" s="110">
        <v>17833</v>
      </c>
      <c r="L90" s="107">
        <f t="shared" si="22"/>
        <v>13</v>
      </c>
      <c r="M90" s="112">
        <v>102</v>
      </c>
      <c r="N90" s="28">
        <f t="shared" si="23"/>
        <v>0.66078431372543311</v>
      </c>
      <c r="O90" s="84">
        <f t="shared" si="24"/>
        <v>137.79999999998836</v>
      </c>
      <c r="P90" s="79">
        <f t="shared" si="25"/>
        <v>194.01</v>
      </c>
      <c r="Q90" s="34">
        <f t="shared" si="26"/>
        <v>0.71027266635734432</v>
      </c>
      <c r="R90" s="1">
        <v>28</v>
      </c>
    </row>
    <row r="91" spans="1:18" ht="24" customHeight="1">
      <c r="A91" s="81">
        <v>41</v>
      </c>
      <c r="B91" s="31" t="s">
        <v>87</v>
      </c>
      <c r="C91" s="104">
        <v>279528.59999999998</v>
      </c>
      <c r="D91" s="104">
        <v>279616.7</v>
      </c>
      <c r="E91" s="104">
        <f t="shared" si="19"/>
        <v>88.100000000034925</v>
      </c>
      <c r="F91" s="110">
        <v>19319</v>
      </c>
      <c r="G91" s="111">
        <v>125</v>
      </c>
      <c r="H91" s="10">
        <f t="shared" si="20"/>
        <v>0.70480000000027943</v>
      </c>
      <c r="I91" s="104">
        <v>279704.5</v>
      </c>
      <c r="J91" s="106">
        <f t="shared" si="21"/>
        <v>87.799999999988358</v>
      </c>
      <c r="K91" s="110">
        <v>19333</v>
      </c>
      <c r="L91" s="107">
        <f t="shared" si="22"/>
        <v>14</v>
      </c>
      <c r="M91" s="111">
        <v>106</v>
      </c>
      <c r="N91" s="28">
        <f t="shared" si="23"/>
        <v>0.82830188679234296</v>
      </c>
      <c r="O91" s="84">
        <f t="shared" si="24"/>
        <v>175.90000000002328</v>
      </c>
      <c r="P91" s="79">
        <f t="shared" si="25"/>
        <v>231</v>
      </c>
      <c r="Q91" s="34">
        <f t="shared" si="26"/>
        <v>0.76147186147196222</v>
      </c>
      <c r="R91" s="1">
        <v>26</v>
      </c>
    </row>
    <row r="92" spans="1:18" ht="24" customHeight="1">
      <c r="A92" s="81">
        <v>42</v>
      </c>
      <c r="B92" s="31" t="s">
        <v>88</v>
      </c>
      <c r="C92" s="104">
        <v>275500.40000000002</v>
      </c>
      <c r="D92" s="104">
        <v>275552.3</v>
      </c>
      <c r="E92" s="104">
        <f t="shared" si="19"/>
        <v>51.899999999965075</v>
      </c>
      <c r="F92" s="110">
        <v>18714</v>
      </c>
      <c r="G92" s="111">
        <v>72</v>
      </c>
      <c r="H92" s="10">
        <f t="shared" si="20"/>
        <v>0.72083333333284827</v>
      </c>
      <c r="I92" s="104">
        <v>275621.8</v>
      </c>
      <c r="J92" s="106">
        <f t="shared" si="21"/>
        <v>69.5</v>
      </c>
      <c r="K92" s="110">
        <v>18724</v>
      </c>
      <c r="L92" s="107">
        <f t="shared" si="22"/>
        <v>10</v>
      </c>
      <c r="M92" s="111">
        <v>98</v>
      </c>
      <c r="N92" s="28">
        <f t="shared" si="23"/>
        <v>0.70918367346938771</v>
      </c>
      <c r="O92" s="84">
        <f t="shared" si="24"/>
        <v>121.39999999996508</v>
      </c>
      <c r="P92" s="79">
        <f t="shared" si="25"/>
        <v>170</v>
      </c>
      <c r="Q92" s="34">
        <f t="shared" si="26"/>
        <v>0.71411764705861813</v>
      </c>
      <c r="R92" s="1">
        <v>26</v>
      </c>
    </row>
    <row r="93" spans="1:18" ht="24" customHeight="1">
      <c r="A93" s="81">
        <v>43</v>
      </c>
      <c r="B93" s="31" t="s">
        <v>89</v>
      </c>
      <c r="C93" s="35">
        <v>267991.40000000002</v>
      </c>
      <c r="D93" s="35">
        <v>268030.09999999998</v>
      </c>
      <c r="E93" s="104">
        <f t="shared" si="19"/>
        <v>38.699999999953434</v>
      </c>
      <c r="F93" s="110">
        <v>18370</v>
      </c>
      <c r="G93" s="111">
        <v>55</v>
      </c>
      <c r="H93" s="10">
        <f t="shared" si="20"/>
        <v>0.70363636363551696</v>
      </c>
      <c r="I93" s="35">
        <v>268128.09999999998</v>
      </c>
      <c r="J93" s="106">
        <f t="shared" si="21"/>
        <v>98</v>
      </c>
      <c r="K93" s="110">
        <v>18385</v>
      </c>
      <c r="L93" s="107">
        <f t="shared" si="22"/>
        <v>15</v>
      </c>
      <c r="M93" s="111">
        <v>147</v>
      </c>
      <c r="N93" s="28">
        <f t="shared" si="23"/>
        <v>0.66666666666666663</v>
      </c>
      <c r="O93" s="84">
        <f t="shared" si="24"/>
        <v>136.69999999995343</v>
      </c>
      <c r="P93" s="79">
        <f t="shared" si="25"/>
        <v>202</v>
      </c>
      <c r="Q93" s="34">
        <f t="shared" si="26"/>
        <v>0.67673267326709619</v>
      </c>
      <c r="R93" s="1">
        <v>34</v>
      </c>
    </row>
    <row r="94" spans="1:18" ht="24" customHeight="1">
      <c r="A94" s="81">
        <v>44</v>
      </c>
      <c r="B94" s="31" t="s">
        <v>90</v>
      </c>
      <c r="C94" s="104">
        <v>245216.3</v>
      </c>
      <c r="D94" s="104">
        <v>245216.3</v>
      </c>
      <c r="E94" s="104">
        <f t="shared" si="19"/>
        <v>0</v>
      </c>
      <c r="F94" s="110">
        <v>17692</v>
      </c>
      <c r="G94" s="111">
        <v>0</v>
      </c>
      <c r="H94" s="10">
        <f>IFERROR(E94/G94,0)</f>
        <v>0</v>
      </c>
      <c r="I94" s="104">
        <v>245264.9</v>
      </c>
      <c r="J94" s="106">
        <f t="shared" si="21"/>
        <v>48.600000000005821</v>
      </c>
      <c r="K94" s="110">
        <v>17701</v>
      </c>
      <c r="L94" s="107">
        <f t="shared" si="22"/>
        <v>9</v>
      </c>
      <c r="M94" s="111">
        <v>85</v>
      </c>
      <c r="N94" s="28">
        <f t="shared" si="23"/>
        <v>0.57176470588242145</v>
      </c>
      <c r="O94" s="84">
        <f t="shared" si="24"/>
        <v>48.600000000005821</v>
      </c>
      <c r="P94" s="79">
        <f t="shared" si="25"/>
        <v>85</v>
      </c>
      <c r="Q94" s="34">
        <f t="shared" si="26"/>
        <v>0.57176470588242145</v>
      </c>
      <c r="R94" s="1">
        <v>41</v>
      </c>
    </row>
    <row r="95" spans="1:18" ht="24" customHeight="1">
      <c r="A95" s="81">
        <v>45</v>
      </c>
      <c r="B95" s="31" t="s">
        <v>91</v>
      </c>
      <c r="C95" s="104">
        <v>254153.9</v>
      </c>
      <c r="D95" s="104">
        <v>254153.9</v>
      </c>
      <c r="E95" s="104">
        <f t="shared" si="19"/>
        <v>0</v>
      </c>
      <c r="F95" s="110">
        <v>17731</v>
      </c>
      <c r="G95" s="111">
        <v>0</v>
      </c>
      <c r="H95" s="10">
        <f t="shared" si="20"/>
        <v>0</v>
      </c>
      <c r="I95" s="104">
        <v>254153.9</v>
      </c>
      <c r="J95" s="106">
        <f t="shared" si="21"/>
        <v>0</v>
      </c>
      <c r="K95" s="110">
        <v>17731</v>
      </c>
      <c r="L95" s="107">
        <f t="shared" si="22"/>
        <v>0</v>
      </c>
      <c r="M95" s="111">
        <v>0</v>
      </c>
      <c r="N95" s="28">
        <f t="shared" si="23"/>
        <v>0</v>
      </c>
      <c r="O95" s="84">
        <f t="shared" si="24"/>
        <v>0</v>
      </c>
      <c r="P95" s="79">
        <f t="shared" si="25"/>
        <v>0</v>
      </c>
      <c r="Q95" s="34">
        <f t="shared" si="26"/>
        <v>0</v>
      </c>
      <c r="R95" s="1">
        <v>0</v>
      </c>
    </row>
    <row r="96" spans="1:18" ht="24" customHeight="1">
      <c r="A96" s="81">
        <v>46</v>
      </c>
      <c r="B96" s="31" t="s">
        <v>92</v>
      </c>
      <c r="C96" s="35">
        <v>239527.5</v>
      </c>
      <c r="D96" s="35">
        <v>239572.5</v>
      </c>
      <c r="E96" s="104">
        <f>D96-C96</f>
        <v>45</v>
      </c>
      <c r="F96" s="110">
        <v>17351</v>
      </c>
      <c r="G96" s="111">
        <v>70</v>
      </c>
      <c r="H96" s="10">
        <f t="shared" si="20"/>
        <v>0.6428571428571429</v>
      </c>
      <c r="I96" s="35">
        <v>239669.4</v>
      </c>
      <c r="J96" s="106">
        <f>I96-D96</f>
        <v>96.899999999994179</v>
      </c>
      <c r="K96" s="110">
        <v>17370</v>
      </c>
      <c r="L96" s="107">
        <f t="shared" si="22"/>
        <v>19</v>
      </c>
      <c r="M96" s="111">
        <v>158</v>
      </c>
      <c r="N96" s="28">
        <f t="shared" si="23"/>
        <v>0.61329113924046952</v>
      </c>
      <c r="O96" s="84">
        <f t="shared" si="24"/>
        <v>141.89999999999418</v>
      </c>
      <c r="P96" s="79">
        <f>G96+M96</f>
        <v>228</v>
      </c>
      <c r="Q96" s="34">
        <f t="shared" si="26"/>
        <v>0.62236842105260604</v>
      </c>
      <c r="R96" s="1">
        <v>45</v>
      </c>
    </row>
    <row r="97" spans="1:19" ht="24" customHeight="1">
      <c r="A97" s="81">
        <v>47</v>
      </c>
      <c r="B97" s="31" t="s">
        <v>93</v>
      </c>
      <c r="C97" s="104">
        <v>248016.5</v>
      </c>
      <c r="D97" s="104">
        <v>248016.5</v>
      </c>
      <c r="E97" s="104">
        <f>D97-C97</f>
        <v>0</v>
      </c>
      <c r="F97" s="110">
        <v>16820</v>
      </c>
      <c r="G97" s="111">
        <v>0</v>
      </c>
      <c r="H97" s="10">
        <f t="shared" si="20"/>
        <v>0</v>
      </c>
      <c r="I97" s="104">
        <v>248016.5</v>
      </c>
      <c r="J97" s="106">
        <f>I97-D97</f>
        <v>0</v>
      </c>
      <c r="K97" s="110">
        <v>16820</v>
      </c>
      <c r="L97" s="107">
        <f t="shared" si="22"/>
        <v>0</v>
      </c>
      <c r="M97" s="111">
        <v>0</v>
      </c>
      <c r="N97" s="28">
        <f t="shared" si="23"/>
        <v>0</v>
      </c>
      <c r="O97" s="84">
        <f t="shared" si="24"/>
        <v>0</v>
      </c>
      <c r="P97" s="79">
        <f t="shared" si="25"/>
        <v>0</v>
      </c>
      <c r="Q97" s="34">
        <f t="shared" si="26"/>
        <v>0</v>
      </c>
      <c r="R97" s="1">
        <v>15</v>
      </c>
      <c r="S97" t="s">
        <v>94</v>
      </c>
    </row>
    <row r="98" spans="1:19" ht="24" customHeight="1">
      <c r="A98" s="81">
        <v>48</v>
      </c>
      <c r="B98" s="31" t="s">
        <v>95</v>
      </c>
      <c r="C98" s="104">
        <v>244906.7</v>
      </c>
      <c r="D98" s="104">
        <v>244967.9</v>
      </c>
      <c r="E98" s="104">
        <f t="shared" si="19"/>
        <v>61.199999999982538</v>
      </c>
      <c r="F98" s="110">
        <v>18252</v>
      </c>
      <c r="G98" s="111">
        <v>87</v>
      </c>
      <c r="H98" s="10">
        <f t="shared" si="20"/>
        <v>0.7034482758618682</v>
      </c>
      <c r="I98" s="104">
        <v>245058.8</v>
      </c>
      <c r="J98" s="106">
        <f t="shared" si="21"/>
        <v>90.899999999994179</v>
      </c>
      <c r="K98" s="110">
        <v>18264</v>
      </c>
      <c r="L98" s="107">
        <f t="shared" si="22"/>
        <v>12</v>
      </c>
      <c r="M98" s="111">
        <v>148</v>
      </c>
      <c r="N98" s="28">
        <f t="shared" si="23"/>
        <v>0.61418918918914989</v>
      </c>
      <c r="O98" s="84">
        <f t="shared" si="24"/>
        <v>152.09999999997672</v>
      </c>
      <c r="P98" s="79">
        <f t="shared" si="25"/>
        <v>235</v>
      </c>
      <c r="Q98" s="34">
        <f t="shared" si="26"/>
        <v>0.64723404255309236</v>
      </c>
      <c r="R98" s="1">
        <v>35</v>
      </c>
    </row>
    <row r="99" spans="1:19" ht="24" customHeight="1">
      <c r="A99" s="81">
        <v>49</v>
      </c>
      <c r="B99" s="31" t="s">
        <v>96</v>
      </c>
      <c r="C99" s="35">
        <v>249382.9</v>
      </c>
      <c r="D99" s="35">
        <v>249481</v>
      </c>
      <c r="E99" s="104">
        <f t="shared" si="19"/>
        <v>98.100000000005821</v>
      </c>
      <c r="F99" s="110">
        <v>17933</v>
      </c>
      <c r="G99" s="111">
        <v>139</v>
      </c>
      <c r="H99" s="10">
        <f>IFERROR(E99/G99,0)</f>
        <v>0.7057553956834951</v>
      </c>
      <c r="I99" s="35">
        <v>249577.7</v>
      </c>
      <c r="J99" s="106">
        <f t="shared" si="21"/>
        <v>96.700000000011642</v>
      </c>
      <c r="K99" s="110">
        <v>17946</v>
      </c>
      <c r="L99" s="107">
        <f t="shared" si="22"/>
        <v>13</v>
      </c>
      <c r="M99" s="111">
        <v>157</v>
      </c>
      <c r="N99" s="28">
        <f t="shared" si="23"/>
        <v>0.61592356687905503</v>
      </c>
      <c r="O99" s="84">
        <f t="shared" si="24"/>
        <v>194.80000000001746</v>
      </c>
      <c r="P99" s="79">
        <f t="shared" si="25"/>
        <v>296</v>
      </c>
      <c r="Q99" s="34">
        <f t="shared" si="26"/>
        <v>0.65810810810816711</v>
      </c>
      <c r="R99" s="1">
        <v>27</v>
      </c>
    </row>
    <row r="100" spans="1:19" ht="24" customHeight="1">
      <c r="A100" s="81">
        <v>50</v>
      </c>
      <c r="B100" s="31" t="s">
        <v>97</v>
      </c>
      <c r="C100" s="104">
        <v>238288.9</v>
      </c>
      <c r="D100" s="104">
        <v>238288.9</v>
      </c>
      <c r="E100" s="104">
        <f t="shared" si="19"/>
        <v>0</v>
      </c>
      <c r="F100" s="110">
        <v>16457</v>
      </c>
      <c r="G100" s="111">
        <v>0</v>
      </c>
      <c r="H100" s="10">
        <f t="shared" si="20"/>
        <v>0</v>
      </c>
      <c r="I100" s="104">
        <v>238288.9</v>
      </c>
      <c r="J100" s="106">
        <f t="shared" si="21"/>
        <v>0</v>
      </c>
      <c r="K100" s="110">
        <v>16457</v>
      </c>
      <c r="L100" s="107">
        <f t="shared" si="22"/>
        <v>0</v>
      </c>
      <c r="M100" s="111">
        <v>0</v>
      </c>
      <c r="N100" s="28">
        <f t="shared" si="23"/>
        <v>0</v>
      </c>
      <c r="O100" s="84">
        <f t="shared" si="24"/>
        <v>0</v>
      </c>
      <c r="P100" s="79">
        <f t="shared" si="25"/>
        <v>0</v>
      </c>
      <c r="Q100" s="34">
        <f t="shared" si="26"/>
        <v>0</v>
      </c>
      <c r="R100" s="1">
        <v>29</v>
      </c>
    </row>
    <row r="101" spans="1:19" ht="24" customHeight="1">
      <c r="A101" s="81">
        <v>51</v>
      </c>
      <c r="B101" s="121" t="s">
        <v>166</v>
      </c>
      <c r="C101" s="104">
        <v>205924</v>
      </c>
      <c r="D101" s="104">
        <v>205924</v>
      </c>
      <c r="E101" s="118">
        <f t="shared" si="19"/>
        <v>0</v>
      </c>
      <c r="F101" s="110">
        <v>17538</v>
      </c>
      <c r="G101" s="111">
        <v>0</v>
      </c>
      <c r="H101" s="55">
        <f t="shared" si="20"/>
        <v>0</v>
      </c>
      <c r="I101" s="104">
        <v>206039</v>
      </c>
      <c r="J101" s="119">
        <f t="shared" si="21"/>
        <v>115</v>
      </c>
      <c r="K101" s="110">
        <v>17550</v>
      </c>
      <c r="L101" s="120">
        <f t="shared" si="22"/>
        <v>12</v>
      </c>
      <c r="M101" s="111">
        <v>127</v>
      </c>
      <c r="N101" s="28">
        <f t="shared" si="23"/>
        <v>0.90551181102362199</v>
      </c>
      <c r="O101" s="58">
        <f t="shared" si="24"/>
        <v>115</v>
      </c>
      <c r="P101" s="79">
        <f t="shared" si="25"/>
        <v>127</v>
      </c>
      <c r="Q101" s="34">
        <f t="shared" si="26"/>
        <v>0.90551181102362199</v>
      </c>
      <c r="R101" s="1">
        <v>17</v>
      </c>
    </row>
    <row r="102" spans="1:19" ht="24" customHeight="1">
      <c r="A102" s="81">
        <v>52</v>
      </c>
      <c r="B102" s="121" t="s">
        <v>167</v>
      </c>
      <c r="C102" s="104">
        <v>186406</v>
      </c>
      <c r="D102" s="104">
        <v>186406</v>
      </c>
      <c r="E102" s="118">
        <f t="shared" si="19"/>
        <v>0</v>
      </c>
      <c r="F102" s="110">
        <v>16317</v>
      </c>
      <c r="G102" s="111">
        <v>0</v>
      </c>
      <c r="H102" s="55">
        <f t="shared" si="20"/>
        <v>0</v>
      </c>
      <c r="I102" s="104">
        <v>186406</v>
      </c>
      <c r="J102" s="119">
        <f t="shared" si="21"/>
        <v>0</v>
      </c>
      <c r="K102" s="110">
        <v>16317</v>
      </c>
      <c r="L102" s="120">
        <f t="shared" si="22"/>
        <v>0</v>
      </c>
      <c r="M102" s="111">
        <v>0</v>
      </c>
      <c r="N102" s="28">
        <f t="shared" si="23"/>
        <v>0</v>
      </c>
      <c r="O102" s="58">
        <f t="shared" si="24"/>
        <v>0</v>
      </c>
      <c r="P102" s="79">
        <f t="shared" si="25"/>
        <v>0</v>
      </c>
      <c r="Q102" s="34">
        <f t="shared" si="26"/>
        <v>0</v>
      </c>
      <c r="R102" s="1">
        <v>0</v>
      </c>
    </row>
    <row r="103" spans="1:19" ht="24" customHeight="1">
      <c r="A103" s="81">
        <v>53</v>
      </c>
      <c r="B103" s="121" t="s">
        <v>168</v>
      </c>
      <c r="C103" s="104">
        <v>192953</v>
      </c>
      <c r="D103" s="104">
        <v>192953</v>
      </c>
      <c r="E103" s="118">
        <f t="shared" si="19"/>
        <v>0</v>
      </c>
      <c r="F103" s="110">
        <v>17216</v>
      </c>
      <c r="G103" s="111">
        <v>0</v>
      </c>
      <c r="H103" s="55">
        <f t="shared" si="20"/>
        <v>0</v>
      </c>
      <c r="I103" s="104">
        <v>193100</v>
      </c>
      <c r="J103" s="119">
        <f t="shared" si="21"/>
        <v>147</v>
      </c>
      <c r="K103" s="110">
        <v>17231</v>
      </c>
      <c r="L103" s="120">
        <f t="shared" si="22"/>
        <v>15</v>
      </c>
      <c r="M103" s="111">
        <v>215</v>
      </c>
      <c r="N103" s="28">
        <f t="shared" si="23"/>
        <v>0.68372093023255809</v>
      </c>
      <c r="O103" s="58">
        <f t="shared" si="24"/>
        <v>147</v>
      </c>
      <c r="P103" s="79">
        <f t="shared" si="25"/>
        <v>215</v>
      </c>
      <c r="Q103" s="34">
        <f t="shared" si="26"/>
        <v>0.68372093023255809</v>
      </c>
      <c r="R103" s="1">
        <v>27</v>
      </c>
    </row>
    <row r="104" spans="1:19" ht="24" customHeight="1">
      <c r="A104" s="81">
        <v>54</v>
      </c>
      <c r="B104" s="121" t="s">
        <v>169</v>
      </c>
      <c r="C104" s="104">
        <v>197030</v>
      </c>
      <c r="D104" s="104">
        <v>197030</v>
      </c>
      <c r="E104" s="118">
        <f t="shared" si="19"/>
        <v>0</v>
      </c>
      <c r="F104" s="110">
        <v>16699</v>
      </c>
      <c r="G104" s="111">
        <v>0</v>
      </c>
      <c r="H104" s="55">
        <f t="shared" si="20"/>
        <v>0</v>
      </c>
      <c r="I104" s="104">
        <v>197150</v>
      </c>
      <c r="J104" s="119">
        <f t="shared" si="21"/>
        <v>120</v>
      </c>
      <c r="K104" s="110">
        <v>16713</v>
      </c>
      <c r="L104" s="120">
        <f t="shared" si="22"/>
        <v>14</v>
      </c>
      <c r="M104" s="111">
        <v>175</v>
      </c>
      <c r="N104" s="28">
        <f t="shared" si="23"/>
        <v>0.68571428571428572</v>
      </c>
      <c r="O104" s="58">
        <f t="shared" si="24"/>
        <v>120</v>
      </c>
      <c r="P104" s="79">
        <f t="shared" si="25"/>
        <v>175</v>
      </c>
      <c r="Q104" s="34">
        <f t="shared" si="26"/>
        <v>0.68571428571428572</v>
      </c>
      <c r="R104" s="1">
        <v>37</v>
      </c>
    </row>
    <row r="105" spans="1:19" ht="24" customHeight="1">
      <c r="A105" s="81">
        <v>55</v>
      </c>
      <c r="B105" s="121" t="s">
        <v>104</v>
      </c>
      <c r="C105" s="104">
        <v>72051.5</v>
      </c>
      <c r="D105" s="104">
        <v>72153.899999999994</v>
      </c>
      <c r="E105" s="118">
        <f t="shared" si="19"/>
        <v>102.39999999999418</v>
      </c>
      <c r="F105" s="110">
        <v>4870</v>
      </c>
      <c r="G105" s="111">
        <v>113</v>
      </c>
      <c r="H105" s="78">
        <f t="shared" si="20"/>
        <v>0.9061946902654352</v>
      </c>
      <c r="I105" s="104">
        <v>72229.399999999994</v>
      </c>
      <c r="J105" s="112">
        <f t="shared" si="21"/>
        <v>75.5</v>
      </c>
      <c r="K105" s="110">
        <v>4883</v>
      </c>
      <c r="L105" s="107">
        <f t="shared" si="22"/>
        <v>13</v>
      </c>
      <c r="M105" s="111">
        <v>86</v>
      </c>
      <c r="N105" s="28">
        <f t="shared" si="23"/>
        <v>0.87790697674418605</v>
      </c>
      <c r="O105" s="58">
        <f t="shared" si="24"/>
        <v>177.89999999999418</v>
      </c>
      <c r="P105" s="79">
        <f t="shared" si="25"/>
        <v>199</v>
      </c>
      <c r="Q105" s="34">
        <f t="shared" si="26"/>
        <v>0.89396984924620193</v>
      </c>
      <c r="R105" s="1">
        <v>26</v>
      </c>
    </row>
    <row r="106" spans="1:19" ht="24" customHeight="1">
      <c r="A106" s="81">
        <v>56</v>
      </c>
      <c r="B106" s="121" t="s">
        <v>105</v>
      </c>
      <c r="C106" s="35">
        <v>70919.600000000006</v>
      </c>
      <c r="D106" s="35">
        <v>71023.399999999994</v>
      </c>
      <c r="E106" s="122">
        <f t="shared" si="19"/>
        <v>103.79999999998836</v>
      </c>
      <c r="F106" s="110">
        <v>4892</v>
      </c>
      <c r="G106" s="111">
        <v>121</v>
      </c>
      <c r="H106" s="78">
        <f t="shared" si="20"/>
        <v>0.85785123966932531</v>
      </c>
      <c r="I106" s="35">
        <v>71103.5</v>
      </c>
      <c r="J106" s="112">
        <f t="shared" si="21"/>
        <v>80.100000000005821</v>
      </c>
      <c r="K106" s="110">
        <v>4903</v>
      </c>
      <c r="L106" s="107">
        <f t="shared" si="22"/>
        <v>11</v>
      </c>
      <c r="M106" s="111">
        <v>101</v>
      </c>
      <c r="N106" s="28">
        <f t="shared" si="23"/>
        <v>0.79306930693075073</v>
      </c>
      <c r="O106" s="58">
        <f t="shared" si="24"/>
        <v>183.89999999999418</v>
      </c>
      <c r="P106" s="79">
        <f t="shared" si="25"/>
        <v>222</v>
      </c>
      <c r="Q106" s="34">
        <f t="shared" si="26"/>
        <v>0.82837837837835215</v>
      </c>
      <c r="R106" s="1">
        <v>25</v>
      </c>
    </row>
    <row r="107" spans="1:19" ht="24" customHeight="1">
      <c r="A107" s="81">
        <v>57</v>
      </c>
      <c r="B107" s="121" t="s">
        <v>106</v>
      </c>
      <c r="C107" s="104">
        <v>68766.3</v>
      </c>
      <c r="D107" s="104">
        <v>68881.600000000006</v>
      </c>
      <c r="E107" s="122">
        <f t="shared" si="19"/>
        <v>115.30000000000291</v>
      </c>
      <c r="F107" s="110">
        <v>4912</v>
      </c>
      <c r="G107" s="111">
        <v>128</v>
      </c>
      <c r="H107" s="78">
        <f t="shared" si="20"/>
        <v>0.90078125000002274</v>
      </c>
      <c r="I107" s="104">
        <v>68970</v>
      </c>
      <c r="J107" s="112">
        <f t="shared" si="21"/>
        <v>88.399999999994179</v>
      </c>
      <c r="K107" s="110">
        <v>4926</v>
      </c>
      <c r="L107" s="107">
        <f t="shared" si="22"/>
        <v>14</v>
      </c>
      <c r="M107" s="111">
        <v>147</v>
      </c>
      <c r="N107" s="28">
        <f t="shared" si="23"/>
        <v>0.60136054421764751</v>
      </c>
      <c r="O107" s="58">
        <f t="shared" si="24"/>
        <v>203.69999999999709</v>
      </c>
      <c r="P107" s="79">
        <f t="shared" si="25"/>
        <v>275</v>
      </c>
      <c r="Q107" s="34">
        <f t="shared" si="26"/>
        <v>0.74072727272726213</v>
      </c>
      <c r="R107" s="1">
        <v>26</v>
      </c>
    </row>
    <row r="108" spans="1:19" ht="24" customHeight="1">
      <c r="A108" s="81">
        <v>58</v>
      </c>
      <c r="B108" s="121" t="s">
        <v>107</v>
      </c>
      <c r="C108" s="104">
        <v>70986.5</v>
      </c>
      <c r="D108" s="104">
        <v>71084</v>
      </c>
      <c r="E108" s="122">
        <f t="shared" si="19"/>
        <v>97.5</v>
      </c>
      <c r="F108" s="110">
        <v>4913</v>
      </c>
      <c r="G108" s="111">
        <v>135</v>
      </c>
      <c r="H108" s="78">
        <f t="shared" si="20"/>
        <v>0.72222222222222221</v>
      </c>
      <c r="I108" s="104">
        <v>71178.3</v>
      </c>
      <c r="J108" s="112">
        <f t="shared" si="21"/>
        <v>94.30000000000291</v>
      </c>
      <c r="K108" s="110">
        <v>4926</v>
      </c>
      <c r="L108" s="107">
        <f t="shared" si="22"/>
        <v>13</v>
      </c>
      <c r="M108" s="111">
        <v>115</v>
      </c>
      <c r="N108" s="28">
        <f t="shared" si="23"/>
        <v>0.82000000000002526</v>
      </c>
      <c r="O108" s="58">
        <f t="shared" si="24"/>
        <v>191.80000000000291</v>
      </c>
      <c r="P108" s="79">
        <f t="shared" si="25"/>
        <v>250</v>
      </c>
      <c r="Q108" s="34">
        <f t="shared" si="26"/>
        <v>0.76720000000001165</v>
      </c>
      <c r="R108" s="1">
        <v>28</v>
      </c>
    </row>
    <row r="109" spans="1:19" ht="24" customHeight="1">
      <c r="A109" s="81">
        <v>59</v>
      </c>
      <c r="B109" s="121" t="s">
        <v>108</v>
      </c>
      <c r="C109" s="104">
        <v>70134.399999999994</v>
      </c>
      <c r="D109" s="104">
        <v>70214.5</v>
      </c>
      <c r="E109" s="122">
        <f t="shared" si="19"/>
        <v>80.100000000005821</v>
      </c>
      <c r="F109" s="110">
        <v>4883</v>
      </c>
      <c r="G109" s="111">
        <v>95</v>
      </c>
      <c r="H109" s="78">
        <f t="shared" si="20"/>
        <v>0.84315789473690339</v>
      </c>
      <c r="I109" s="104">
        <v>70304.800000000003</v>
      </c>
      <c r="J109" s="112">
        <f t="shared" si="21"/>
        <v>90.30000000000291</v>
      </c>
      <c r="K109" s="110">
        <v>4894</v>
      </c>
      <c r="L109" s="107">
        <f t="shared" si="22"/>
        <v>11</v>
      </c>
      <c r="M109" s="111">
        <v>122</v>
      </c>
      <c r="N109" s="28">
        <f t="shared" si="23"/>
        <v>0.74016393442625339</v>
      </c>
      <c r="O109" s="58">
        <f t="shared" si="24"/>
        <v>170.40000000000873</v>
      </c>
      <c r="P109" s="79">
        <f t="shared" si="25"/>
        <v>217</v>
      </c>
      <c r="Q109" s="34">
        <f t="shared" si="26"/>
        <v>0.78525345622123843</v>
      </c>
      <c r="R109" s="1">
        <v>28</v>
      </c>
    </row>
    <row r="110" spans="1:19" ht="24" customHeight="1">
      <c r="A110" s="81">
        <v>60</v>
      </c>
      <c r="B110" s="121" t="s">
        <v>109</v>
      </c>
      <c r="C110" s="104">
        <v>72000.7</v>
      </c>
      <c r="D110" s="104">
        <v>72117</v>
      </c>
      <c r="E110" s="118">
        <f t="shared" si="19"/>
        <v>116.30000000000291</v>
      </c>
      <c r="F110" s="110">
        <v>4973</v>
      </c>
      <c r="G110" s="111">
        <v>149</v>
      </c>
      <c r="H110" s="55">
        <f t="shared" si="20"/>
        <v>0.78053691275169734</v>
      </c>
      <c r="I110" s="104">
        <v>72204.800000000003</v>
      </c>
      <c r="J110" s="119">
        <f t="shared" si="21"/>
        <v>87.80000000000291</v>
      </c>
      <c r="K110" s="110">
        <v>4986</v>
      </c>
      <c r="L110" s="120">
        <f t="shared" si="22"/>
        <v>13</v>
      </c>
      <c r="M110" s="111">
        <v>140</v>
      </c>
      <c r="N110" s="28">
        <f t="shared" si="23"/>
        <v>0.62714285714287799</v>
      </c>
      <c r="O110" s="58">
        <f t="shared" si="24"/>
        <v>204.10000000000582</v>
      </c>
      <c r="P110" s="79">
        <f t="shared" si="25"/>
        <v>289</v>
      </c>
      <c r="Q110" s="34">
        <f t="shared" si="26"/>
        <v>0.70622837370244229</v>
      </c>
      <c r="R110" s="1">
        <v>24</v>
      </c>
    </row>
    <row r="111" spans="1:19" ht="24" customHeight="1">
      <c r="A111" s="81">
        <v>61</v>
      </c>
      <c r="B111" s="121" t="s">
        <v>176</v>
      </c>
      <c r="C111" s="104">
        <v>53743</v>
      </c>
      <c r="D111" s="104">
        <v>53860.1</v>
      </c>
      <c r="E111" s="118">
        <f t="shared" si="19"/>
        <v>117.09999999999854</v>
      </c>
      <c r="F111" s="110">
        <v>4336</v>
      </c>
      <c r="G111" s="111">
        <v>148</v>
      </c>
      <c r="H111" s="55">
        <f t="shared" si="20"/>
        <v>0.79121621621620641</v>
      </c>
      <c r="I111" s="104">
        <v>53874.3</v>
      </c>
      <c r="J111" s="119">
        <f t="shared" si="21"/>
        <v>14.200000000004366</v>
      </c>
      <c r="K111" s="110">
        <v>4346</v>
      </c>
      <c r="L111" s="120">
        <f t="shared" si="22"/>
        <v>10</v>
      </c>
      <c r="M111" s="111">
        <v>57</v>
      </c>
      <c r="N111" s="28">
        <f t="shared" si="23"/>
        <v>0.24912280701762046</v>
      </c>
      <c r="O111" s="58">
        <f t="shared" si="24"/>
        <v>131.30000000000291</v>
      </c>
      <c r="P111" s="79">
        <f t="shared" si="25"/>
        <v>205</v>
      </c>
      <c r="Q111" s="34">
        <f t="shared" si="26"/>
        <v>0.64048780487806301</v>
      </c>
      <c r="R111" s="1">
        <v>12</v>
      </c>
    </row>
    <row r="112" spans="1:19" ht="24" customHeight="1">
      <c r="A112" s="81">
        <v>62</v>
      </c>
      <c r="B112" s="121" t="s">
        <v>177</v>
      </c>
      <c r="C112" s="104">
        <v>52798.8</v>
      </c>
      <c r="D112" s="104">
        <v>52902.400000000001</v>
      </c>
      <c r="E112" s="118">
        <f t="shared" si="19"/>
        <v>103.59999999999854</v>
      </c>
      <c r="F112" s="110">
        <v>4373</v>
      </c>
      <c r="G112" s="111">
        <v>127</v>
      </c>
      <c r="H112" s="55">
        <f t="shared" si="20"/>
        <v>0.81574803149605157</v>
      </c>
      <c r="I112" s="104">
        <v>52991.6</v>
      </c>
      <c r="J112" s="119">
        <f t="shared" si="21"/>
        <v>89.19999999999709</v>
      </c>
      <c r="K112" s="110">
        <v>4386</v>
      </c>
      <c r="L112" s="120">
        <f t="shared" si="22"/>
        <v>13</v>
      </c>
      <c r="M112" s="111">
        <v>125</v>
      </c>
      <c r="N112" s="28">
        <f t="shared" si="23"/>
        <v>0.7135999999999767</v>
      </c>
      <c r="O112" s="58">
        <f t="shared" si="24"/>
        <v>192.79999999999563</v>
      </c>
      <c r="P112" s="79">
        <f t="shared" si="25"/>
        <v>252</v>
      </c>
      <c r="Q112" s="34">
        <f t="shared" si="26"/>
        <v>0.76507936507934771</v>
      </c>
      <c r="R112" s="1">
        <v>27</v>
      </c>
    </row>
    <row r="113" spans="1:18" ht="24" customHeight="1">
      <c r="A113" s="81">
        <v>63</v>
      </c>
      <c r="B113" s="121" t="s">
        <v>178</v>
      </c>
      <c r="C113" s="104">
        <v>51308.4</v>
      </c>
      <c r="D113" s="104">
        <v>51413.4</v>
      </c>
      <c r="E113" s="118">
        <f t="shared" si="19"/>
        <v>105</v>
      </c>
      <c r="F113" s="110">
        <v>4114</v>
      </c>
      <c r="G113" s="111">
        <v>117</v>
      </c>
      <c r="H113" s="55">
        <f t="shared" si="20"/>
        <v>0.89743589743589747</v>
      </c>
      <c r="I113" s="104">
        <v>51502.1</v>
      </c>
      <c r="J113" s="119">
        <f t="shared" si="21"/>
        <v>88.69999999999709</v>
      </c>
      <c r="K113" s="110">
        <v>4128</v>
      </c>
      <c r="L113" s="120">
        <f t="shared" si="22"/>
        <v>14</v>
      </c>
      <c r="M113" s="111">
        <v>130</v>
      </c>
      <c r="N113" s="28">
        <f t="shared" si="23"/>
        <v>0.68230769230766997</v>
      </c>
      <c r="O113" s="58">
        <f t="shared" si="24"/>
        <v>193.69999999999709</v>
      </c>
      <c r="P113" s="79">
        <f t="shared" si="25"/>
        <v>247</v>
      </c>
      <c r="Q113" s="34">
        <f t="shared" si="26"/>
        <v>0.7842105263157777</v>
      </c>
      <c r="R113" s="1">
        <v>22</v>
      </c>
    </row>
    <row r="114" spans="1:18" ht="24" customHeight="1">
      <c r="A114" s="81">
        <v>64</v>
      </c>
      <c r="B114" s="121" t="s">
        <v>179</v>
      </c>
      <c r="C114" s="104">
        <v>52253.5</v>
      </c>
      <c r="D114" s="104">
        <v>52357.5</v>
      </c>
      <c r="E114" s="118">
        <f t="shared" si="19"/>
        <v>104</v>
      </c>
      <c r="F114" s="110">
        <v>4281</v>
      </c>
      <c r="G114" s="111">
        <v>111</v>
      </c>
      <c r="H114" s="55">
        <f t="shared" si="20"/>
        <v>0.93693693693693691</v>
      </c>
      <c r="I114" s="104">
        <v>52438.6</v>
      </c>
      <c r="J114" s="119">
        <f t="shared" si="21"/>
        <v>81.099999999998545</v>
      </c>
      <c r="K114" s="110">
        <v>4295</v>
      </c>
      <c r="L114" s="120">
        <f t="shared" si="22"/>
        <v>14</v>
      </c>
      <c r="M114" s="111">
        <v>128</v>
      </c>
      <c r="N114" s="28">
        <f t="shared" si="23"/>
        <v>0.63359374999998863</v>
      </c>
      <c r="O114" s="58">
        <f t="shared" si="24"/>
        <v>185.09999999999854</v>
      </c>
      <c r="P114" s="79">
        <f t="shared" si="25"/>
        <v>239</v>
      </c>
      <c r="Q114" s="34">
        <f t="shared" si="26"/>
        <v>0.77447698744769267</v>
      </c>
      <c r="R114" s="1">
        <v>27</v>
      </c>
    </row>
    <row r="115" spans="1:18" ht="24" customHeight="1">
      <c r="A115" s="81">
        <v>65</v>
      </c>
      <c r="B115" s="121" t="s">
        <v>180</v>
      </c>
      <c r="C115" s="104">
        <v>52515.4</v>
      </c>
      <c r="D115" s="104">
        <v>52515.4</v>
      </c>
      <c r="E115" s="118">
        <f t="shared" si="19"/>
        <v>0</v>
      </c>
      <c r="F115" s="110">
        <v>4225</v>
      </c>
      <c r="G115" s="111">
        <v>0</v>
      </c>
      <c r="H115" s="55">
        <f t="shared" si="20"/>
        <v>0</v>
      </c>
      <c r="I115" s="104">
        <v>52651.4</v>
      </c>
      <c r="J115" s="119">
        <f t="shared" si="21"/>
        <v>136</v>
      </c>
      <c r="K115" s="110">
        <v>4235</v>
      </c>
      <c r="L115" s="120">
        <f t="shared" si="22"/>
        <v>10</v>
      </c>
      <c r="M115" s="111">
        <v>172</v>
      </c>
      <c r="N115" s="28">
        <f t="shared" si="23"/>
        <v>0.79069767441860461</v>
      </c>
      <c r="O115" s="58">
        <f t="shared" si="24"/>
        <v>136</v>
      </c>
      <c r="P115" s="79">
        <f t="shared" si="25"/>
        <v>172</v>
      </c>
      <c r="Q115" s="34">
        <f t="shared" si="26"/>
        <v>0.79069767441860461</v>
      </c>
      <c r="R115" s="1">
        <v>29</v>
      </c>
    </row>
    <row r="116" spans="1:18" ht="24" customHeight="1">
      <c r="A116" s="81">
        <v>66</v>
      </c>
      <c r="B116" s="121" t="s">
        <v>110</v>
      </c>
      <c r="C116" s="104">
        <v>35819.599999999999</v>
      </c>
      <c r="D116" s="104">
        <v>35892.199999999997</v>
      </c>
      <c r="E116" s="118">
        <f t="shared" si="19"/>
        <v>72.599999999998545</v>
      </c>
      <c r="F116" s="110">
        <v>2874</v>
      </c>
      <c r="G116" s="111">
        <v>89</v>
      </c>
      <c r="H116" s="55">
        <f t="shared" si="20"/>
        <v>0.81573033707863529</v>
      </c>
      <c r="I116" s="104">
        <v>35972.199999999997</v>
      </c>
      <c r="J116" s="119">
        <f t="shared" si="21"/>
        <v>80</v>
      </c>
      <c r="K116" s="110">
        <v>2897</v>
      </c>
      <c r="L116" s="120">
        <f t="shared" si="22"/>
        <v>23</v>
      </c>
      <c r="M116" s="111">
        <v>122</v>
      </c>
      <c r="N116" s="28">
        <f t="shared" si="23"/>
        <v>0.65573770491803274</v>
      </c>
      <c r="O116" s="58">
        <f t="shared" si="24"/>
        <v>152.59999999999854</v>
      </c>
      <c r="P116" s="79">
        <f t="shared" si="25"/>
        <v>211</v>
      </c>
      <c r="Q116" s="34">
        <f t="shared" si="26"/>
        <v>0.72322274881515902</v>
      </c>
      <c r="R116" s="1">
        <v>26</v>
      </c>
    </row>
    <row r="117" spans="1:18" ht="22.2" customHeight="1">
      <c r="A117" s="123" t="s">
        <v>28</v>
      </c>
      <c r="B117" s="123"/>
      <c r="C117" s="40"/>
      <c r="D117" s="123"/>
      <c r="E117" s="124">
        <f>SUM(E51:E116)</f>
        <v>2745.9999999998909</v>
      </c>
      <c r="F117" s="125"/>
      <c r="G117" s="126">
        <f>SUM(G51:G116)</f>
        <v>3973.3</v>
      </c>
      <c r="H117" s="39"/>
      <c r="I117" s="40"/>
      <c r="J117" s="40">
        <f>SUM(J51:J116)</f>
        <v>4583.5999999999767</v>
      </c>
      <c r="K117" s="127"/>
      <c r="L117" s="128">
        <f>SUM(L51:L116)</f>
        <v>748.51000000000204</v>
      </c>
      <c r="M117" s="128">
        <f>SUM(M51:M116)</f>
        <v>6949</v>
      </c>
      <c r="N117" s="28">
        <f>IFERROR(J117/M117,0)</f>
        <v>0.65960569866167462</v>
      </c>
      <c r="O117" s="129">
        <f>SUM(O51:O116)</f>
        <v>7329.5999999998676</v>
      </c>
      <c r="P117" s="79">
        <f>G117+M117</f>
        <v>10922.3</v>
      </c>
      <c r="Q117" s="34">
        <f>IFERROR(O117/P117,0)</f>
        <v>0.6710674491636256</v>
      </c>
      <c r="R117" s="130">
        <f>SUM(R51:R116)</f>
        <v>1794</v>
      </c>
    </row>
    <row r="118" spans="1:18" ht="22.2" customHeight="1" thickBot="1">
      <c r="A118" s="206" t="s">
        <v>111</v>
      </c>
      <c r="B118" s="207"/>
      <c r="C118" s="207"/>
      <c r="D118" s="207"/>
      <c r="E118" s="207"/>
      <c r="F118" s="207"/>
      <c r="G118" s="207"/>
      <c r="H118" s="207"/>
      <c r="I118" s="207"/>
      <c r="J118" s="207"/>
      <c r="K118" s="207"/>
      <c r="L118" s="208"/>
      <c r="M118" s="131"/>
      <c r="N118" s="132"/>
      <c r="O118" s="133"/>
    </row>
    <row r="119" spans="1:18" ht="22.2" customHeight="1">
      <c r="A119" s="209" t="s">
        <v>3</v>
      </c>
      <c r="B119" s="211" t="s">
        <v>4</v>
      </c>
      <c r="C119" s="213" t="s">
        <v>5</v>
      </c>
      <c r="D119" s="214"/>
      <c r="E119" s="214"/>
      <c r="F119" s="214"/>
      <c r="G119" s="215"/>
      <c r="H119" s="216" t="s">
        <v>6</v>
      </c>
      <c r="I119" s="217"/>
      <c r="J119" s="217"/>
      <c r="K119" s="218"/>
      <c r="L119" s="48"/>
      <c r="M119" s="219" t="s">
        <v>7</v>
      </c>
      <c r="N119" s="194" t="s">
        <v>8</v>
      </c>
      <c r="O119" s="37"/>
    </row>
    <row r="120" spans="1:18" ht="27.6" customHeight="1" thickBot="1">
      <c r="A120" s="210"/>
      <c r="B120" s="212"/>
      <c r="C120" s="49" t="s">
        <v>11</v>
      </c>
      <c r="D120" s="49" t="s">
        <v>12</v>
      </c>
      <c r="E120" s="49" t="s">
        <v>13</v>
      </c>
      <c r="F120" s="6" t="s">
        <v>14</v>
      </c>
      <c r="G120" s="6" t="s">
        <v>8</v>
      </c>
      <c r="H120" s="49" t="s">
        <v>12</v>
      </c>
      <c r="I120" s="49" t="s">
        <v>13</v>
      </c>
      <c r="J120" s="49" t="s">
        <v>14</v>
      </c>
      <c r="K120" s="7" t="s">
        <v>8</v>
      </c>
      <c r="L120" s="50" t="s">
        <v>15</v>
      </c>
      <c r="M120" s="220"/>
      <c r="N120" s="195"/>
      <c r="O120" s="37"/>
    </row>
    <row r="121" spans="1:18" ht="22.2" customHeight="1">
      <c r="A121" s="76">
        <v>1</v>
      </c>
      <c r="B121" s="31" t="s">
        <v>112</v>
      </c>
      <c r="C121" s="35">
        <v>122082</v>
      </c>
      <c r="D121" s="35">
        <v>122082</v>
      </c>
      <c r="E121" s="17">
        <f>D121-C121</f>
        <v>0</v>
      </c>
      <c r="F121" s="33">
        <v>0</v>
      </c>
      <c r="G121" s="10">
        <f>IFERROR(F121/E121,0)</f>
        <v>0</v>
      </c>
      <c r="H121" s="35">
        <v>122082</v>
      </c>
      <c r="I121" s="19">
        <f>H121-D121</f>
        <v>0</v>
      </c>
      <c r="J121" s="33">
        <v>0</v>
      </c>
      <c r="K121" s="28">
        <f t="shared" ref="K121:K140" si="27">IFERROR(J121/I121,0)</f>
        <v>0</v>
      </c>
      <c r="L121" s="18">
        <f t="shared" ref="L121:M140" si="28">E121+I121</f>
        <v>0</v>
      </c>
      <c r="M121" s="22">
        <f>F121+J121</f>
        <v>0</v>
      </c>
      <c r="N121" s="71">
        <f>IFERROR(L121/M121,0)</f>
        <v>0</v>
      </c>
      <c r="O121" s="37"/>
    </row>
    <row r="122" spans="1:18" ht="22.2" customHeight="1">
      <c r="A122" s="76">
        <v>2</v>
      </c>
      <c r="B122" s="31" t="s">
        <v>113</v>
      </c>
      <c r="C122" s="35">
        <v>4298.33</v>
      </c>
      <c r="D122" s="35">
        <v>4298.33</v>
      </c>
      <c r="E122" s="17">
        <f t="shared" ref="E122:E140" si="29">D122-C122</f>
        <v>0</v>
      </c>
      <c r="F122" s="33">
        <v>0</v>
      </c>
      <c r="G122" s="10">
        <f t="shared" ref="G122:G140" si="30">IFERROR(F122/E122,0)</f>
        <v>0</v>
      </c>
      <c r="H122" s="35">
        <v>4298.33</v>
      </c>
      <c r="I122" s="19">
        <f>H122-D122</f>
        <v>0</v>
      </c>
      <c r="J122" s="33">
        <v>0</v>
      </c>
      <c r="K122" s="28">
        <f t="shared" si="27"/>
        <v>0</v>
      </c>
      <c r="L122" s="18">
        <f t="shared" si="28"/>
        <v>0</v>
      </c>
      <c r="M122" s="22">
        <f t="shared" si="28"/>
        <v>0</v>
      </c>
      <c r="N122" s="71">
        <f t="shared" ref="N122:N140" si="31">IFERROR(L122/M122,0)</f>
        <v>0</v>
      </c>
      <c r="O122" s="134"/>
    </row>
    <row r="123" spans="1:18" ht="22.2" customHeight="1">
      <c r="A123" s="76">
        <v>3</v>
      </c>
      <c r="B123" s="31" t="s">
        <v>114</v>
      </c>
      <c r="C123" s="35">
        <v>168.1</v>
      </c>
      <c r="D123" s="35">
        <v>168.1</v>
      </c>
      <c r="E123" s="17">
        <f t="shared" si="29"/>
        <v>0</v>
      </c>
      <c r="F123" s="33">
        <v>0</v>
      </c>
      <c r="G123" s="10">
        <f t="shared" si="30"/>
        <v>0</v>
      </c>
      <c r="H123" s="35">
        <v>168.1</v>
      </c>
      <c r="I123" s="19">
        <f t="shared" ref="I123:I140" si="32">H123-D123</f>
        <v>0</v>
      </c>
      <c r="J123" s="33">
        <v>0</v>
      </c>
      <c r="K123" s="28">
        <f t="shared" si="27"/>
        <v>0</v>
      </c>
      <c r="L123" s="18">
        <f t="shared" si="28"/>
        <v>0</v>
      </c>
      <c r="M123" s="22">
        <f t="shared" si="28"/>
        <v>0</v>
      </c>
      <c r="N123" s="71">
        <f t="shared" si="31"/>
        <v>0</v>
      </c>
      <c r="O123" s="37"/>
    </row>
    <row r="124" spans="1:18" ht="22.2" customHeight="1">
      <c r="A124" s="76">
        <v>4</v>
      </c>
      <c r="B124" s="31" t="s">
        <v>115</v>
      </c>
      <c r="C124" s="136">
        <v>141080</v>
      </c>
      <c r="D124" s="136">
        <v>141080</v>
      </c>
      <c r="E124" s="17">
        <f t="shared" si="29"/>
        <v>0</v>
      </c>
      <c r="F124" s="33">
        <v>0</v>
      </c>
      <c r="G124" s="10">
        <f t="shared" si="30"/>
        <v>0</v>
      </c>
      <c r="H124" s="136">
        <v>141080</v>
      </c>
      <c r="I124" s="19">
        <f t="shared" si="32"/>
        <v>0</v>
      </c>
      <c r="J124" s="33">
        <v>0</v>
      </c>
      <c r="K124" s="28">
        <f t="shared" si="27"/>
        <v>0</v>
      </c>
      <c r="L124" s="18">
        <f t="shared" si="28"/>
        <v>0</v>
      </c>
      <c r="M124" s="22">
        <f t="shared" si="28"/>
        <v>0</v>
      </c>
      <c r="N124" s="71">
        <f t="shared" si="31"/>
        <v>0</v>
      </c>
      <c r="O124" s="137"/>
    </row>
    <row r="125" spans="1:18" ht="22.2" customHeight="1">
      <c r="A125" s="76">
        <v>5</v>
      </c>
      <c r="B125" s="31" t="s">
        <v>116</v>
      </c>
      <c r="C125" s="35">
        <v>44558.9</v>
      </c>
      <c r="D125" s="35">
        <v>44558.9</v>
      </c>
      <c r="E125" s="17">
        <f t="shared" si="29"/>
        <v>0</v>
      </c>
      <c r="F125" s="33">
        <v>0</v>
      </c>
      <c r="G125" s="10">
        <f t="shared" si="30"/>
        <v>0</v>
      </c>
      <c r="H125" s="35">
        <v>44558.9</v>
      </c>
      <c r="I125" s="19">
        <f t="shared" si="32"/>
        <v>0</v>
      </c>
      <c r="J125" s="33">
        <v>0</v>
      </c>
      <c r="K125" s="28">
        <f t="shared" si="27"/>
        <v>0</v>
      </c>
      <c r="L125" s="18">
        <f t="shared" si="28"/>
        <v>0</v>
      </c>
      <c r="M125" s="22">
        <f t="shared" si="28"/>
        <v>0</v>
      </c>
      <c r="N125" s="71">
        <f t="shared" si="31"/>
        <v>0</v>
      </c>
      <c r="O125" s="77"/>
    </row>
    <row r="126" spans="1:18" ht="22.2" customHeight="1">
      <c r="A126" s="76">
        <v>6</v>
      </c>
      <c r="B126" s="31" t="s">
        <v>117</v>
      </c>
      <c r="C126" s="35">
        <v>100820</v>
      </c>
      <c r="D126" s="35">
        <v>100820</v>
      </c>
      <c r="E126" s="17">
        <f t="shared" si="29"/>
        <v>0</v>
      </c>
      <c r="F126" s="33">
        <v>0</v>
      </c>
      <c r="G126" s="10">
        <f t="shared" si="30"/>
        <v>0</v>
      </c>
      <c r="H126" s="35">
        <v>100820</v>
      </c>
      <c r="I126" s="19">
        <f t="shared" si="32"/>
        <v>0</v>
      </c>
      <c r="J126" s="33">
        <v>0</v>
      </c>
      <c r="K126" s="28">
        <f t="shared" si="27"/>
        <v>0</v>
      </c>
      <c r="L126" s="18">
        <f t="shared" si="28"/>
        <v>0</v>
      </c>
      <c r="M126" s="22">
        <f t="shared" si="28"/>
        <v>0</v>
      </c>
      <c r="N126" s="71">
        <f t="shared" si="31"/>
        <v>0</v>
      </c>
      <c r="O126" s="37"/>
    </row>
    <row r="127" spans="1:18" ht="22.2" customHeight="1">
      <c r="A127" s="76">
        <v>7</v>
      </c>
      <c r="B127" s="31" t="s">
        <v>118</v>
      </c>
      <c r="C127" s="35">
        <v>152282.79999999999</v>
      </c>
      <c r="D127" s="35">
        <v>152282.79999999999</v>
      </c>
      <c r="E127" s="17">
        <f t="shared" si="29"/>
        <v>0</v>
      </c>
      <c r="F127" s="33">
        <v>0</v>
      </c>
      <c r="G127" s="10">
        <f t="shared" si="30"/>
        <v>0</v>
      </c>
      <c r="H127" s="35">
        <v>152282.79999999999</v>
      </c>
      <c r="I127" s="19">
        <f t="shared" si="32"/>
        <v>0</v>
      </c>
      <c r="J127" s="33">
        <v>0</v>
      </c>
      <c r="K127" s="28">
        <f t="shared" si="27"/>
        <v>0</v>
      </c>
      <c r="L127" s="18">
        <f t="shared" si="28"/>
        <v>0</v>
      </c>
      <c r="M127" s="22">
        <f>F127+J127</f>
        <v>0</v>
      </c>
      <c r="N127" s="71">
        <f t="shared" si="31"/>
        <v>0</v>
      </c>
      <c r="O127" s="37"/>
    </row>
    <row r="128" spans="1:18" ht="22.2" customHeight="1">
      <c r="A128" s="76">
        <v>8</v>
      </c>
      <c r="B128" s="138" t="s">
        <v>119</v>
      </c>
      <c r="C128" s="136">
        <v>40766.5</v>
      </c>
      <c r="D128" s="136">
        <v>40766.5</v>
      </c>
      <c r="E128" s="17">
        <f t="shared" si="29"/>
        <v>0</v>
      </c>
      <c r="F128" s="33">
        <v>0</v>
      </c>
      <c r="G128" s="10">
        <f t="shared" si="30"/>
        <v>0</v>
      </c>
      <c r="H128" s="136">
        <v>40766.5</v>
      </c>
      <c r="I128" s="19">
        <f t="shared" si="32"/>
        <v>0</v>
      </c>
      <c r="J128" s="33">
        <v>0</v>
      </c>
      <c r="K128" s="28">
        <f t="shared" si="27"/>
        <v>0</v>
      </c>
      <c r="L128" s="18">
        <f t="shared" si="28"/>
        <v>0</v>
      </c>
      <c r="M128" s="22">
        <f>F128+J128</f>
        <v>0</v>
      </c>
      <c r="N128" s="71">
        <f t="shared" si="31"/>
        <v>0</v>
      </c>
      <c r="O128" s="37"/>
    </row>
    <row r="129" spans="1:17" ht="22.2" customHeight="1">
      <c r="A129" s="76">
        <v>9</v>
      </c>
      <c r="B129" s="138" t="s">
        <v>120</v>
      </c>
      <c r="C129" s="35">
        <v>33988</v>
      </c>
      <c r="D129" s="35">
        <v>33988</v>
      </c>
      <c r="E129" s="17">
        <f t="shared" si="29"/>
        <v>0</v>
      </c>
      <c r="F129" s="33">
        <v>0</v>
      </c>
      <c r="G129" s="10">
        <f t="shared" si="30"/>
        <v>0</v>
      </c>
      <c r="H129" s="35">
        <v>33988</v>
      </c>
      <c r="I129" s="19">
        <f t="shared" si="32"/>
        <v>0</v>
      </c>
      <c r="J129" s="33">
        <v>0</v>
      </c>
      <c r="K129" s="28">
        <f t="shared" si="27"/>
        <v>0</v>
      </c>
      <c r="L129" s="18">
        <f t="shared" si="28"/>
        <v>0</v>
      </c>
      <c r="M129" s="22">
        <f t="shared" si="28"/>
        <v>0</v>
      </c>
      <c r="N129" s="71">
        <f t="shared" si="31"/>
        <v>0</v>
      </c>
      <c r="O129" s="37"/>
    </row>
    <row r="130" spans="1:17" ht="22.2" customHeight="1">
      <c r="A130" s="76">
        <v>10</v>
      </c>
      <c r="B130" s="31" t="s">
        <v>121</v>
      </c>
      <c r="C130" s="35">
        <v>155851</v>
      </c>
      <c r="D130" s="35">
        <v>156086</v>
      </c>
      <c r="E130" s="17">
        <f t="shared" si="29"/>
        <v>235</v>
      </c>
      <c r="F130" s="33">
        <v>26</v>
      </c>
      <c r="G130" s="10">
        <f t="shared" si="30"/>
        <v>0.11063829787234042</v>
      </c>
      <c r="H130" s="35">
        <v>156086</v>
      </c>
      <c r="I130" s="19">
        <f t="shared" si="32"/>
        <v>0</v>
      </c>
      <c r="J130" s="33">
        <v>0</v>
      </c>
      <c r="K130" s="28">
        <f t="shared" si="27"/>
        <v>0</v>
      </c>
      <c r="L130" s="18">
        <f t="shared" si="28"/>
        <v>235</v>
      </c>
      <c r="M130" s="22">
        <f t="shared" si="28"/>
        <v>26</v>
      </c>
      <c r="N130" s="71">
        <f t="shared" si="31"/>
        <v>9.0384615384615383</v>
      </c>
      <c r="O130" s="137"/>
    </row>
    <row r="131" spans="1:17" ht="23.4" customHeight="1">
      <c r="A131" s="76">
        <v>11</v>
      </c>
      <c r="B131" s="138" t="s">
        <v>122</v>
      </c>
      <c r="C131" s="35">
        <v>36866</v>
      </c>
      <c r="D131" s="35">
        <v>36866</v>
      </c>
      <c r="E131" s="17">
        <f t="shared" si="29"/>
        <v>0</v>
      </c>
      <c r="F131" s="33">
        <v>0</v>
      </c>
      <c r="G131" s="10">
        <f t="shared" si="30"/>
        <v>0</v>
      </c>
      <c r="H131" s="35">
        <v>36866</v>
      </c>
      <c r="I131" s="19">
        <f t="shared" si="32"/>
        <v>0</v>
      </c>
      <c r="J131" s="33">
        <v>0</v>
      </c>
      <c r="K131" s="28">
        <f t="shared" si="27"/>
        <v>0</v>
      </c>
      <c r="L131" s="18">
        <f t="shared" si="28"/>
        <v>0</v>
      </c>
      <c r="M131" s="22">
        <f t="shared" si="28"/>
        <v>0</v>
      </c>
      <c r="N131" s="71">
        <f t="shared" si="31"/>
        <v>0</v>
      </c>
      <c r="O131" s="37"/>
      <c r="Q131" s="38"/>
    </row>
    <row r="132" spans="1:17" ht="22.2" customHeight="1">
      <c r="A132" s="76">
        <v>12</v>
      </c>
      <c r="B132" s="138" t="s">
        <v>123</v>
      </c>
      <c r="C132" s="35">
        <v>16418</v>
      </c>
      <c r="D132" s="35">
        <v>16418</v>
      </c>
      <c r="E132" s="17">
        <f t="shared" si="29"/>
        <v>0</v>
      </c>
      <c r="F132" s="33">
        <v>0</v>
      </c>
      <c r="G132" s="78">
        <f t="shared" si="30"/>
        <v>0</v>
      </c>
      <c r="H132" s="35">
        <v>16418</v>
      </c>
      <c r="I132" s="19">
        <f t="shared" si="32"/>
        <v>0</v>
      </c>
      <c r="J132" s="33">
        <v>0</v>
      </c>
      <c r="K132" s="28">
        <f t="shared" si="27"/>
        <v>0</v>
      </c>
      <c r="L132" s="18">
        <f t="shared" si="28"/>
        <v>0</v>
      </c>
      <c r="M132" s="79">
        <f t="shared" si="28"/>
        <v>0</v>
      </c>
      <c r="N132" s="71">
        <f t="shared" si="31"/>
        <v>0</v>
      </c>
      <c r="O132" s="37"/>
      <c r="Q132" s="45"/>
    </row>
    <row r="133" spans="1:17" ht="21.6" customHeight="1">
      <c r="A133" s="76">
        <v>13</v>
      </c>
      <c r="B133" s="171" t="s">
        <v>124</v>
      </c>
      <c r="C133" s="35">
        <v>890.2</v>
      </c>
      <c r="D133" s="35">
        <v>890.2</v>
      </c>
      <c r="E133" s="17">
        <f t="shared" si="29"/>
        <v>0</v>
      </c>
      <c r="F133" s="35">
        <v>0</v>
      </c>
      <c r="G133" s="78">
        <f t="shared" si="30"/>
        <v>0</v>
      </c>
      <c r="H133" s="35">
        <v>890.2</v>
      </c>
      <c r="I133" s="19">
        <f t="shared" si="32"/>
        <v>0</v>
      </c>
      <c r="J133" s="35">
        <v>0</v>
      </c>
      <c r="K133" s="28">
        <f t="shared" si="27"/>
        <v>0</v>
      </c>
      <c r="L133" s="18">
        <f t="shared" si="28"/>
        <v>0</v>
      </c>
      <c r="M133" s="79">
        <f t="shared" si="28"/>
        <v>0</v>
      </c>
      <c r="N133" s="71">
        <f t="shared" si="31"/>
        <v>0</v>
      </c>
      <c r="O133" s="37"/>
      <c r="Q133" s="45"/>
    </row>
    <row r="134" spans="1:17" ht="21.6" customHeight="1">
      <c r="A134" s="76">
        <v>14</v>
      </c>
      <c r="B134" s="171" t="s">
        <v>174</v>
      </c>
      <c r="C134" s="35">
        <v>2791</v>
      </c>
      <c r="D134" s="35">
        <v>2791</v>
      </c>
      <c r="E134" s="17">
        <f t="shared" si="29"/>
        <v>0</v>
      </c>
      <c r="F134" s="35">
        <v>0</v>
      </c>
      <c r="G134" s="78">
        <f t="shared" si="30"/>
        <v>0</v>
      </c>
      <c r="H134" s="35">
        <v>2791</v>
      </c>
      <c r="I134" s="19">
        <f t="shared" si="32"/>
        <v>0</v>
      </c>
      <c r="J134" s="141">
        <v>0</v>
      </c>
      <c r="K134" s="28">
        <f t="shared" si="27"/>
        <v>0</v>
      </c>
      <c r="L134" s="18">
        <f t="shared" si="28"/>
        <v>0</v>
      </c>
      <c r="M134" s="79">
        <f t="shared" si="28"/>
        <v>0</v>
      </c>
      <c r="N134" s="71">
        <f t="shared" si="31"/>
        <v>0</v>
      </c>
      <c r="O134" s="37"/>
      <c r="Q134" s="45"/>
    </row>
    <row r="135" spans="1:17" ht="25.2" customHeight="1">
      <c r="A135" s="76">
        <v>15</v>
      </c>
      <c r="B135" s="138" t="s">
        <v>127</v>
      </c>
      <c r="C135" s="35">
        <v>0</v>
      </c>
      <c r="D135" s="35">
        <v>0</v>
      </c>
      <c r="E135" s="17">
        <f t="shared" si="29"/>
        <v>0</v>
      </c>
      <c r="F135" s="33">
        <v>0</v>
      </c>
      <c r="G135" s="78">
        <f t="shared" si="30"/>
        <v>0</v>
      </c>
      <c r="H135" s="35">
        <v>0</v>
      </c>
      <c r="I135" s="19">
        <f t="shared" si="32"/>
        <v>0</v>
      </c>
      <c r="J135" s="33">
        <v>0</v>
      </c>
      <c r="K135" s="28">
        <f t="shared" si="27"/>
        <v>0</v>
      </c>
      <c r="L135" s="18">
        <f t="shared" si="28"/>
        <v>0</v>
      </c>
      <c r="M135" s="79">
        <f t="shared" si="28"/>
        <v>0</v>
      </c>
      <c r="N135" s="71">
        <f t="shared" si="31"/>
        <v>0</v>
      </c>
      <c r="O135" s="77"/>
      <c r="Q135" s="45"/>
    </row>
    <row r="136" spans="1:17" ht="25.2" customHeight="1">
      <c r="A136" s="76">
        <v>16</v>
      </c>
      <c r="B136" s="138" t="s">
        <v>183</v>
      </c>
      <c r="C136" s="35">
        <v>295805</v>
      </c>
      <c r="D136" s="35">
        <v>295805</v>
      </c>
      <c r="E136" s="17">
        <f t="shared" si="29"/>
        <v>0</v>
      </c>
      <c r="F136" s="33">
        <v>0</v>
      </c>
      <c r="G136" s="78">
        <f t="shared" si="30"/>
        <v>0</v>
      </c>
      <c r="H136" s="35">
        <v>295805</v>
      </c>
      <c r="I136" s="19">
        <f t="shared" si="32"/>
        <v>0</v>
      </c>
      <c r="J136" s="33">
        <v>0</v>
      </c>
      <c r="K136" s="28">
        <f t="shared" si="27"/>
        <v>0</v>
      </c>
      <c r="L136" s="18">
        <f t="shared" si="28"/>
        <v>0</v>
      </c>
      <c r="M136" s="79">
        <f t="shared" si="28"/>
        <v>0</v>
      </c>
      <c r="N136" s="71">
        <f t="shared" si="31"/>
        <v>0</v>
      </c>
      <c r="O136" s="77"/>
      <c r="Q136" s="45"/>
    </row>
    <row r="137" spans="1:17" ht="25.2" customHeight="1">
      <c r="A137" s="76">
        <v>17</v>
      </c>
      <c r="B137" s="138" t="s">
        <v>184</v>
      </c>
      <c r="C137" s="35">
        <v>77139.3</v>
      </c>
      <c r="D137" s="35">
        <v>77139.3</v>
      </c>
      <c r="E137" s="17">
        <f t="shared" si="29"/>
        <v>0</v>
      </c>
      <c r="F137" s="33">
        <v>0</v>
      </c>
      <c r="G137" s="78">
        <f t="shared" si="30"/>
        <v>0</v>
      </c>
      <c r="H137" s="35">
        <v>77139.3</v>
      </c>
      <c r="I137" s="19">
        <f t="shared" si="32"/>
        <v>0</v>
      </c>
      <c r="J137" s="33">
        <v>0</v>
      </c>
      <c r="K137" s="28">
        <f t="shared" si="27"/>
        <v>0</v>
      </c>
      <c r="L137" s="18">
        <f t="shared" si="28"/>
        <v>0</v>
      </c>
      <c r="M137" s="79">
        <f t="shared" si="28"/>
        <v>0</v>
      </c>
      <c r="N137" s="71">
        <f t="shared" si="31"/>
        <v>0</v>
      </c>
      <c r="O137" s="77"/>
      <c r="Q137" s="45"/>
    </row>
    <row r="138" spans="1:17" ht="25.2" customHeight="1">
      <c r="A138" s="76">
        <v>18</v>
      </c>
      <c r="B138" s="138" t="s">
        <v>185</v>
      </c>
      <c r="C138" s="35">
        <v>113495.8</v>
      </c>
      <c r="D138" s="35">
        <v>113495.8</v>
      </c>
      <c r="E138" s="17">
        <f t="shared" si="29"/>
        <v>0</v>
      </c>
      <c r="F138" s="33">
        <v>0</v>
      </c>
      <c r="G138" s="78">
        <f t="shared" si="30"/>
        <v>0</v>
      </c>
      <c r="H138" s="35">
        <v>113495.8</v>
      </c>
      <c r="I138" s="19">
        <f t="shared" si="32"/>
        <v>0</v>
      </c>
      <c r="J138" s="33">
        <v>0</v>
      </c>
      <c r="K138" s="28">
        <f t="shared" si="27"/>
        <v>0</v>
      </c>
      <c r="L138" s="18">
        <f t="shared" si="28"/>
        <v>0</v>
      </c>
      <c r="M138" s="79">
        <f t="shared" si="28"/>
        <v>0</v>
      </c>
      <c r="N138" s="71">
        <f t="shared" si="31"/>
        <v>0</v>
      </c>
      <c r="O138" s="77"/>
      <c r="Q138" s="45"/>
    </row>
    <row r="139" spans="1:17" ht="25.2" customHeight="1">
      <c r="A139" s="76">
        <v>19</v>
      </c>
      <c r="B139" s="138" t="s">
        <v>187</v>
      </c>
      <c r="C139" s="35">
        <v>59801.4</v>
      </c>
      <c r="D139" s="35">
        <v>59801.4</v>
      </c>
      <c r="E139" s="35">
        <f t="shared" si="29"/>
        <v>0</v>
      </c>
      <c r="F139" s="33">
        <v>0</v>
      </c>
      <c r="G139" s="78">
        <f t="shared" si="30"/>
        <v>0</v>
      </c>
      <c r="H139" s="35">
        <v>59801.4</v>
      </c>
      <c r="I139" s="56">
        <f t="shared" si="32"/>
        <v>0</v>
      </c>
      <c r="J139" s="33">
        <v>0</v>
      </c>
      <c r="K139" s="28">
        <f t="shared" si="27"/>
        <v>0</v>
      </c>
      <c r="L139" s="84">
        <f t="shared" si="28"/>
        <v>0</v>
      </c>
      <c r="M139" s="79">
        <f t="shared" si="28"/>
        <v>0</v>
      </c>
      <c r="N139" s="34">
        <f t="shared" si="31"/>
        <v>0</v>
      </c>
      <c r="O139" s="77"/>
      <c r="Q139" s="45"/>
    </row>
    <row r="140" spans="1:17" ht="25.2" customHeight="1">
      <c r="A140" s="76">
        <v>20</v>
      </c>
      <c r="B140" s="138" t="s">
        <v>188</v>
      </c>
      <c r="C140" s="35">
        <v>485627</v>
      </c>
      <c r="D140" s="35">
        <v>485627</v>
      </c>
      <c r="E140" s="35">
        <f t="shared" si="29"/>
        <v>0</v>
      </c>
      <c r="F140" s="33">
        <v>0</v>
      </c>
      <c r="G140" s="78">
        <f t="shared" si="30"/>
        <v>0</v>
      </c>
      <c r="H140" s="35">
        <v>485627</v>
      </c>
      <c r="I140" s="56">
        <f t="shared" si="32"/>
        <v>0</v>
      </c>
      <c r="J140" s="33">
        <v>220.45</v>
      </c>
      <c r="K140" s="28">
        <f t="shared" si="27"/>
        <v>0</v>
      </c>
      <c r="L140" s="84">
        <f t="shared" si="28"/>
        <v>0</v>
      </c>
      <c r="M140" s="79">
        <f t="shared" si="28"/>
        <v>220.45</v>
      </c>
      <c r="N140" s="34">
        <f t="shared" si="31"/>
        <v>0</v>
      </c>
      <c r="O140" s="77"/>
      <c r="Q140" s="45"/>
    </row>
    <row r="141" spans="1:17" ht="18">
      <c r="A141" s="196" t="s">
        <v>28</v>
      </c>
      <c r="B141" s="197"/>
      <c r="C141" s="123"/>
      <c r="D141" s="123"/>
      <c r="E141" s="40">
        <f>SUM(E121:E140)</f>
        <v>235</v>
      </c>
      <c r="F141" s="40">
        <f>SUM(F121:F140)</f>
        <v>26</v>
      </c>
      <c r="G141" s="39"/>
      <c r="H141" s="39"/>
      <c r="I141" s="40">
        <f>SUM(I121:I140)</f>
        <v>0</v>
      </c>
      <c r="J141" s="40">
        <f>SUM(J121:J140)</f>
        <v>220.45</v>
      </c>
      <c r="K141" s="145"/>
      <c r="L141" s="146">
        <f>SUM(L121:L140)</f>
        <v>235</v>
      </c>
      <c r="M141" s="147">
        <f>SUM(M121:M140)</f>
        <v>246.45</v>
      </c>
      <c r="N141" s="34"/>
      <c r="O141" s="37"/>
      <c r="P141" s="72"/>
    </row>
    <row r="142" spans="1:17" ht="21.6" thickBot="1">
      <c r="A142" s="148"/>
      <c r="B142" s="149"/>
      <c r="C142" s="149"/>
      <c r="D142" s="149"/>
      <c r="E142" s="149" t="s">
        <v>139</v>
      </c>
      <c r="F142" s="150">
        <f>F19+F25+F34+F40+F47+G117+F141</f>
        <v>8222.5400000000009</v>
      </c>
      <c r="G142" s="149"/>
      <c r="H142" s="149"/>
      <c r="I142" s="151" t="s">
        <v>140</v>
      </c>
      <c r="J142" s="150">
        <f>J19+J25+J34+J40+J47+M117+J141</f>
        <v>10789.720000000001</v>
      </c>
      <c r="K142" s="198" t="s">
        <v>141</v>
      </c>
      <c r="L142" s="198"/>
      <c r="M142" s="198"/>
      <c r="N142" s="198"/>
      <c r="O142" s="152"/>
    </row>
    <row r="143" spans="1:17" ht="15">
      <c r="B143" s="153"/>
      <c r="C143" s="152"/>
      <c r="D143" s="152"/>
      <c r="E143" s="152"/>
      <c r="F143" s="152"/>
      <c r="G143" s="152"/>
      <c r="H143" s="152"/>
      <c r="I143" s="152"/>
      <c r="J143" s="154"/>
      <c r="K143" s="155" t="s">
        <v>142</v>
      </c>
      <c r="L143" s="199">
        <f>N2</f>
        <v>46220</v>
      </c>
      <c r="M143" s="200"/>
      <c r="N143" s="156"/>
      <c r="O143" s="157">
        <f>M141-N149</f>
        <v>246.45</v>
      </c>
    </row>
    <row r="144" spans="1:17" ht="18">
      <c r="B144" s="158" t="s">
        <v>143</v>
      </c>
      <c r="C144" s="159">
        <f>F142</f>
        <v>8222.5400000000009</v>
      </c>
      <c r="D144" s="160"/>
      <c r="E144" s="160"/>
      <c r="F144" s="159"/>
      <c r="G144" s="160"/>
      <c r="H144" s="160"/>
      <c r="I144" s="160"/>
      <c r="J144" s="45"/>
      <c r="K144" s="188" t="s">
        <v>144</v>
      </c>
      <c r="L144" s="189"/>
      <c r="M144" s="190"/>
      <c r="N144" s="161">
        <f>P117</f>
        <v>10922.3</v>
      </c>
      <c r="O144" s="152"/>
    </row>
    <row r="145" spans="1:16" ht="18">
      <c r="B145" s="158" t="s">
        <v>145</v>
      </c>
      <c r="C145" s="159">
        <f>J142</f>
        <v>10789.720000000001</v>
      </c>
      <c r="D145" s="160"/>
      <c r="E145" s="160"/>
      <c r="F145" s="159"/>
      <c r="G145" s="159"/>
      <c r="H145" s="160"/>
      <c r="I145" s="160"/>
      <c r="J145" s="45"/>
      <c r="K145" s="188" t="s">
        <v>146</v>
      </c>
      <c r="L145" s="189"/>
      <c r="M145" s="190"/>
      <c r="N145" s="161">
        <f>M19</f>
        <v>5024.2700000000004</v>
      </c>
      <c r="O145" s="152"/>
    </row>
    <row r="146" spans="1:16" ht="18">
      <c r="B146" s="158" t="s">
        <v>28</v>
      </c>
      <c r="C146" s="159">
        <f>C144+C145</f>
        <v>19012.260000000002</v>
      </c>
      <c r="D146" s="160"/>
      <c r="E146" s="160"/>
      <c r="F146" s="160"/>
      <c r="G146" s="159"/>
      <c r="H146" s="160"/>
      <c r="I146" s="160"/>
      <c r="K146" s="188" t="s">
        <v>147</v>
      </c>
      <c r="L146" s="189"/>
      <c r="M146" s="190"/>
      <c r="N146" s="161">
        <f>M34</f>
        <v>1499.1699999999998</v>
      </c>
    </row>
    <row r="147" spans="1:16" ht="18">
      <c r="C147" s="45"/>
      <c r="D147" s="45"/>
      <c r="E147" s="45"/>
      <c r="F147" s="45"/>
      <c r="G147" s="45"/>
      <c r="H147" s="160" t="s">
        <v>94</v>
      </c>
      <c r="I147" s="45"/>
      <c r="K147" s="188" t="s">
        <v>148</v>
      </c>
      <c r="L147" s="189"/>
      <c r="M147" s="190"/>
      <c r="N147" s="161">
        <f>M40</f>
        <v>520.32000000000005</v>
      </c>
    </row>
    <row r="148" spans="1:16" ht="25.2" customHeight="1">
      <c r="B148" s="162" t="s">
        <v>149</v>
      </c>
      <c r="C148" s="193"/>
      <c r="D148" s="193"/>
      <c r="E148" s="193"/>
      <c r="F148" s="193"/>
      <c r="G148" s="193"/>
      <c r="H148" s="193"/>
      <c r="I148" s="193"/>
      <c r="J148" s="193"/>
      <c r="K148" s="188" t="s">
        <v>150</v>
      </c>
      <c r="L148" s="189"/>
      <c r="M148" s="190"/>
      <c r="N148" s="161">
        <f>M47</f>
        <v>419</v>
      </c>
    </row>
    <row r="149" spans="1:16" ht="18">
      <c r="C149" s="45"/>
      <c r="D149" s="45"/>
      <c r="E149" s="26"/>
      <c r="F149" s="26"/>
      <c r="G149" s="45"/>
      <c r="H149" s="160"/>
      <c r="I149" s="45"/>
      <c r="K149" s="188" t="s">
        <v>151</v>
      </c>
      <c r="L149" s="189"/>
      <c r="M149" s="190"/>
      <c r="N149" s="161">
        <f>M125+M126+M127+M128</f>
        <v>0</v>
      </c>
    </row>
    <row r="150" spans="1:16" ht="18">
      <c r="E150" s="38"/>
      <c r="F150" s="45"/>
      <c r="G150" s="45"/>
      <c r="H150" s="160"/>
      <c r="I150" s="45"/>
      <c r="K150" s="188" t="s">
        <v>152</v>
      </c>
      <c r="L150" s="189"/>
      <c r="M150" s="190"/>
      <c r="N150" s="161">
        <f>O143</f>
        <v>246.45</v>
      </c>
    </row>
    <row r="151" spans="1:16" ht="18.600000000000001" thickBot="1">
      <c r="C151" s="38"/>
      <c r="D151" s="38"/>
      <c r="G151" s="163"/>
      <c r="H151" s="160"/>
      <c r="K151" s="188" t="s">
        <v>153</v>
      </c>
      <c r="L151" s="189"/>
      <c r="M151" s="190"/>
      <c r="N151" s="164">
        <f>M25</f>
        <v>380.75</v>
      </c>
      <c r="P151" s="38"/>
    </row>
    <row r="152" spans="1:16" ht="16.8" thickBot="1">
      <c r="C152" s="38"/>
      <c r="D152" s="38"/>
      <c r="E152" s="38"/>
      <c r="F152" s="38"/>
      <c r="H152" s="38"/>
      <c r="K152" s="191" t="s">
        <v>154</v>
      </c>
      <c r="L152" s="192"/>
      <c r="M152" s="192"/>
      <c r="N152" s="165">
        <f>SUM(N144:N151)</f>
        <v>19012.259999999998</v>
      </c>
    </row>
    <row r="153" spans="1:16">
      <c r="C153" s="38"/>
      <c r="D153" s="38"/>
      <c r="E153" s="159"/>
      <c r="F153" s="159"/>
      <c r="H153" s="38"/>
      <c r="I153" s="38"/>
    </row>
    <row r="154" spans="1:16">
      <c r="C154" s="38"/>
      <c r="D154" s="38"/>
      <c r="E154" s="38"/>
      <c r="F154" s="38"/>
      <c r="H154" s="160"/>
    </row>
    <row r="155" spans="1:16">
      <c r="A155" s="159"/>
      <c r="B155" s="159"/>
      <c r="C155" s="159"/>
      <c r="D155" s="159"/>
      <c r="E155" s="159"/>
      <c r="F155" s="159"/>
      <c r="G155" s="38"/>
      <c r="H155" s="38"/>
      <c r="N155" s="45"/>
    </row>
    <row r="156" spans="1:16">
      <c r="A156" s="159"/>
    </row>
  </sheetData>
  <mergeCells count="72">
    <mergeCell ref="K151:M151"/>
    <mergeCell ref="K152:M152"/>
    <mergeCell ref="K146:M146"/>
    <mergeCell ref="K147:M147"/>
    <mergeCell ref="C148:J148"/>
    <mergeCell ref="K148:M148"/>
    <mergeCell ref="K149:M149"/>
    <mergeCell ref="K150:M150"/>
    <mergeCell ref="K145:M145"/>
    <mergeCell ref="O49:O50"/>
    <mergeCell ref="P49:P50"/>
    <mergeCell ref="Q49:Q50"/>
    <mergeCell ref="R49:R50"/>
    <mergeCell ref="A118:L118"/>
    <mergeCell ref="A119:A120"/>
    <mergeCell ref="B119:B120"/>
    <mergeCell ref="C119:G119"/>
    <mergeCell ref="H119:K119"/>
    <mergeCell ref="M119:M120"/>
    <mergeCell ref="N119:N120"/>
    <mergeCell ref="A141:B141"/>
    <mergeCell ref="K142:N142"/>
    <mergeCell ref="L143:M143"/>
    <mergeCell ref="K144:M144"/>
    <mergeCell ref="M42:M43"/>
    <mergeCell ref="N42:N43"/>
    <mergeCell ref="A47:B47"/>
    <mergeCell ref="A48:L48"/>
    <mergeCell ref="A49:A50"/>
    <mergeCell ref="B49:B50"/>
    <mergeCell ref="C49:H49"/>
    <mergeCell ref="I49:N49"/>
    <mergeCell ref="A40:B40"/>
    <mergeCell ref="A41:L41"/>
    <mergeCell ref="A42:A43"/>
    <mergeCell ref="B42:B43"/>
    <mergeCell ref="C42:G42"/>
    <mergeCell ref="H42:K42"/>
    <mergeCell ref="M27:M28"/>
    <mergeCell ref="N27:N28"/>
    <mergeCell ref="A34:B34"/>
    <mergeCell ref="A35:L35"/>
    <mergeCell ref="A36:A37"/>
    <mergeCell ref="B36:B37"/>
    <mergeCell ref="C36:G36"/>
    <mergeCell ref="H36:K36"/>
    <mergeCell ref="M36:M37"/>
    <mergeCell ref="N36:N37"/>
    <mergeCell ref="A25:B25"/>
    <mergeCell ref="A26:L26"/>
    <mergeCell ref="A27:A28"/>
    <mergeCell ref="B27:B28"/>
    <mergeCell ref="C27:G27"/>
    <mergeCell ref="H27:K27"/>
    <mergeCell ref="O3:O4"/>
    <mergeCell ref="P3:P4"/>
    <mergeCell ref="A19:B19"/>
    <mergeCell ref="A20:L20"/>
    <mergeCell ref="A21:A22"/>
    <mergeCell ref="B21:B22"/>
    <mergeCell ref="C21:G21"/>
    <mergeCell ref="H21:K21"/>
    <mergeCell ref="M21:M22"/>
    <mergeCell ref="N21:N22"/>
    <mergeCell ref="A1:N1"/>
    <mergeCell ref="A2:L2"/>
    <mergeCell ref="A3:A4"/>
    <mergeCell ref="B3:B4"/>
    <mergeCell ref="C3:G3"/>
    <mergeCell ref="H3:L3"/>
    <mergeCell ref="M3:M4"/>
    <mergeCell ref="N3:N4"/>
  </mergeCells>
  <conditionalFormatting sqref="N7:N20 N23:N24 N29:N33 N38:N39 N44:N46">
    <cfRule type="cellIs" dxfId="19" priority="2" operator="greaterThan">
      <formula>40</formula>
    </cfRule>
  </conditionalFormatting>
  <conditionalFormatting sqref="Q51:Q117">
    <cfRule type="cellIs" dxfId="18" priority="1" operator="lessThan">
      <formula>0.5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4E569-15AC-40C2-82BC-D5151CC5A772}">
  <dimension ref="A1:AA157"/>
  <sheetViews>
    <sheetView zoomScale="74" zoomScaleNormal="74" workbookViewId="0">
      <pane ySplit="1" topLeftCell="A98" activePane="bottomLeft" state="frozen"/>
      <selection pane="bottomLeft" activeCell="K109" sqref="K109"/>
    </sheetView>
  </sheetViews>
  <sheetFormatPr defaultColWidth="9" defaultRowHeight="14.4"/>
  <cols>
    <col min="1" max="1" width="8.5546875" customWidth="1"/>
    <col min="2" max="2" width="29.44140625" bestFit="1" customWidth="1"/>
    <col min="3" max="3" width="11.6640625" customWidth="1"/>
    <col min="4" max="4" width="11.21875" customWidth="1"/>
    <col min="5" max="5" width="9.77734375" customWidth="1"/>
    <col min="6" max="6" width="13.6640625" customWidth="1"/>
    <col min="7" max="7" width="10" customWidth="1"/>
    <col min="8" max="8" width="9.77734375" customWidth="1"/>
    <col min="9" max="9" width="12.77734375" bestFit="1" customWidth="1"/>
    <col min="10" max="10" width="10.6640625" bestFit="1" customWidth="1"/>
    <col min="11" max="11" width="15.77734375" customWidth="1"/>
    <col min="12" max="12" width="10.77734375" customWidth="1"/>
    <col min="13" max="13" width="12.5546875" customWidth="1"/>
    <col min="14" max="14" width="17.88671875" customWidth="1"/>
    <col min="15" max="15" width="13.44140625" customWidth="1"/>
    <col min="16" max="16" width="17" customWidth="1"/>
    <col min="17" max="17" width="11.109375" bestFit="1" customWidth="1"/>
    <col min="19" max="19" width="9.21875" bestFit="1" customWidth="1"/>
    <col min="20" max="20" width="8.21875" bestFit="1" customWidth="1"/>
    <col min="21" max="22" width="11.21875" customWidth="1"/>
  </cols>
  <sheetData>
    <row r="1" spans="1:22" ht="18.600000000000001" thickBot="1">
      <c r="A1" s="249" t="s">
        <v>0</v>
      </c>
      <c r="B1" s="249"/>
      <c r="C1" s="249"/>
      <c r="D1" s="249"/>
      <c r="E1" s="249"/>
      <c r="F1" s="249"/>
      <c r="G1" s="249"/>
      <c r="H1" s="249"/>
      <c r="I1" s="249"/>
      <c r="J1" s="249"/>
      <c r="K1" s="249"/>
      <c r="L1" s="249"/>
      <c r="M1" s="249"/>
      <c r="N1" s="249"/>
      <c r="O1" s="1"/>
      <c r="V1" s="2"/>
    </row>
    <row r="2" spans="1:22" ht="19.8" customHeight="1" thickBot="1">
      <c r="A2" s="250" t="s">
        <v>1</v>
      </c>
      <c r="B2" s="251"/>
      <c r="C2" s="252"/>
      <c r="D2" s="252"/>
      <c r="E2" s="252"/>
      <c r="F2" s="252"/>
      <c r="G2" s="252"/>
      <c r="H2" s="252"/>
      <c r="I2" s="252"/>
      <c r="J2" s="252"/>
      <c r="K2" s="252"/>
      <c r="L2" s="251"/>
      <c r="M2" s="3" t="s">
        <v>2</v>
      </c>
      <c r="N2" s="4">
        <v>46221</v>
      </c>
      <c r="O2" s="1"/>
    </row>
    <row r="3" spans="1:22" ht="18" customHeight="1">
      <c r="A3" s="209" t="s">
        <v>3</v>
      </c>
      <c r="B3" s="211" t="s">
        <v>4</v>
      </c>
      <c r="C3" s="213" t="s">
        <v>5</v>
      </c>
      <c r="D3" s="214"/>
      <c r="E3" s="214"/>
      <c r="F3" s="214"/>
      <c r="G3" s="215"/>
      <c r="H3" s="253" t="s">
        <v>6</v>
      </c>
      <c r="I3" s="254"/>
      <c r="J3" s="254"/>
      <c r="K3" s="254"/>
      <c r="L3" s="255"/>
      <c r="M3" s="219" t="s">
        <v>7</v>
      </c>
      <c r="N3" s="194" t="s">
        <v>8</v>
      </c>
      <c r="O3" s="243" t="s">
        <v>9</v>
      </c>
      <c r="P3" s="222" t="s">
        <v>10</v>
      </c>
    </row>
    <row r="4" spans="1:22" ht="22.8" customHeight="1">
      <c r="A4" s="247"/>
      <c r="B4" s="248"/>
      <c r="C4" s="6" t="s">
        <v>11</v>
      </c>
      <c r="D4" s="6" t="s">
        <v>12</v>
      </c>
      <c r="E4" s="6" t="s">
        <v>13</v>
      </c>
      <c r="F4" s="6" t="s">
        <v>14</v>
      </c>
      <c r="G4" s="6" t="s">
        <v>8</v>
      </c>
      <c r="H4" s="6" t="s">
        <v>12</v>
      </c>
      <c r="I4" s="6" t="s">
        <v>13</v>
      </c>
      <c r="J4" s="6" t="s">
        <v>14</v>
      </c>
      <c r="K4" s="7" t="s">
        <v>8</v>
      </c>
      <c r="L4" s="8" t="s">
        <v>15</v>
      </c>
      <c r="M4" s="236"/>
      <c r="N4" s="237"/>
      <c r="O4" s="248"/>
      <c r="P4" s="243"/>
    </row>
    <row r="5" spans="1:22" ht="22.8" customHeight="1">
      <c r="A5" s="5">
        <v>1</v>
      </c>
      <c r="B5" s="9" t="s">
        <v>175</v>
      </c>
      <c r="C5" s="2">
        <v>32083.1</v>
      </c>
      <c r="D5" s="2">
        <v>32092.799999999999</v>
      </c>
      <c r="E5" s="2">
        <f>D5-C5</f>
        <v>9.7000000000007276</v>
      </c>
      <c r="F5" s="2">
        <v>313.7</v>
      </c>
      <c r="G5" s="10">
        <f>IFERROR(F5/E5,0)</f>
        <v>32.340206185564583</v>
      </c>
      <c r="H5" s="2">
        <v>32100.6</v>
      </c>
      <c r="I5" s="167">
        <f>H5-D5</f>
        <v>7.7999999999992724</v>
      </c>
      <c r="J5" s="2">
        <v>215.24</v>
      </c>
      <c r="K5" s="11">
        <f>IFERROR(J5/I5,0)</f>
        <v>27.594871794874368</v>
      </c>
      <c r="L5" s="12">
        <f t="shared" ref="L5:M17" si="0">E5+I5</f>
        <v>17.5</v>
      </c>
      <c r="M5" s="13">
        <f t="shared" si="0"/>
        <v>528.94000000000005</v>
      </c>
      <c r="N5" s="14">
        <f>IFERROR(M5/L5,0)</f>
        <v>30.22514285714286</v>
      </c>
      <c r="O5" s="2">
        <v>162</v>
      </c>
      <c r="P5" s="5"/>
    </row>
    <row r="6" spans="1:22" ht="22.8" customHeight="1">
      <c r="A6" s="81">
        <v>2</v>
      </c>
      <c r="B6" s="16" t="s">
        <v>170</v>
      </c>
      <c r="C6" s="49">
        <v>33906.699999999997</v>
      </c>
      <c r="D6" s="49">
        <v>33916.9</v>
      </c>
      <c r="E6" s="2">
        <f>D6-C6</f>
        <v>10.200000000004366</v>
      </c>
      <c r="F6" s="49">
        <v>288.08</v>
      </c>
      <c r="G6" s="10">
        <f>IFERROR(F6/E6,0)</f>
        <v>28.24313725488987</v>
      </c>
      <c r="H6" s="49">
        <v>33920.1</v>
      </c>
      <c r="I6" s="167">
        <f>H6-D6</f>
        <v>3.1999999999970896</v>
      </c>
      <c r="J6" s="49">
        <v>90.66</v>
      </c>
      <c r="K6" s="11">
        <f>IFERROR(J6/I6,0)</f>
        <v>28.331250000025765</v>
      </c>
      <c r="L6" s="12">
        <f t="shared" si="0"/>
        <v>13.400000000001455</v>
      </c>
      <c r="M6" s="13">
        <f t="shared" si="0"/>
        <v>378.74</v>
      </c>
      <c r="N6" s="14">
        <f>IFERROR(M6/L6,0)</f>
        <v>28.264179104474543</v>
      </c>
      <c r="O6" s="49">
        <v>58</v>
      </c>
      <c r="P6" s="81"/>
    </row>
    <row r="7" spans="1:22" ht="24" customHeight="1">
      <c r="A7" s="5">
        <v>3</v>
      </c>
      <c r="B7" s="16" t="s">
        <v>17</v>
      </c>
      <c r="C7" s="17">
        <v>32493.3</v>
      </c>
      <c r="D7" s="17">
        <v>32493.3</v>
      </c>
      <c r="E7" s="17">
        <f t="shared" ref="E7:E18" si="1">D7-C7</f>
        <v>0</v>
      </c>
      <c r="F7" s="18">
        <v>0</v>
      </c>
      <c r="G7" s="10">
        <f>IFERROR(F7/E7,0)</f>
        <v>0</v>
      </c>
      <c r="H7" s="17">
        <v>32493.3</v>
      </c>
      <c r="I7" s="19">
        <f t="shared" ref="I7:I14" si="2">H7-D7</f>
        <v>0</v>
      </c>
      <c r="J7" s="20">
        <v>0</v>
      </c>
      <c r="K7" s="21">
        <f>IFERROR(J7/I7,0)</f>
        <v>0</v>
      </c>
      <c r="L7" s="18">
        <f t="shared" si="0"/>
        <v>0</v>
      </c>
      <c r="M7" s="22">
        <f t="shared" si="0"/>
        <v>0</v>
      </c>
      <c r="N7" s="23">
        <f>IFERROR(M7/L7,0)</f>
        <v>0</v>
      </c>
      <c r="O7" s="24">
        <v>0</v>
      </c>
      <c r="P7" s="25"/>
      <c r="Q7" s="26"/>
    </row>
    <row r="8" spans="1:22" ht="25.8" customHeight="1">
      <c r="A8" s="81">
        <v>4</v>
      </c>
      <c r="B8" s="16" t="s">
        <v>18</v>
      </c>
      <c r="C8" s="17">
        <v>24759.4</v>
      </c>
      <c r="D8" s="17">
        <v>24771</v>
      </c>
      <c r="E8" s="17">
        <f t="shared" si="1"/>
        <v>11.599999999998545</v>
      </c>
      <c r="F8" s="18">
        <v>294</v>
      </c>
      <c r="G8" s="10">
        <f t="shared" ref="G8:G13" si="3">IFERROR(F8/E8,0)</f>
        <v>25.344827586210076</v>
      </c>
      <c r="H8" s="17">
        <v>24771</v>
      </c>
      <c r="I8" s="19">
        <f t="shared" si="2"/>
        <v>0</v>
      </c>
      <c r="J8" s="20">
        <v>0</v>
      </c>
      <c r="K8" s="28">
        <f t="shared" ref="K8:K14" si="4">IFERROR(J8/I8,0)</f>
        <v>0</v>
      </c>
      <c r="L8" s="18">
        <f t="shared" si="0"/>
        <v>11.599999999998545</v>
      </c>
      <c r="M8" s="22">
        <f t="shared" si="0"/>
        <v>294</v>
      </c>
      <c r="N8" s="23">
        <f t="shared" ref="N8:N18" si="5">IFERROR(M8/L8,0)</f>
        <v>25.344827586210076</v>
      </c>
      <c r="O8" s="29">
        <v>41</v>
      </c>
      <c r="P8" s="30"/>
      <c r="Q8" s="26"/>
      <c r="S8" s="26"/>
    </row>
    <row r="9" spans="1:22" ht="25.8" customHeight="1">
      <c r="A9" s="5">
        <v>5</v>
      </c>
      <c r="B9" s="31" t="s">
        <v>19</v>
      </c>
      <c r="C9" s="17">
        <v>32660</v>
      </c>
      <c r="D9" s="17">
        <v>32670.400000000001</v>
      </c>
      <c r="E9" s="17">
        <f t="shared" si="1"/>
        <v>10.400000000001455</v>
      </c>
      <c r="F9" s="32">
        <v>303.5</v>
      </c>
      <c r="G9" s="10">
        <f t="shared" si="3"/>
        <v>29.182692307688225</v>
      </c>
      <c r="H9" s="17">
        <v>32678.5</v>
      </c>
      <c r="I9" s="19">
        <f t="shared" si="2"/>
        <v>8.0999999999985448</v>
      </c>
      <c r="J9" s="33">
        <v>237.87</v>
      </c>
      <c r="K9" s="28">
        <f t="shared" si="4"/>
        <v>29.366666666671943</v>
      </c>
      <c r="L9" s="18">
        <f t="shared" si="0"/>
        <v>18.5</v>
      </c>
      <c r="M9" s="22">
        <f t="shared" si="0"/>
        <v>541.37</v>
      </c>
      <c r="N9" s="23">
        <f t="shared" si="5"/>
        <v>29.263243243243245</v>
      </c>
      <c r="O9" s="29">
        <v>215</v>
      </c>
      <c r="P9" s="30"/>
      <c r="Q9" s="26"/>
      <c r="S9" s="26"/>
    </row>
    <row r="10" spans="1:22" ht="25.8" customHeight="1">
      <c r="A10" s="81">
        <v>6</v>
      </c>
      <c r="B10" s="16" t="s">
        <v>20</v>
      </c>
      <c r="C10" s="17">
        <v>33620.6</v>
      </c>
      <c r="D10" s="17">
        <v>33620.6</v>
      </c>
      <c r="E10" s="17">
        <f>D10-C10</f>
        <v>0</v>
      </c>
      <c r="F10" s="34">
        <v>0</v>
      </c>
      <c r="G10" s="10">
        <f>IFERROR(F10/E10,0)</f>
        <v>0</v>
      </c>
      <c r="H10" s="17">
        <v>33627.300000000003</v>
      </c>
      <c r="I10" s="19">
        <f>H10-D10</f>
        <v>6.7000000000043656</v>
      </c>
      <c r="J10" s="33">
        <v>324.54000000000002</v>
      </c>
      <c r="K10" s="28">
        <f>IFERROR(J10/I10,0)</f>
        <v>48.438805970117699</v>
      </c>
      <c r="L10" s="18">
        <f>E10+I10</f>
        <v>6.7000000000043656</v>
      </c>
      <c r="M10" s="22">
        <f>F10+J10</f>
        <v>324.54000000000002</v>
      </c>
      <c r="N10" s="23">
        <f>IFERROR(M10/L10,0)</f>
        <v>48.438805970117699</v>
      </c>
      <c r="O10" s="29">
        <v>166</v>
      </c>
      <c r="P10" s="30"/>
      <c r="Q10" s="26"/>
      <c r="S10" s="26"/>
    </row>
    <row r="11" spans="1:22" ht="22.8" customHeight="1">
      <c r="A11" s="5">
        <v>7</v>
      </c>
      <c r="B11" s="16" t="s">
        <v>21</v>
      </c>
      <c r="C11" s="17">
        <v>28140.5</v>
      </c>
      <c r="D11" s="17">
        <v>28151.8</v>
      </c>
      <c r="E11" s="17">
        <f t="shared" si="1"/>
        <v>11.299999999999272</v>
      </c>
      <c r="F11" s="32">
        <v>284</v>
      </c>
      <c r="G11" s="10">
        <f t="shared" si="3"/>
        <v>25.132743362833477</v>
      </c>
      <c r="H11" s="17">
        <v>28159.200000000001</v>
      </c>
      <c r="I11" s="19">
        <f t="shared" si="2"/>
        <v>7.4000000000014552</v>
      </c>
      <c r="J11" s="20">
        <v>185.18</v>
      </c>
      <c r="K11" s="28">
        <f t="shared" si="4"/>
        <v>25.024324324319405</v>
      </c>
      <c r="L11" s="18">
        <f t="shared" si="0"/>
        <v>18.700000000000728</v>
      </c>
      <c r="M11" s="22">
        <f t="shared" si="0"/>
        <v>469.18</v>
      </c>
      <c r="N11" s="23">
        <f t="shared" si="5"/>
        <v>25.089839572191536</v>
      </c>
      <c r="O11" s="29">
        <v>214</v>
      </c>
      <c r="P11" s="30"/>
      <c r="Q11" s="26"/>
      <c r="S11" s="26"/>
    </row>
    <row r="12" spans="1:22" ht="22.8" customHeight="1">
      <c r="A12" s="81">
        <v>8</v>
      </c>
      <c r="B12" s="31" t="s">
        <v>22</v>
      </c>
      <c r="C12" s="35">
        <v>27527.7</v>
      </c>
      <c r="D12" s="35">
        <v>27540.9</v>
      </c>
      <c r="E12" s="17">
        <f t="shared" si="1"/>
        <v>13.200000000000728</v>
      </c>
      <c r="F12" s="32">
        <v>390.77</v>
      </c>
      <c r="G12" s="10">
        <f t="shared" si="3"/>
        <v>29.603787878786246</v>
      </c>
      <c r="H12" s="35">
        <v>27546.5</v>
      </c>
      <c r="I12" s="19">
        <f t="shared" si="2"/>
        <v>5.5999999999985448</v>
      </c>
      <c r="J12" s="33">
        <v>150</v>
      </c>
      <c r="K12" s="28">
        <f t="shared" si="4"/>
        <v>26.785714285721244</v>
      </c>
      <c r="L12" s="18">
        <f t="shared" si="0"/>
        <v>18.799999999999272</v>
      </c>
      <c r="M12" s="22">
        <f t="shared" si="0"/>
        <v>540.77</v>
      </c>
      <c r="N12" s="23">
        <f t="shared" si="5"/>
        <v>28.76436170212877</v>
      </c>
      <c r="O12" s="29">
        <v>187</v>
      </c>
      <c r="P12" s="30"/>
      <c r="Q12" s="26"/>
      <c r="S12" s="26"/>
    </row>
    <row r="13" spans="1:22" ht="24" customHeight="1">
      <c r="A13" s="5">
        <v>9</v>
      </c>
      <c r="B13" s="31" t="s">
        <v>23</v>
      </c>
      <c r="C13" s="17">
        <v>22662.52</v>
      </c>
      <c r="D13" s="17">
        <v>22674.33</v>
      </c>
      <c r="E13" s="17">
        <f t="shared" si="1"/>
        <v>11.81000000000131</v>
      </c>
      <c r="F13" s="34">
        <v>348.99</v>
      </c>
      <c r="G13" s="10">
        <f t="shared" si="3"/>
        <v>29.550381033019587</v>
      </c>
      <c r="H13" s="17">
        <v>22681.97</v>
      </c>
      <c r="I13" s="19">
        <f t="shared" si="2"/>
        <v>7.6399999999994179</v>
      </c>
      <c r="J13" s="20">
        <v>302.47000000000003</v>
      </c>
      <c r="K13" s="28">
        <f t="shared" si="4"/>
        <v>39.590314136128676</v>
      </c>
      <c r="L13" s="18">
        <f t="shared" si="0"/>
        <v>19.450000000000728</v>
      </c>
      <c r="M13" s="22">
        <f t="shared" si="0"/>
        <v>651.46</v>
      </c>
      <c r="N13" s="23">
        <f t="shared" si="5"/>
        <v>33.494087403597717</v>
      </c>
      <c r="O13" s="29">
        <v>234</v>
      </c>
      <c r="P13" s="36"/>
      <c r="Q13" s="26"/>
      <c r="S13" s="26"/>
    </row>
    <row r="14" spans="1:22" ht="24" customHeight="1">
      <c r="A14" s="81">
        <v>10</v>
      </c>
      <c r="B14" s="31" t="s">
        <v>24</v>
      </c>
      <c r="C14" s="17">
        <v>22623.46</v>
      </c>
      <c r="D14" s="17">
        <v>22635.759999999998</v>
      </c>
      <c r="E14" s="17">
        <f t="shared" si="1"/>
        <v>12.299999999999272</v>
      </c>
      <c r="F14" s="32">
        <v>432.55</v>
      </c>
      <c r="G14" s="10">
        <f>IFERROR(F14/E14,0)</f>
        <v>35.166666666668746</v>
      </c>
      <c r="H14" s="17">
        <v>22644.36</v>
      </c>
      <c r="I14" s="19">
        <f t="shared" si="2"/>
        <v>8.6000000000021828</v>
      </c>
      <c r="J14" s="20">
        <v>288.97000000000003</v>
      </c>
      <c r="K14" s="28">
        <f t="shared" si="4"/>
        <v>33.601162790689152</v>
      </c>
      <c r="L14" s="18">
        <f t="shared" si="0"/>
        <v>20.900000000001455</v>
      </c>
      <c r="M14" s="22">
        <f t="shared" si="0"/>
        <v>721.52</v>
      </c>
      <c r="N14" s="23">
        <f t="shared" si="5"/>
        <v>34.522488038275107</v>
      </c>
      <c r="O14" s="29">
        <v>201</v>
      </c>
      <c r="P14" s="37"/>
      <c r="Q14" s="26"/>
      <c r="S14" s="26"/>
    </row>
    <row r="15" spans="1:22" ht="24" customHeight="1">
      <c r="A15" s="5">
        <v>11</v>
      </c>
      <c r="B15" s="31" t="s">
        <v>25</v>
      </c>
      <c r="C15" s="17">
        <v>20123.52</v>
      </c>
      <c r="D15" s="17">
        <v>20132.919999999998</v>
      </c>
      <c r="E15" s="17">
        <f t="shared" si="1"/>
        <v>9.3999999999978172</v>
      </c>
      <c r="F15" s="32">
        <v>403.07</v>
      </c>
      <c r="G15" s="10">
        <f>IFERROR(F15/E15,0)</f>
        <v>42.879787234052507</v>
      </c>
      <c r="H15" s="17">
        <v>20141.060000000001</v>
      </c>
      <c r="I15" s="19">
        <f>H15-D15</f>
        <v>8.1400000000030559</v>
      </c>
      <c r="J15" s="20">
        <v>353.45</v>
      </c>
      <c r="K15" s="28">
        <f>IFERROR(J15/I15,0)</f>
        <v>43.421375921359619</v>
      </c>
      <c r="L15" s="18">
        <f>E15+I15</f>
        <v>17.540000000000873</v>
      </c>
      <c r="M15" s="22">
        <f t="shared" si="0"/>
        <v>756.52</v>
      </c>
      <c r="N15" s="23">
        <f t="shared" si="5"/>
        <v>43.131128848344488</v>
      </c>
      <c r="O15" s="29">
        <v>191</v>
      </c>
      <c r="P15" s="37"/>
      <c r="Q15" s="26"/>
      <c r="S15" s="26"/>
      <c r="T15" s="38"/>
    </row>
    <row r="16" spans="1:22" ht="24" customHeight="1">
      <c r="A16" s="81">
        <v>12</v>
      </c>
      <c r="B16" s="31" t="s">
        <v>181</v>
      </c>
      <c r="C16" s="17">
        <v>10192</v>
      </c>
      <c r="D16" s="17">
        <v>10192</v>
      </c>
      <c r="E16" s="17">
        <f t="shared" si="1"/>
        <v>0</v>
      </c>
      <c r="F16" s="32">
        <v>0</v>
      </c>
      <c r="G16" s="10">
        <f>IFERROR(F16/E16,0)</f>
        <v>0</v>
      </c>
      <c r="H16" s="17">
        <v>10192</v>
      </c>
      <c r="I16" s="19">
        <f>H16-D16</f>
        <v>0</v>
      </c>
      <c r="J16" s="20">
        <v>0</v>
      </c>
      <c r="K16" s="28">
        <f>IFERROR(J16/I16,0)</f>
        <v>0</v>
      </c>
      <c r="L16" s="18">
        <f>E16+I16</f>
        <v>0</v>
      </c>
      <c r="M16" s="22">
        <f t="shared" si="0"/>
        <v>0</v>
      </c>
      <c r="N16" s="23">
        <f t="shared" si="5"/>
        <v>0</v>
      </c>
      <c r="O16" s="29">
        <v>0</v>
      </c>
      <c r="P16" s="37"/>
      <c r="Q16" s="26"/>
      <c r="S16" s="26"/>
      <c r="T16" s="38"/>
    </row>
    <row r="17" spans="1:20" ht="24" customHeight="1">
      <c r="A17" s="5">
        <v>13</v>
      </c>
      <c r="B17" s="31" t="s">
        <v>27</v>
      </c>
      <c r="C17" s="17">
        <v>18273.7</v>
      </c>
      <c r="D17" s="17">
        <v>18290.599999999999</v>
      </c>
      <c r="E17" s="17">
        <f t="shared" si="1"/>
        <v>16.899999999997817</v>
      </c>
      <c r="F17" s="18">
        <v>196.68</v>
      </c>
      <c r="G17" s="10">
        <f>IFERROR(F17/E17,0)</f>
        <v>11.63786982248671</v>
      </c>
      <c r="H17" s="17">
        <v>18290.599999999999</v>
      </c>
      <c r="I17" s="19">
        <f t="shared" ref="I17" si="6">H17-D17</f>
        <v>0</v>
      </c>
      <c r="J17" s="20">
        <v>0</v>
      </c>
      <c r="K17" s="28">
        <f t="shared" ref="K17" si="7">IFERROR(J17/I17,0)</f>
        <v>0</v>
      </c>
      <c r="L17" s="18">
        <f t="shared" ref="L17" si="8">E17+I17</f>
        <v>16.899999999997817</v>
      </c>
      <c r="M17" s="22">
        <f t="shared" si="0"/>
        <v>196.68</v>
      </c>
      <c r="N17" s="23">
        <f t="shared" si="5"/>
        <v>11.63786982248671</v>
      </c>
      <c r="O17" s="29">
        <v>0</v>
      </c>
      <c r="P17" s="172"/>
      <c r="Q17" s="26"/>
      <c r="S17" s="26"/>
      <c r="T17" s="38"/>
    </row>
    <row r="18" spans="1:20" ht="24" customHeight="1">
      <c r="A18" s="81">
        <v>14</v>
      </c>
      <c r="B18" s="31" t="s">
        <v>26</v>
      </c>
      <c r="C18" s="17">
        <v>15231.7</v>
      </c>
      <c r="D18" s="17">
        <v>15231.7</v>
      </c>
      <c r="E18" s="17">
        <f t="shared" si="1"/>
        <v>0</v>
      </c>
      <c r="F18" s="32">
        <v>0</v>
      </c>
      <c r="G18" s="10">
        <f>IFERROR(F18/E18,0)</f>
        <v>0</v>
      </c>
      <c r="H18" s="17">
        <v>15231.7</v>
      </c>
      <c r="I18" s="19">
        <f>H18-D18</f>
        <v>0</v>
      </c>
      <c r="J18" s="20">
        <v>0</v>
      </c>
      <c r="K18" s="28">
        <f>IFERROR(J18/I18,0)</f>
        <v>0</v>
      </c>
      <c r="L18" s="18">
        <f>E18+I18</f>
        <v>0</v>
      </c>
      <c r="M18" s="22">
        <f>F18+J18</f>
        <v>0</v>
      </c>
      <c r="N18" s="23">
        <f t="shared" si="5"/>
        <v>0</v>
      </c>
      <c r="O18" s="29">
        <v>0</v>
      </c>
      <c r="P18" s="37"/>
      <c r="Q18" s="26"/>
      <c r="S18" s="26"/>
      <c r="T18" s="38"/>
    </row>
    <row r="19" spans="1:20" ht="24" customHeight="1">
      <c r="A19" s="196" t="s">
        <v>28</v>
      </c>
      <c r="B19" s="197"/>
      <c r="C19" s="39"/>
      <c r="D19" s="39"/>
      <c r="E19" s="40">
        <f>SUM(E7:E18)</f>
        <v>96.909999999996217</v>
      </c>
      <c r="F19" s="41">
        <f>SUM(F5:F18)</f>
        <v>3255.34</v>
      </c>
      <c r="G19" s="39"/>
      <c r="H19" s="39"/>
      <c r="I19" s="40">
        <f>SUM(I7:I18)</f>
        <v>52.180000000007567</v>
      </c>
      <c r="J19" s="41">
        <f>SUM(J5:J18)</f>
        <v>2148.38</v>
      </c>
      <c r="K19" s="28">
        <f>IFERROR(J19/I19,0)</f>
        <v>41.172479877341672</v>
      </c>
      <c r="L19" s="42">
        <f>SUM(L7:L18)</f>
        <v>149.09000000000378</v>
      </c>
      <c r="M19" s="43">
        <f>SUM(M5:M18)</f>
        <v>5403.7200000000012</v>
      </c>
      <c r="N19" s="23">
        <f>IFERROR(M19/L19,0)</f>
        <v>36.244684418806521</v>
      </c>
      <c r="O19" s="44">
        <f>SUM(O5:O18)</f>
        <v>1669</v>
      </c>
      <c r="P19" s="45"/>
      <c r="S19" s="26"/>
    </row>
    <row r="20" spans="1:20" ht="18" customHeight="1" thickBot="1">
      <c r="A20" s="206" t="s">
        <v>29</v>
      </c>
      <c r="B20" s="207"/>
      <c r="C20" s="207"/>
      <c r="D20" s="207"/>
      <c r="E20" s="207"/>
      <c r="F20" s="207"/>
      <c r="G20" s="207"/>
      <c r="H20" s="207"/>
      <c r="I20" s="207"/>
      <c r="J20" s="207"/>
      <c r="K20" s="207"/>
      <c r="L20" s="208"/>
      <c r="M20" s="46"/>
      <c r="N20" s="47"/>
      <c r="O20" s="37"/>
    </row>
    <row r="21" spans="1:20" ht="22.8" customHeight="1">
      <c r="A21" s="209" t="s">
        <v>3</v>
      </c>
      <c r="B21" s="211" t="s">
        <v>4</v>
      </c>
      <c r="C21" s="234" t="s">
        <v>5</v>
      </c>
      <c r="D21" s="234"/>
      <c r="E21" s="234"/>
      <c r="F21" s="234"/>
      <c r="G21" s="234"/>
      <c r="H21" s="235" t="s">
        <v>6</v>
      </c>
      <c r="I21" s="235"/>
      <c r="J21" s="235"/>
      <c r="K21" s="235"/>
      <c r="L21" s="48"/>
      <c r="M21" s="219" t="s">
        <v>7</v>
      </c>
      <c r="N21" s="194" t="s">
        <v>8</v>
      </c>
      <c r="O21" s="37"/>
    </row>
    <row r="22" spans="1:20" s="51" customFormat="1" ht="24" customHeight="1" thickBot="1">
      <c r="A22" s="210"/>
      <c r="B22" s="212"/>
      <c r="C22" s="49" t="s">
        <v>11</v>
      </c>
      <c r="D22" s="49" t="s">
        <v>12</v>
      </c>
      <c r="E22" s="49" t="s">
        <v>13</v>
      </c>
      <c r="F22" s="2" t="s">
        <v>14</v>
      </c>
      <c r="G22" s="2" t="s">
        <v>8</v>
      </c>
      <c r="H22" s="49" t="s">
        <v>12</v>
      </c>
      <c r="I22" s="49" t="s">
        <v>13</v>
      </c>
      <c r="J22" s="49" t="s">
        <v>14</v>
      </c>
      <c r="K22" s="7" t="s">
        <v>8</v>
      </c>
      <c r="L22" s="50" t="s">
        <v>15</v>
      </c>
      <c r="M22" s="220"/>
      <c r="N22" s="195"/>
      <c r="O22" s="37"/>
      <c r="Q22"/>
      <c r="R22"/>
      <c r="S22"/>
      <c r="T22"/>
    </row>
    <row r="23" spans="1:20" s="51" customFormat="1" ht="24" customHeight="1">
      <c r="A23" s="27">
        <v>1</v>
      </c>
      <c r="B23" s="52" t="s">
        <v>30</v>
      </c>
      <c r="C23" s="6">
        <v>18905.3</v>
      </c>
      <c r="D23" s="6">
        <v>18914.8</v>
      </c>
      <c r="E23" s="53">
        <f>D23-C23</f>
        <v>9.5</v>
      </c>
      <c r="F23" s="54">
        <v>107.46</v>
      </c>
      <c r="G23" s="55">
        <f>IFERROR(F23/E23,0)</f>
        <v>11.311578947368421</v>
      </c>
      <c r="H23" s="6">
        <v>18921.900000000001</v>
      </c>
      <c r="I23" s="56">
        <f>H23-D23</f>
        <v>7.1000000000021828</v>
      </c>
      <c r="J23" s="54">
        <v>99</v>
      </c>
      <c r="K23" s="57">
        <f>IFERROR(J23/I23,0)</f>
        <v>13.9436619718267</v>
      </c>
      <c r="L23" s="58">
        <f>E23+I23</f>
        <v>16.600000000002183</v>
      </c>
      <c r="M23" s="59">
        <f t="shared" ref="M23:M24" si="9">F23+J23</f>
        <v>206.45999999999998</v>
      </c>
      <c r="N23" s="60">
        <f>IFERROR(M23/L23,0)</f>
        <v>12.437349397588724</v>
      </c>
      <c r="O23" s="61"/>
      <c r="Q23"/>
      <c r="R23"/>
      <c r="S23"/>
      <c r="T23"/>
    </row>
    <row r="24" spans="1:20" ht="24" customHeight="1">
      <c r="A24" s="62">
        <v>2</v>
      </c>
      <c r="B24" s="52" t="s">
        <v>31</v>
      </c>
      <c r="C24" s="63">
        <v>11289.3</v>
      </c>
      <c r="D24" s="63">
        <v>11295.2</v>
      </c>
      <c r="E24" s="53">
        <f>D24-C24</f>
        <v>5.9000000000014552</v>
      </c>
      <c r="F24" s="54">
        <v>94</v>
      </c>
      <c r="G24" s="55">
        <f>IFERROR(F24/E24,0)</f>
        <v>15.932203389826579</v>
      </c>
      <c r="H24" s="63">
        <v>11299.5</v>
      </c>
      <c r="I24" s="64">
        <f>H24-D24</f>
        <v>4.2999999999992724</v>
      </c>
      <c r="J24" s="54">
        <v>82.36</v>
      </c>
      <c r="K24" s="57">
        <f>IFERROR(J24/I24,0)</f>
        <v>19.153488372096263</v>
      </c>
      <c r="L24" s="58">
        <f>E24+I24</f>
        <v>10.200000000000728</v>
      </c>
      <c r="M24" s="59">
        <f t="shared" si="9"/>
        <v>176.36</v>
      </c>
      <c r="N24" s="60">
        <f>IFERROR(M24/L24,0)</f>
        <v>17.290196078430142</v>
      </c>
      <c r="O24" s="65"/>
    </row>
    <row r="25" spans="1:20" ht="24" customHeight="1" thickBot="1">
      <c r="A25" s="238" t="s">
        <v>28</v>
      </c>
      <c r="B25" s="239"/>
      <c r="C25" s="66"/>
      <c r="D25" s="66"/>
      <c r="E25" s="67">
        <f>SUM(E23:E24)</f>
        <v>15.400000000001455</v>
      </c>
      <c r="F25" s="67">
        <f>SUM(F23:F24)</f>
        <v>201.45999999999998</v>
      </c>
      <c r="G25" s="68"/>
      <c r="H25" s="68"/>
      <c r="I25" s="67">
        <f>SUM(I23:I24)</f>
        <v>11.400000000001455</v>
      </c>
      <c r="J25" s="67">
        <f>SUM(J23:J24)</f>
        <v>181.36</v>
      </c>
      <c r="K25" s="69">
        <f>SUM(K23:K24)</f>
        <v>33.097150343922962</v>
      </c>
      <c r="L25" s="70">
        <f>SUM(L23:L24)</f>
        <v>26.80000000000291</v>
      </c>
      <c r="M25" s="43">
        <f>SUM(M23:M24)</f>
        <v>382.82</v>
      </c>
      <c r="N25" s="71"/>
      <c r="O25" s="37"/>
      <c r="P25" s="72"/>
    </row>
    <row r="26" spans="1:20" ht="18" customHeight="1" thickBot="1">
      <c r="A26" s="245" t="s">
        <v>32</v>
      </c>
      <c r="B26" s="246"/>
      <c r="C26" s="226"/>
      <c r="D26" s="226"/>
      <c r="E26" s="226"/>
      <c r="F26" s="226"/>
      <c r="G26" s="226"/>
      <c r="H26" s="226"/>
      <c r="I26" s="226"/>
      <c r="J26" s="226"/>
      <c r="K26" s="226"/>
      <c r="L26" s="246"/>
      <c r="M26" s="46"/>
      <c r="N26" s="47"/>
      <c r="O26" s="37"/>
    </row>
    <row r="27" spans="1:20" ht="22.8" customHeight="1">
      <c r="A27" s="209" t="s">
        <v>3</v>
      </c>
      <c r="B27" s="211" t="s">
        <v>4</v>
      </c>
      <c r="C27" s="234" t="s">
        <v>5</v>
      </c>
      <c r="D27" s="234"/>
      <c r="E27" s="234"/>
      <c r="F27" s="234"/>
      <c r="G27" s="234"/>
      <c r="H27" s="235" t="s">
        <v>6</v>
      </c>
      <c r="I27" s="235"/>
      <c r="J27" s="235"/>
      <c r="K27" s="235"/>
      <c r="L27" s="48"/>
      <c r="M27" s="219" t="s">
        <v>7</v>
      </c>
      <c r="N27" s="194" t="s">
        <v>8</v>
      </c>
      <c r="O27" s="37"/>
      <c r="S27" s="51"/>
    </row>
    <row r="28" spans="1:20" ht="24" customHeight="1">
      <c r="A28" s="247"/>
      <c r="B28" s="248"/>
      <c r="C28" s="6" t="s">
        <v>11</v>
      </c>
      <c r="D28" s="6" t="s">
        <v>12</v>
      </c>
      <c r="E28" s="6" t="s">
        <v>13</v>
      </c>
      <c r="F28" s="6" t="s">
        <v>14</v>
      </c>
      <c r="G28" s="6" t="s">
        <v>8</v>
      </c>
      <c r="H28" s="6" t="s">
        <v>12</v>
      </c>
      <c r="I28" s="6" t="s">
        <v>13</v>
      </c>
      <c r="J28" s="6" t="s">
        <v>14</v>
      </c>
      <c r="K28" s="7" t="s">
        <v>8</v>
      </c>
      <c r="L28" s="73" t="s">
        <v>15</v>
      </c>
      <c r="M28" s="236"/>
      <c r="N28" s="237"/>
      <c r="O28" s="61"/>
      <c r="P28" s="74"/>
      <c r="S28" s="51"/>
      <c r="T28" s="75"/>
    </row>
    <row r="29" spans="1:20" ht="24" customHeight="1">
      <c r="A29" s="76">
        <v>1</v>
      </c>
      <c r="B29" s="31" t="s">
        <v>33</v>
      </c>
      <c r="C29" s="35">
        <v>21709.3</v>
      </c>
      <c r="D29" s="35">
        <v>21721.5</v>
      </c>
      <c r="E29" s="35">
        <f>D29-C29</f>
        <v>12.200000000000728</v>
      </c>
      <c r="F29" s="33">
        <v>222.29</v>
      </c>
      <c r="G29" s="10">
        <f t="shared" ref="G29:G33" si="10">IFERROR(F29/E29,0)</f>
        <v>18.2204918032776</v>
      </c>
      <c r="H29" s="35">
        <v>21728.9</v>
      </c>
      <c r="I29" s="56">
        <f>H29-D29</f>
        <v>7.4000000000014552</v>
      </c>
      <c r="J29" s="33">
        <v>109.09</v>
      </c>
      <c r="K29" s="28">
        <f t="shared" ref="K29:K33" si="11">IFERROR(J29/I29,0)</f>
        <v>14.741891891888994</v>
      </c>
      <c r="L29" s="84">
        <f t="shared" ref="L29:M33" si="12">E29+I29</f>
        <v>19.600000000002183</v>
      </c>
      <c r="M29" s="79">
        <f t="shared" si="12"/>
        <v>331.38</v>
      </c>
      <c r="N29" s="34">
        <f>IFERROR(M29/L29,0)</f>
        <v>16.907142857140975</v>
      </c>
      <c r="O29" s="37"/>
    </row>
    <row r="30" spans="1:20" ht="24" customHeight="1">
      <c r="A30" s="76">
        <v>2</v>
      </c>
      <c r="B30" s="31" t="s">
        <v>34</v>
      </c>
      <c r="C30" s="35">
        <v>21173.3</v>
      </c>
      <c r="D30" s="35">
        <v>21186.3</v>
      </c>
      <c r="E30" s="35">
        <f>D30-C30</f>
        <v>13</v>
      </c>
      <c r="F30" s="33">
        <v>275.22000000000003</v>
      </c>
      <c r="G30" s="10">
        <f t="shared" si="10"/>
        <v>21.170769230769231</v>
      </c>
      <c r="H30" s="35">
        <v>21191.9</v>
      </c>
      <c r="I30" s="56">
        <f>H30-D30</f>
        <v>5.6000000000021828</v>
      </c>
      <c r="J30" s="33">
        <v>124.8</v>
      </c>
      <c r="K30" s="28">
        <f>IFERROR(J30/I30,0)</f>
        <v>22.285714285705598</v>
      </c>
      <c r="L30" s="18">
        <f t="shared" si="12"/>
        <v>18.600000000002183</v>
      </c>
      <c r="M30" s="22">
        <f t="shared" si="12"/>
        <v>400.02000000000004</v>
      </c>
      <c r="N30" s="23">
        <f>IFERROR(M30/L30,0)</f>
        <v>21.506451612900705</v>
      </c>
      <c r="O30" s="37"/>
    </row>
    <row r="31" spans="1:20" ht="24" customHeight="1">
      <c r="A31" s="76">
        <v>3</v>
      </c>
      <c r="B31" s="31" t="s">
        <v>35</v>
      </c>
      <c r="C31" s="35">
        <v>8976.7000000000007</v>
      </c>
      <c r="D31" s="35">
        <v>8979.2000000000007</v>
      </c>
      <c r="E31" s="17">
        <f t="shared" ref="E31:E33" si="13">D31-C31</f>
        <v>2.5</v>
      </c>
      <c r="F31" s="33">
        <v>53.15</v>
      </c>
      <c r="G31" s="10">
        <f t="shared" si="10"/>
        <v>21.259999999999998</v>
      </c>
      <c r="H31" s="35">
        <v>8982.1</v>
      </c>
      <c r="I31" s="19">
        <f>H31-D31</f>
        <v>2.8999999999996362</v>
      </c>
      <c r="J31" s="33">
        <v>55.5</v>
      </c>
      <c r="K31" s="28">
        <f t="shared" si="11"/>
        <v>19.13793103448516</v>
      </c>
      <c r="L31" s="18">
        <f t="shared" si="12"/>
        <v>5.3999999999996362</v>
      </c>
      <c r="M31" s="22">
        <f t="shared" si="12"/>
        <v>108.65</v>
      </c>
      <c r="N31" s="23">
        <f>IFERROR(M31/L31,0)</f>
        <v>20.120370370371727</v>
      </c>
      <c r="O31" s="77"/>
    </row>
    <row r="32" spans="1:20" ht="24.6" customHeight="1">
      <c r="A32" s="76">
        <v>4</v>
      </c>
      <c r="B32" s="31" t="s">
        <v>36</v>
      </c>
      <c r="C32" s="35">
        <v>3477.2</v>
      </c>
      <c r="D32" s="35">
        <v>3477.2</v>
      </c>
      <c r="E32" s="17">
        <f t="shared" si="13"/>
        <v>0</v>
      </c>
      <c r="F32" s="33">
        <v>0</v>
      </c>
      <c r="G32" s="78">
        <f t="shared" si="10"/>
        <v>0</v>
      </c>
      <c r="H32" s="35">
        <v>3477.2</v>
      </c>
      <c r="I32" s="19">
        <f t="shared" ref="I32:I33" si="14">H32-D32</f>
        <v>0</v>
      </c>
      <c r="J32" s="33">
        <v>0</v>
      </c>
      <c r="K32" s="28">
        <f t="shared" si="11"/>
        <v>0</v>
      </c>
      <c r="L32" s="18">
        <f t="shared" si="12"/>
        <v>0</v>
      </c>
      <c r="M32" s="79">
        <f t="shared" si="12"/>
        <v>0</v>
      </c>
      <c r="N32" s="23">
        <f>IFERROR(M32/L32,0)</f>
        <v>0</v>
      </c>
      <c r="O32" s="80"/>
    </row>
    <row r="33" spans="1:19" ht="24.6" customHeight="1">
      <c r="A33" s="76">
        <v>5</v>
      </c>
      <c r="B33" s="31" t="s">
        <v>37</v>
      </c>
      <c r="C33" s="35">
        <v>790.7</v>
      </c>
      <c r="D33" s="35">
        <v>803.4</v>
      </c>
      <c r="E33" s="17">
        <f t="shared" si="13"/>
        <v>12.699999999999932</v>
      </c>
      <c r="F33" s="33">
        <v>320.44</v>
      </c>
      <c r="G33" s="78">
        <f t="shared" si="10"/>
        <v>25.23149606299226</v>
      </c>
      <c r="H33" s="35">
        <v>809.4</v>
      </c>
      <c r="I33" s="19">
        <f t="shared" si="14"/>
        <v>6</v>
      </c>
      <c r="J33" s="33">
        <v>168.46</v>
      </c>
      <c r="K33" s="28">
        <f t="shared" si="11"/>
        <v>28.076666666666668</v>
      </c>
      <c r="L33" s="18">
        <f t="shared" si="12"/>
        <v>18.699999999999932</v>
      </c>
      <c r="M33" s="79">
        <f t="shared" si="12"/>
        <v>488.9</v>
      </c>
      <c r="N33" s="23">
        <f>IFERROR(M33/L33,0)</f>
        <v>26.14438502673806</v>
      </c>
      <c r="O33" s="80"/>
    </row>
    <row r="34" spans="1:19" ht="22.8" customHeight="1" thickBot="1">
      <c r="A34" s="238" t="s">
        <v>28</v>
      </c>
      <c r="B34" s="239"/>
      <c r="C34" s="66"/>
      <c r="D34" s="66"/>
      <c r="E34" s="67">
        <f>SUM(E29:E33)</f>
        <v>40.400000000000659</v>
      </c>
      <c r="F34" s="67">
        <f>SUM(F29:F33)</f>
        <v>871.09999999999991</v>
      </c>
      <c r="G34" s="68"/>
      <c r="H34" s="68"/>
      <c r="I34" s="67">
        <f>SUM(I29:I33)</f>
        <v>21.900000000003274</v>
      </c>
      <c r="J34" s="67">
        <f>SUM(J29:J33)</f>
        <v>457.85</v>
      </c>
      <c r="K34" s="69">
        <f>SUM(K29:K33)</f>
        <v>84.242203878746423</v>
      </c>
      <c r="L34" s="70">
        <f>SUM(L29:L33)</f>
        <v>62.300000000003934</v>
      </c>
      <c r="M34" s="43">
        <f>SUM(M29:M33)</f>
        <v>1328.95</v>
      </c>
      <c r="N34" s="71">
        <f>IFERROR(M34/K34,0)</f>
        <v>15.775347020987454</v>
      </c>
      <c r="O34" s="37"/>
      <c r="P34" s="72"/>
      <c r="S34" s="51"/>
    </row>
    <row r="35" spans="1:19" ht="24" customHeight="1">
      <c r="A35" s="240" t="s">
        <v>38</v>
      </c>
      <c r="B35" s="241"/>
      <c r="C35" s="241"/>
      <c r="D35" s="241"/>
      <c r="E35" s="241"/>
      <c r="F35" s="241"/>
      <c r="G35" s="241"/>
      <c r="H35" s="241"/>
      <c r="I35" s="241"/>
      <c r="J35" s="241"/>
      <c r="K35" s="241"/>
      <c r="L35" s="242"/>
      <c r="M35" s="46"/>
      <c r="N35" s="47"/>
      <c r="O35" s="61"/>
      <c r="S35" s="51"/>
    </row>
    <row r="36" spans="1:19" ht="24" customHeight="1">
      <c r="A36" s="243" t="s">
        <v>3</v>
      </c>
      <c r="B36" s="243" t="s">
        <v>4</v>
      </c>
      <c r="C36" s="213" t="s">
        <v>5</v>
      </c>
      <c r="D36" s="214"/>
      <c r="E36" s="214"/>
      <c r="F36" s="214"/>
      <c r="G36" s="215"/>
      <c r="H36" s="216" t="s">
        <v>6</v>
      </c>
      <c r="I36" s="217"/>
      <c r="J36" s="217"/>
      <c r="K36" s="218"/>
      <c r="L36" s="5"/>
      <c r="M36" s="221" t="s">
        <v>7</v>
      </c>
      <c r="N36" s="222" t="s">
        <v>8</v>
      </c>
      <c r="O36" s="37"/>
    </row>
    <row r="37" spans="1:19" ht="24" customHeight="1">
      <c r="A37" s="244"/>
      <c r="B37" s="244"/>
      <c r="C37" s="2" t="s">
        <v>11</v>
      </c>
      <c r="D37" s="2" t="s">
        <v>12</v>
      </c>
      <c r="E37" s="2" t="s">
        <v>13</v>
      </c>
      <c r="F37" s="2" t="s">
        <v>14</v>
      </c>
      <c r="G37" s="2" t="s">
        <v>8</v>
      </c>
      <c r="H37" s="2" t="s">
        <v>12</v>
      </c>
      <c r="I37" s="2" t="s">
        <v>13</v>
      </c>
      <c r="J37" s="2" t="s">
        <v>14</v>
      </c>
      <c r="K37" s="82" t="s">
        <v>8</v>
      </c>
      <c r="L37" s="12" t="s">
        <v>15</v>
      </c>
      <c r="M37" s="221"/>
      <c r="N37" s="222"/>
      <c r="O37" s="37"/>
    </row>
    <row r="38" spans="1:19" ht="24" customHeight="1">
      <c r="A38" s="76">
        <v>1</v>
      </c>
      <c r="B38" s="31" t="s">
        <v>39</v>
      </c>
      <c r="C38" s="83">
        <v>16636</v>
      </c>
      <c r="D38" s="83">
        <v>16646</v>
      </c>
      <c r="E38" s="35">
        <f>D38-C38</f>
        <v>10</v>
      </c>
      <c r="F38" s="33">
        <v>140.22999999999999</v>
      </c>
      <c r="G38" s="78">
        <f t="shared" ref="G38:G39" si="15">IFERROR(F38/E38,0)</f>
        <v>14.023</v>
      </c>
      <c r="H38" s="83">
        <v>16654.2</v>
      </c>
      <c r="I38" s="56">
        <f>H38-D38</f>
        <v>8.2000000000007276</v>
      </c>
      <c r="J38" s="33">
        <v>149</v>
      </c>
      <c r="K38" s="28">
        <f>IFERROR(J38/I38,0)</f>
        <v>18.170731707315461</v>
      </c>
      <c r="L38" s="84">
        <f t="shared" ref="L38:L39" si="16">E38+I38</f>
        <v>18.200000000000728</v>
      </c>
      <c r="M38" s="79">
        <f>F38+J38</f>
        <v>289.23</v>
      </c>
      <c r="N38" s="34">
        <f>IFERROR(M38/L38,0)</f>
        <v>15.891758241757607</v>
      </c>
      <c r="O38" s="37"/>
    </row>
    <row r="39" spans="1:19" ht="27" customHeight="1">
      <c r="A39" s="76">
        <v>2</v>
      </c>
      <c r="B39" s="31" t="s">
        <v>40</v>
      </c>
      <c r="C39" s="35">
        <v>4501.7</v>
      </c>
      <c r="D39" s="35">
        <v>4513.1000000000004</v>
      </c>
      <c r="E39" s="17">
        <f>D39-C39</f>
        <v>11.400000000000546</v>
      </c>
      <c r="F39" s="33">
        <v>264</v>
      </c>
      <c r="G39" s="10">
        <f t="shared" si="15"/>
        <v>23.157894736840998</v>
      </c>
      <c r="H39" s="35">
        <v>4518.7</v>
      </c>
      <c r="I39" s="19">
        <f>H39-D39</f>
        <v>5.5999999999994543</v>
      </c>
      <c r="J39" s="33">
        <v>144.32</v>
      </c>
      <c r="K39" s="28">
        <f>IFERROR(J39/I39,0)</f>
        <v>25.77142857143108</v>
      </c>
      <c r="L39" s="18">
        <f t="shared" si="16"/>
        <v>17</v>
      </c>
      <c r="M39" s="22">
        <f>F39+J39</f>
        <v>408.32</v>
      </c>
      <c r="N39" s="23">
        <f>IFERROR(M39/L39,0)</f>
        <v>24.018823529411765</v>
      </c>
      <c r="O39" s="37"/>
      <c r="S39" s="51"/>
    </row>
    <row r="40" spans="1:19" ht="22.8" customHeight="1" thickBot="1">
      <c r="A40" s="196" t="s">
        <v>28</v>
      </c>
      <c r="B40" s="233"/>
      <c r="C40" s="68"/>
      <c r="D40" s="66"/>
      <c r="E40" s="67">
        <f>SUM(E38:E39)</f>
        <v>21.400000000000546</v>
      </c>
      <c r="F40" s="67">
        <f>SUM(F38:F39:F39)</f>
        <v>404.23</v>
      </c>
      <c r="G40" s="68"/>
      <c r="H40" s="68"/>
      <c r="I40" s="67">
        <f>SUM(I38:I39)</f>
        <v>13.800000000000182</v>
      </c>
      <c r="J40" s="67">
        <f>SUM(J38:J39)</f>
        <v>293.32</v>
      </c>
      <c r="K40" s="69">
        <f>SUM(K38:K39)</f>
        <v>43.942160278746542</v>
      </c>
      <c r="L40" s="70">
        <f>SUM(L38:L39)</f>
        <v>35.200000000000728</v>
      </c>
      <c r="M40" s="43">
        <f>SUM(M38:M39)</f>
        <v>697.55</v>
      </c>
      <c r="N40" s="71">
        <f>IFERROR(M40/K40,0)</f>
        <v>15.874276448292489</v>
      </c>
      <c r="O40" s="37"/>
      <c r="P40" s="72"/>
      <c r="S40" s="51"/>
    </row>
    <row r="41" spans="1:19" ht="24" customHeight="1">
      <c r="A41" s="225" t="s">
        <v>41</v>
      </c>
      <c r="B41" s="226"/>
      <c r="C41" s="226"/>
      <c r="D41" s="226"/>
      <c r="E41" s="226"/>
      <c r="F41" s="226"/>
      <c r="G41" s="226"/>
      <c r="H41" s="226"/>
      <c r="I41" s="226"/>
      <c r="J41" s="226"/>
      <c r="K41" s="226"/>
      <c r="L41" s="226"/>
      <c r="M41" s="46"/>
      <c r="N41" s="47"/>
      <c r="O41" s="61"/>
    </row>
    <row r="42" spans="1:19" ht="24" customHeight="1">
      <c r="A42" s="222" t="s">
        <v>3</v>
      </c>
      <c r="B42" s="222" t="s">
        <v>4</v>
      </c>
      <c r="C42" s="234" t="s">
        <v>5</v>
      </c>
      <c r="D42" s="234"/>
      <c r="E42" s="234"/>
      <c r="F42" s="234"/>
      <c r="G42" s="234"/>
      <c r="H42" s="235" t="s">
        <v>6</v>
      </c>
      <c r="I42" s="235"/>
      <c r="J42" s="235"/>
      <c r="K42" s="235"/>
      <c r="L42" s="5"/>
      <c r="M42" s="221" t="s">
        <v>7</v>
      </c>
      <c r="N42" s="222" t="s">
        <v>8</v>
      </c>
      <c r="O42" s="37"/>
    </row>
    <row r="43" spans="1:19" ht="25.8" customHeight="1">
      <c r="A43" s="222"/>
      <c r="B43" s="222"/>
      <c r="C43" s="2" t="s">
        <v>11</v>
      </c>
      <c r="D43" s="2" t="s">
        <v>12</v>
      </c>
      <c r="E43" s="2" t="s">
        <v>13</v>
      </c>
      <c r="F43" s="2" t="s">
        <v>14</v>
      </c>
      <c r="G43" s="2" t="s">
        <v>8</v>
      </c>
      <c r="H43" s="2" t="s">
        <v>12</v>
      </c>
      <c r="I43" s="2" t="s">
        <v>13</v>
      </c>
      <c r="J43" s="2" t="s">
        <v>14</v>
      </c>
      <c r="K43" s="82" t="s">
        <v>8</v>
      </c>
      <c r="L43" s="12" t="s">
        <v>15</v>
      </c>
      <c r="M43" s="221"/>
      <c r="N43" s="222"/>
      <c r="O43" s="37"/>
    </row>
    <row r="44" spans="1:19" ht="25.8" customHeight="1">
      <c r="A44" s="5">
        <v>1</v>
      </c>
      <c r="B44" s="85" t="s">
        <v>186</v>
      </c>
      <c r="C44" s="2">
        <v>0</v>
      </c>
      <c r="D44" s="2">
        <v>0</v>
      </c>
      <c r="E44" s="20">
        <f>D44-C44</f>
        <v>0</v>
      </c>
      <c r="F44" s="2">
        <v>0</v>
      </c>
      <c r="G44" s="10">
        <f t="shared" ref="G44:G46" si="17">IFERROR(F44/E44,0)</f>
        <v>0</v>
      </c>
      <c r="H44" s="2">
        <v>0</v>
      </c>
      <c r="I44" s="86">
        <f>H44-D44</f>
        <v>0</v>
      </c>
      <c r="J44" s="2">
        <v>0</v>
      </c>
      <c r="K44" s="28">
        <f>IFERROR(J44/I44,0)</f>
        <v>0</v>
      </c>
      <c r="L44" s="18">
        <f>E44+I44</f>
        <v>0</v>
      </c>
      <c r="M44" s="22">
        <f>F44+J44</f>
        <v>0</v>
      </c>
      <c r="N44" s="23">
        <f>IFERROR(M44/L44,0)</f>
        <v>0</v>
      </c>
      <c r="O44" s="37"/>
    </row>
    <row r="45" spans="1:19" ht="24.6" customHeight="1">
      <c r="A45" s="76">
        <v>2</v>
      </c>
      <c r="B45" s="85" t="s">
        <v>42</v>
      </c>
      <c r="C45" s="33">
        <v>8692.1</v>
      </c>
      <c r="D45" s="33">
        <v>8710.9</v>
      </c>
      <c r="E45" s="20">
        <f>D45-C45</f>
        <v>18.799999999999272</v>
      </c>
      <c r="F45" s="33">
        <f>254.16+484.19</f>
        <v>738.35</v>
      </c>
      <c r="G45" s="10">
        <f t="shared" si="17"/>
        <v>39.273936170214284</v>
      </c>
      <c r="H45" s="33">
        <v>8715.7000000000007</v>
      </c>
      <c r="I45" s="86">
        <f>H45-D45</f>
        <v>4.8000000000010914</v>
      </c>
      <c r="J45" s="33">
        <f>81.67+127.92</f>
        <v>209.59</v>
      </c>
      <c r="K45" s="28">
        <f>IFERROR(J45/I45,0)</f>
        <v>43.664583333323407</v>
      </c>
      <c r="L45" s="18">
        <f>E45+I45</f>
        <v>23.600000000000364</v>
      </c>
      <c r="M45" s="22">
        <f>F45+J45</f>
        <v>947.94</v>
      </c>
      <c r="N45" s="23">
        <f>IFERROR(M45/L45,0)</f>
        <v>40.166949152541754</v>
      </c>
      <c r="O45" s="87"/>
      <c r="S45" s="51"/>
    </row>
    <row r="46" spans="1:19" ht="22.8" customHeight="1">
      <c r="A46" s="76">
        <v>3</v>
      </c>
      <c r="B46" s="85" t="s">
        <v>43</v>
      </c>
      <c r="C46" s="33">
        <v>1658.5</v>
      </c>
      <c r="D46" s="33">
        <v>1658.5</v>
      </c>
      <c r="E46" s="20">
        <f>D46-C46</f>
        <v>0</v>
      </c>
      <c r="F46" s="33">
        <v>0</v>
      </c>
      <c r="G46" s="10">
        <f t="shared" si="17"/>
        <v>0</v>
      </c>
      <c r="H46" s="33">
        <v>1677.1</v>
      </c>
      <c r="I46" s="86">
        <f>H46-D46</f>
        <v>18.599999999999909</v>
      </c>
      <c r="J46" s="33">
        <f>191.48+478.42</f>
        <v>669.9</v>
      </c>
      <c r="K46" s="28">
        <f>IFERROR(J46/I46,0)</f>
        <v>36.016129032258242</v>
      </c>
      <c r="L46" s="18">
        <f>E46+I46</f>
        <v>18.599999999999909</v>
      </c>
      <c r="M46" s="22">
        <f t="shared" ref="M46" si="18">F46+J46</f>
        <v>669.9</v>
      </c>
      <c r="N46" s="23">
        <f>IFERROR(M46/L46,0)</f>
        <v>36.016129032258242</v>
      </c>
      <c r="O46" s="87"/>
      <c r="P46" s="88"/>
      <c r="Q46" s="89"/>
    </row>
    <row r="47" spans="1:19" ht="24" customHeight="1" thickBot="1">
      <c r="A47" s="223" t="s">
        <v>28</v>
      </c>
      <c r="B47" s="224"/>
      <c r="C47" s="90"/>
      <c r="D47" s="90"/>
      <c r="E47" s="91">
        <f>SUM(E45:E46)</f>
        <v>18.799999999999272</v>
      </c>
      <c r="F47" s="91">
        <f>SUM(F45:F46)</f>
        <v>738.35</v>
      </c>
      <c r="G47" s="92"/>
      <c r="H47" s="92"/>
      <c r="I47" s="91">
        <f>SUM(I44:I46)</f>
        <v>23.400000000001</v>
      </c>
      <c r="J47" s="91">
        <f>SUM(J44:J46)</f>
        <v>879.49</v>
      </c>
      <c r="K47" s="93">
        <f>SUM(K44:K46)</f>
        <v>79.680712365581655</v>
      </c>
      <c r="L47" s="94">
        <f>SUM(L44:L46)</f>
        <v>42.200000000000273</v>
      </c>
      <c r="M47" s="95">
        <f>SUM(M44:M46)</f>
        <v>1617.8400000000001</v>
      </c>
      <c r="N47" s="96">
        <f>M47/L47</f>
        <v>38.337440758293596</v>
      </c>
      <c r="O47" s="37"/>
      <c r="P47" s="97"/>
      <c r="Q47" s="89"/>
    </row>
    <row r="48" spans="1:19" ht="24" customHeight="1">
      <c r="A48" s="225" t="s">
        <v>44</v>
      </c>
      <c r="B48" s="226"/>
      <c r="C48" s="226"/>
      <c r="D48" s="226"/>
      <c r="E48" s="226"/>
      <c r="F48" s="226"/>
      <c r="G48" s="226"/>
      <c r="H48" s="226"/>
      <c r="I48" s="226"/>
      <c r="J48" s="226"/>
      <c r="K48" s="226"/>
      <c r="L48" s="226"/>
      <c r="M48" s="98"/>
      <c r="N48" s="99"/>
      <c r="O48" s="37"/>
      <c r="P48" s="100"/>
      <c r="Q48" s="100"/>
    </row>
    <row r="49" spans="1:27" ht="24" customHeight="1">
      <c r="A49" s="222" t="s">
        <v>3</v>
      </c>
      <c r="B49" s="222" t="s">
        <v>4</v>
      </c>
      <c r="C49" s="227" t="s">
        <v>5</v>
      </c>
      <c r="D49" s="228"/>
      <c r="E49" s="228"/>
      <c r="F49" s="228"/>
      <c r="G49" s="228"/>
      <c r="H49" s="229"/>
      <c r="I49" s="230" t="s">
        <v>6</v>
      </c>
      <c r="J49" s="231"/>
      <c r="K49" s="231"/>
      <c r="L49" s="231"/>
      <c r="M49" s="231"/>
      <c r="N49" s="232"/>
      <c r="O49" s="201" t="s">
        <v>45</v>
      </c>
      <c r="P49" s="203" t="s">
        <v>46</v>
      </c>
      <c r="Q49" s="203" t="s">
        <v>47</v>
      </c>
      <c r="R49" s="205" t="s">
        <v>48</v>
      </c>
      <c r="Z49" s="101"/>
    </row>
    <row r="50" spans="1:27" ht="33" customHeight="1">
      <c r="A50" s="222"/>
      <c r="B50" s="222"/>
      <c r="C50" s="2" t="s">
        <v>49</v>
      </c>
      <c r="D50" s="2" t="s">
        <v>50</v>
      </c>
      <c r="E50" s="2" t="s">
        <v>51</v>
      </c>
      <c r="F50" s="102" t="s">
        <v>11</v>
      </c>
      <c r="G50" s="2" t="s">
        <v>14</v>
      </c>
      <c r="H50" s="2" t="s">
        <v>8</v>
      </c>
      <c r="I50" s="2" t="s">
        <v>50</v>
      </c>
      <c r="J50" s="2" t="s">
        <v>45</v>
      </c>
      <c r="K50" s="102" t="s">
        <v>12</v>
      </c>
      <c r="L50" s="102" t="s">
        <v>15</v>
      </c>
      <c r="M50" s="2" t="s">
        <v>14</v>
      </c>
      <c r="N50" s="82" t="s">
        <v>8</v>
      </c>
      <c r="O50" s="202"/>
      <c r="P50" s="204"/>
      <c r="Q50" s="204"/>
      <c r="R50" s="205"/>
    </row>
    <row r="51" spans="1:27" ht="21" customHeight="1">
      <c r="A51" s="81">
        <v>1</v>
      </c>
      <c r="B51" s="103" t="s">
        <v>52</v>
      </c>
      <c r="C51" s="2">
        <v>279719.5</v>
      </c>
      <c r="D51" s="2">
        <v>279800</v>
      </c>
      <c r="E51" s="104">
        <f t="shared" ref="E51:E116" si="19">D51-C51</f>
        <v>80.5</v>
      </c>
      <c r="F51" s="105">
        <v>22156.560000000001</v>
      </c>
      <c r="G51" s="49">
        <v>109</v>
      </c>
      <c r="H51" s="10">
        <f t="shared" ref="H51:H116" si="20">IFERROR(E51/G51,0)</f>
        <v>0.73853211009174313</v>
      </c>
      <c r="I51" s="2">
        <v>279880.40000000002</v>
      </c>
      <c r="J51" s="106">
        <f t="shared" ref="J51:J116" si="21">I51-D51</f>
        <v>80.400000000023283</v>
      </c>
      <c r="K51" s="105">
        <v>22170.06</v>
      </c>
      <c r="L51" s="107">
        <f t="shared" ref="L51:L116" si="22">K51-F51</f>
        <v>13.5</v>
      </c>
      <c r="M51" s="2">
        <v>129</v>
      </c>
      <c r="N51" s="28">
        <f t="shared" ref="N51:N116" si="23">IFERROR(J51/M51,0)</f>
        <v>0.62325581395366891</v>
      </c>
      <c r="O51" s="84">
        <f t="shared" ref="O51:O116" si="24">J51+E51</f>
        <v>160.90000000002328</v>
      </c>
      <c r="P51" s="79">
        <f t="shared" ref="P51:P116" si="25">G51+M51</f>
        <v>238</v>
      </c>
      <c r="Q51" s="34">
        <f t="shared" ref="Q51:Q116" si="26">IFERROR(O51/P51,0)</f>
        <v>0.67605042016816508</v>
      </c>
      <c r="R51" s="108">
        <v>28</v>
      </c>
    </row>
    <row r="52" spans="1:27" ht="21" customHeight="1">
      <c r="A52" s="81">
        <v>2</v>
      </c>
      <c r="B52" s="103" t="s">
        <v>155</v>
      </c>
      <c r="C52" s="2">
        <v>302581</v>
      </c>
      <c r="D52" s="2">
        <v>302719</v>
      </c>
      <c r="E52" s="104">
        <f t="shared" si="19"/>
        <v>138</v>
      </c>
      <c r="F52" s="105">
        <v>30596</v>
      </c>
      <c r="G52" s="49">
        <v>199</v>
      </c>
      <c r="H52" s="10">
        <f t="shared" si="20"/>
        <v>0.69346733668341709</v>
      </c>
      <c r="I52" s="2">
        <v>302872</v>
      </c>
      <c r="J52" s="106">
        <f t="shared" si="21"/>
        <v>153</v>
      </c>
      <c r="K52" s="105">
        <v>30618</v>
      </c>
      <c r="L52" s="107">
        <f t="shared" si="22"/>
        <v>22</v>
      </c>
      <c r="M52" s="2">
        <v>229</v>
      </c>
      <c r="N52" s="28">
        <f t="shared" si="23"/>
        <v>0.66812227074235808</v>
      </c>
      <c r="O52" s="84">
        <f t="shared" si="24"/>
        <v>291</v>
      </c>
      <c r="P52" s="79">
        <f t="shared" si="25"/>
        <v>428</v>
      </c>
      <c r="Q52" s="34">
        <f t="shared" si="26"/>
        <v>0.67990654205607481</v>
      </c>
      <c r="R52" s="108">
        <v>44</v>
      </c>
    </row>
    <row r="53" spans="1:27" ht="21" customHeight="1">
      <c r="A53" s="81">
        <v>3</v>
      </c>
      <c r="B53" s="103" t="s">
        <v>171</v>
      </c>
      <c r="C53" s="2">
        <v>311635</v>
      </c>
      <c r="D53" s="2">
        <v>311757</v>
      </c>
      <c r="E53" s="104">
        <f t="shared" si="19"/>
        <v>122</v>
      </c>
      <c r="F53" s="105">
        <v>31137</v>
      </c>
      <c r="G53" s="49">
        <v>189.78</v>
      </c>
      <c r="H53" s="10">
        <f t="shared" si="20"/>
        <v>0.64284961534408258</v>
      </c>
      <c r="I53" s="2">
        <v>311833</v>
      </c>
      <c r="J53" s="106">
        <f t="shared" si="21"/>
        <v>76</v>
      </c>
      <c r="K53" s="105">
        <v>31152</v>
      </c>
      <c r="L53" s="107">
        <f t="shared" si="22"/>
        <v>15</v>
      </c>
      <c r="M53" s="2">
        <v>104</v>
      </c>
      <c r="N53" s="28">
        <f t="shared" si="23"/>
        <v>0.73076923076923073</v>
      </c>
      <c r="O53" s="84">
        <f t="shared" si="24"/>
        <v>198</v>
      </c>
      <c r="P53" s="79">
        <f t="shared" si="25"/>
        <v>293.77999999999997</v>
      </c>
      <c r="Q53" s="34">
        <f t="shared" si="26"/>
        <v>0.67397372183266391</v>
      </c>
      <c r="R53" s="108">
        <v>31</v>
      </c>
    </row>
    <row r="54" spans="1:27" ht="21" customHeight="1">
      <c r="A54" s="81">
        <v>4</v>
      </c>
      <c r="B54" s="103" t="s">
        <v>156</v>
      </c>
      <c r="C54" s="2">
        <v>262554</v>
      </c>
      <c r="D54" s="2">
        <v>262703</v>
      </c>
      <c r="E54" s="104">
        <f t="shared" si="19"/>
        <v>149</v>
      </c>
      <c r="F54" s="105">
        <v>27828</v>
      </c>
      <c r="G54" s="49">
        <v>247</v>
      </c>
      <c r="H54" s="10">
        <f t="shared" si="20"/>
        <v>0.60323886639676116</v>
      </c>
      <c r="I54" s="2">
        <v>262859</v>
      </c>
      <c r="J54" s="106">
        <f t="shared" si="21"/>
        <v>156</v>
      </c>
      <c r="K54" s="105">
        <v>27849</v>
      </c>
      <c r="L54" s="107">
        <f t="shared" si="22"/>
        <v>21</v>
      </c>
      <c r="M54" s="2">
        <v>216</v>
      </c>
      <c r="N54" s="28">
        <f t="shared" si="23"/>
        <v>0.72222222222222221</v>
      </c>
      <c r="O54" s="84">
        <f t="shared" si="24"/>
        <v>305</v>
      </c>
      <c r="P54" s="79">
        <f t="shared" si="25"/>
        <v>463</v>
      </c>
      <c r="Q54" s="34">
        <f t="shared" si="26"/>
        <v>0.65874730021598271</v>
      </c>
      <c r="R54" s="108">
        <v>35</v>
      </c>
    </row>
    <row r="55" spans="1:27" ht="21" customHeight="1">
      <c r="A55" s="81">
        <v>5</v>
      </c>
      <c r="B55" s="103" t="s">
        <v>157</v>
      </c>
      <c r="C55" s="2">
        <v>277709</v>
      </c>
      <c r="D55" s="2">
        <v>277855</v>
      </c>
      <c r="E55" s="104">
        <f t="shared" si="19"/>
        <v>146</v>
      </c>
      <c r="F55" s="105">
        <v>28161</v>
      </c>
      <c r="G55" s="49">
        <v>266</v>
      </c>
      <c r="H55" s="10">
        <f t="shared" si="20"/>
        <v>0.54887218045112784</v>
      </c>
      <c r="I55" s="2">
        <v>277971</v>
      </c>
      <c r="J55" s="106">
        <f t="shared" si="21"/>
        <v>116</v>
      </c>
      <c r="K55" s="105">
        <v>28180</v>
      </c>
      <c r="L55" s="107">
        <f t="shared" si="22"/>
        <v>19</v>
      </c>
      <c r="M55" s="2">
        <v>164</v>
      </c>
      <c r="N55" s="28">
        <f t="shared" si="23"/>
        <v>0.70731707317073167</v>
      </c>
      <c r="O55" s="84">
        <f t="shared" si="24"/>
        <v>262</v>
      </c>
      <c r="P55" s="79">
        <f t="shared" si="25"/>
        <v>430</v>
      </c>
      <c r="Q55" s="34">
        <f t="shared" si="26"/>
        <v>0.6093023255813953</v>
      </c>
      <c r="R55" s="108">
        <v>29</v>
      </c>
    </row>
    <row r="56" spans="1:27" ht="21" customHeight="1">
      <c r="A56" s="81">
        <v>6</v>
      </c>
      <c r="B56" s="103" t="s">
        <v>172</v>
      </c>
      <c r="C56" s="2">
        <v>267178</v>
      </c>
      <c r="D56" s="2">
        <v>267178</v>
      </c>
      <c r="E56" s="104">
        <f t="shared" si="19"/>
        <v>0</v>
      </c>
      <c r="F56" s="105">
        <v>26440</v>
      </c>
      <c r="G56" s="49">
        <v>0</v>
      </c>
      <c r="H56" s="10">
        <f t="shared" si="20"/>
        <v>0</v>
      </c>
      <c r="I56" s="2">
        <v>267274</v>
      </c>
      <c r="J56" s="106">
        <f t="shared" si="21"/>
        <v>96</v>
      </c>
      <c r="K56" s="105">
        <v>26448</v>
      </c>
      <c r="L56" s="107">
        <f t="shared" si="22"/>
        <v>8</v>
      </c>
      <c r="M56" s="2">
        <v>151</v>
      </c>
      <c r="N56" s="28">
        <f t="shared" si="23"/>
        <v>0.63576158940397354</v>
      </c>
      <c r="O56" s="84">
        <f t="shared" si="24"/>
        <v>96</v>
      </c>
      <c r="P56" s="79">
        <f t="shared" si="25"/>
        <v>151</v>
      </c>
      <c r="Q56" s="34">
        <f t="shared" si="26"/>
        <v>0.63576158940397354</v>
      </c>
      <c r="R56" s="108">
        <v>11</v>
      </c>
    </row>
    <row r="57" spans="1:27" ht="21" customHeight="1">
      <c r="A57" s="81">
        <v>7</v>
      </c>
      <c r="B57" s="103" t="s">
        <v>173</v>
      </c>
      <c r="C57" s="2">
        <v>295972</v>
      </c>
      <c r="D57" s="2">
        <v>295972</v>
      </c>
      <c r="E57" s="104">
        <f t="shared" si="19"/>
        <v>0</v>
      </c>
      <c r="F57" s="105">
        <v>28802</v>
      </c>
      <c r="G57" s="49">
        <v>0</v>
      </c>
      <c r="H57" s="10">
        <f t="shared" si="20"/>
        <v>0</v>
      </c>
      <c r="I57" s="2">
        <v>295972</v>
      </c>
      <c r="J57" s="106">
        <f t="shared" si="21"/>
        <v>0</v>
      </c>
      <c r="K57" s="105">
        <v>28802</v>
      </c>
      <c r="L57" s="107">
        <f t="shared" si="22"/>
        <v>0</v>
      </c>
      <c r="M57" s="2">
        <v>0</v>
      </c>
      <c r="N57" s="28">
        <f t="shared" si="23"/>
        <v>0</v>
      </c>
      <c r="O57" s="84">
        <f t="shared" si="24"/>
        <v>0</v>
      </c>
      <c r="P57" s="79">
        <f t="shared" si="25"/>
        <v>0</v>
      </c>
      <c r="Q57" s="34">
        <f t="shared" si="26"/>
        <v>0</v>
      </c>
      <c r="R57" s="108">
        <v>0</v>
      </c>
    </row>
    <row r="58" spans="1:27" ht="24" customHeight="1">
      <c r="A58" s="81">
        <v>8</v>
      </c>
      <c r="B58" s="31" t="s">
        <v>53</v>
      </c>
      <c r="C58" s="35">
        <v>335064.3</v>
      </c>
      <c r="D58" s="35">
        <v>335154.3</v>
      </c>
      <c r="E58" s="104">
        <f t="shared" si="19"/>
        <v>90</v>
      </c>
      <c r="F58" s="110">
        <v>29928.39</v>
      </c>
      <c r="G58" s="111">
        <v>177.26</v>
      </c>
      <c r="H58" s="10">
        <f t="shared" si="20"/>
        <v>0.5077287600135395</v>
      </c>
      <c r="I58" s="35">
        <v>335211.40000000002</v>
      </c>
      <c r="J58" s="106">
        <f t="shared" si="21"/>
        <v>57.100000000034925</v>
      </c>
      <c r="K58" s="110">
        <v>29944.57</v>
      </c>
      <c r="L58" s="107">
        <f t="shared" si="22"/>
        <v>16.180000000000291</v>
      </c>
      <c r="M58" s="112">
        <v>101</v>
      </c>
      <c r="N58" s="28">
        <f t="shared" si="23"/>
        <v>0.56534653465381113</v>
      </c>
      <c r="O58" s="84">
        <f t="shared" si="24"/>
        <v>147.10000000003492</v>
      </c>
      <c r="P58" s="79">
        <f t="shared" si="25"/>
        <v>278.26</v>
      </c>
      <c r="Q58" s="34">
        <f t="shared" si="26"/>
        <v>0.5286422770072412</v>
      </c>
      <c r="R58" s="1">
        <v>38</v>
      </c>
    </row>
    <row r="59" spans="1:27" ht="24" customHeight="1">
      <c r="A59" s="81">
        <v>9</v>
      </c>
      <c r="B59" s="31" t="s">
        <v>54</v>
      </c>
      <c r="C59" s="104">
        <v>293828.90000000002</v>
      </c>
      <c r="D59" s="104">
        <v>293921.7</v>
      </c>
      <c r="E59" s="104">
        <f t="shared" si="19"/>
        <v>92.799999999988358</v>
      </c>
      <c r="F59" s="110">
        <v>28151.35</v>
      </c>
      <c r="G59" s="111">
        <v>159.26</v>
      </c>
      <c r="H59" s="10">
        <f t="shared" si="20"/>
        <v>0.5826949642093957</v>
      </c>
      <c r="I59" s="104">
        <v>293991.40000000002</v>
      </c>
      <c r="J59" s="106">
        <f>I59-D59</f>
        <v>69.700000000011642</v>
      </c>
      <c r="K59" s="110">
        <v>28169.4</v>
      </c>
      <c r="L59" s="107">
        <f t="shared" si="22"/>
        <v>18.05000000000291</v>
      </c>
      <c r="M59" s="111">
        <v>126</v>
      </c>
      <c r="N59" s="28">
        <f t="shared" si="23"/>
        <v>0.55317460317469558</v>
      </c>
      <c r="O59" s="84">
        <f t="shared" si="24"/>
        <v>162.5</v>
      </c>
      <c r="P59" s="79">
        <f t="shared" si="25"/>
        <v>285.26</v>
      </c>
      <c r="Q59" s="34">
        <f t="shared" si="26"/>
        <v>0.56965575264670831</v>
      </c>
      <c r="R59" s="1">
        <v>39</v>
      </c>
      <c r="AA59" s="101"/>
    </row>
    <row r="60" spans="1:27" ht="24" customHeight="1">
      <c r="A60" s="81">
        <v>10</v>
      </c>
      <c r="B60" s="31" t="s">
        <v>55</v>
      </c>
      <c r="C60" s="104">
        <v>298907.40000000002</v>
      </c>
      <c r="D60" s="104">
        <v>298907.40000000002</v>
      </c>
      <c r="E60" s="104">
        <f t="shared" si="19"/>
        <v>0</v>
      </c>
      <c r="F60" s="110">
        <v>27086</v>
      </c>
      <c r="G60" s="111">
        <v>0</v>
      </c>
      <c r="H60" s="10">
        <f t="shared" si="20"/>
        <v>0</v>
      </c>
      <c r="I60" s="104">
        <v>298907.40000000002</v>
      </c>
      <c r="J60" s="106">
        <f>I60-D60</f>
        <v>0</v>
      </c>
      <c r="K60" s="110">
        <v>27086</v>
      </c>
      <c r="L60" s="107">
        <f t="shared" si="22"/>
        <v>0</v>
      </c>
      <c r="M60" s="111">
        <v>0</v>
      </c>
      <c r="N60" s="28">
        <f t="shared" si="23"/>
        <v>0</v>
      </c>
      <c r="O60" s="84">
        <f t="shared" si="24"/>
        <v>0</v>
      </c>
      <c r="P60" s="79">
        <f t="shared" si="25"/>
        <v>0</v>
      </c>
      <c r="Q60" s="34">
        <f t="shared" si="26"/>
        <v>0</v>
      </c>
      <c r="R60" s="1">
        <v>0</v>
      </c>
      <c r="AA60" s="101"/>
    </row>
    <row r="61" spans="1:27" ht="24" customHeight="1">
      <c r="A61" s="81">
        <v>11</v>
      </c>
      <c r="B61" s="31" t="s">
        <v>56</v>
      </c>
      <c r="C61" s="104">
        <v>341478.1</v>
      </c>
      <c r="D61" s="104">
        <v>341526.6</v>
      </c>
      <c r="E61" s="104">
        <f t="shared" si="19"/>
        <v>48.5</v>
      </c>
      <c r="F61" s="110">
        <v>26993.15</v>
      </c>
      <c r="G61" s="111">
        <v>100</v>
      </c>
      <c r="H61" s="10">
        <f t="shared" si="20"/>
        <v>0.48499999999999999</v>
      </c>
      <c r="I61" s="104">
        <v>341625.9</v>
      </c>
      <c r="J61" s="106">
        <f>I61-D61</f>
        <v>99.300000000046566</v>
      </c>
      <c r="K61" s="110">
        <v>27005.42</v>
      </c>
      <c r="L61" s="107">
        <f t="shared" si="22"/>
        <v>12.269999999996799</v>
      </c>
      <c r="M61" s="111">
        <v>129</v>
      </c>
      <c r="N61" s="28">
        <f t="shared" si="23"/>
        <v>0.76976744186082613</v>
      </c>
      <c r="O61" s="84">
        <f t="shared" si="24"/>
        <v>147.80000000004657</v>
      </c>
      <c r="P61" s="79">
        <f t="shared" si="25"/>
        <v>229</v>
      </c>
      <c r="Q61" s="34">
        <f t="shared" si="26"/>
        <v>0.64541484716177544</v>
      </c>
      <c r="R61" s="1">
        <v>17</v>
      </c>
      <c r="AA61" s="101"/>
    </row>
    <row r="62" spans="1:27" ht="24" customHeight="1">
      <c r="A62" s="81">
        <v>12</v>
      </c>
      <c r="B62" s="31" t="s">
        <v>57</v>
      </c>
      <c r="C62" s="104">
        <v>344851</v>
      </c>
      <c r="D62" s="104">
        <v>344876.4</v>
      </c>
      <c r="E62" s="104">
        <f t="shared" si="19"/>
        <v>25.400000000023283</v>
      </c>
      <c r="F62" s="110">
        <v>26821.54</v>
      </c>
      <c r="G62" s="111">
        <v>224</v>
      </c>
      <c r="H62" s="10">
        <f t="shared" si="20"/>
        <v>0.11339285714296109</v>
      </c>
      <c r="I62" s="104">
        <v>344876.4</v>
      </c>
      <c r="J62" s="106">
        <f>I62-D62</f>
        <v>0</v>
      </c>
      <c r="K62" s="110">
        <v>26835.33</v>
      </c>
      <c r="L62" s="107">
        <f t="shared" si="22"/>
        <v>13.790000000000873</v>
      </c>
      <c r="M62" s="111">
        <v>0</v>
      </c>
      <c r="N62" s="28">
        <f t="shared" si="23"/>
        <v>0</v>
      </c>
      <c r="O62" s="84">
        <f t="shared" si="24"/>
        <v>25.400000000023283</v>
      </c>
      <c r="P62" s="79">
        <f t="shared" si="25"/>
        <v>224</v>
      </c>
      <c r="Q62" s="34">
        <f t="shared" si="26"/>
        <v>0.11339285714296109</v>
      </c>
      <c r="R62" s="1">
        <v>8</v>
      </c>
      <c r="AA62" s="101"/>
    </row>
    <row r="63" spans="1:27" ht="24" customHeight="1">
      <c r="A63" s="81">
        <v>13</v>
      </c>
      <c r="B63" s="31" t="s">
        <v>58</v>
      </c>
      <c r="C63" s="35">
        <v>301270.59999999998</v>
      </c>
      <c r="D63" s="35">
        <v>301371.90000000002</v>
      </c>
      <c r="E63" s="104">
        <f t="shared" si="19"/>
        <v>101.30000000004657</v>
      </c>
      <c r="F63" s="110">
        <v>26793</v>
      </c>
      <c r="G63" s="111">
        <v>191</v>
      </c>
      <c r="H63" s="10">
        <f t="shared" si="20"/>
        <v>0.53036649214684062</v>
      </c>
      <c r="I63" s="35">
        <v>301480.8</v>
      </c>
      <c r="J63" s="106">
        <f t="shared" si="21"/>
        <v>108.89999999996508</v>
      </c>
      <c r="K63" s="110">
        <v>26813.55</v>
      </c>
      <c r="L63" s="107">
        <f t="shared" si="22"/>
        <v>20.549999999999272</v>
      </c>
      <c r="M63" s="112">
        <v>159</v>
      </c>
      <c r="N63" s="28">
        <f>IFERROR(J63/M63,0)</f>
        <v>0.68490566037713885</v>
      </c>
      <c r="O63" s="84">
        <f t="shared" si="24"/>
        <v>210.20000000001164</v>
      </c>
      <c r="P63" s="79">
        <f t="shared" si="25"/>
        <v>350</v>
      </c>
      <c r="Q63" s="34">
        <f t="shared" si="26"/>
        <v>0.60057142857146184</v>
      </c>
      <c r="R63" s="1">
        <v>30</v>
      </c>
      <c r="U63" s="113"/>
    </row>
    <row r="64" spans="1:27" ht="24" customHeight="1">
      <c r="A64" s="81">
        <v>14</v>
      </c>
      <c r="B64" s="31" t="s">
        <v>59</v>
      </c>
      <c r="C64" s="35">
        <v>273403.09999999998</v>
      </c>
      <c r="D64" s="35">
        <v>273535.90000000002</v>
      </c>
      <c r="E64" s="104">
        <f t="shared" si="19"/>
        <v>132.80000000004657</v>
      </c>
      <c r="F64" s="110">
        <v>25563.040000000001</v>
      </c>
      <c r="G64" s="111">
        <v>215</v>
      </c>
      <c r="H64" s="10">
        <f t="shared" si="20"/>
        <v>0.61767441860486771</v>
      </c>
      <c r="I64" s="35">
        <v>273586.8</v>
      </c>
      <c r="J64" s="106">
        <f>I64-D64</f>
        <v>50.899999999965075</v>
      </c>
      <c r="K64" s="110">
        <v>25580.01</v>
      </c>
      <c r="L64" s="107">
        <f t="shared" si="22"/>
        <v>16.969999999997526</v>
      </c>
      <c r="M64" s="111">
        <v>87</v>
      </c>
      <c r="N64" s="28">
        <f>IFERROR(J64/M64,0)</f>
        <v>0.58505747126396634</v>
      </c>
      <c r="O64" s="84">
        <f t="shared" si="24"/>
        <v>183.70000000001164</v>
      </c>
      <c r="P64" s="79">
        <f t="shared" si="25"/>
        <v>302</v>
      </c>
      <c r="Q64" s="34">
        <f t="shared" si="26"/>
        <v>0.60827814569540284</v>
      </c>
      <c r="R64" s="1">
        <v>11</v>
      </c>
      <c r="X64" t="s">
        <v>60</v>
      </c>
    </row>
    <row r="65" spans="1:18" ht="24" customHeight="1">
      <c r="A65" s="81">
        <v>15</v>
      </c>
      <c r="B65" s="31" t="s">
        <v>61</v>
      </c>
      <c r="C65" s="104">
        <v>286571.5</v>
      </c>
      <c r="D65" s="104">
        <v>286571.5</v>
      </c>
      <c r="E65" s="104">
        <f t="shared" si="19"/>
        <v>0</v>
      </c>
      <c r="F65" s="110">
        <v>26757.26</v>
      </c>
      <c r="G65" s="111">
        <v>0</v>
      </c>
      <c r="H65" s="10">
        <f t="shared" si="20"/>
        <v>0</v>
      </c>
      <c r="I65" s="104">
        <v>286674.40000000002</v>
      </c>
      <c r="J65" s="106">
        <f>I65-D65</f>
        <v>102.90000000002328</v>
      </c>
      <c r="K65" s="110">
        <v>26768.17</v>
      </c>
      <c r="L65" s="107">
        <f t="shared" si="22"/>
        <v>10.909999999999854</v>
      </c>
      <c r="M65" s="112">
        <v>188</v>
      </c>
      <c r="N65" s="28">
        <f t="shared" si="23"/>
        <v>0.54734042553203877</v>
      </c>
      <c r="O65" s="84">
        <f t="shared" si="24"/>
        <v>102.90000000002328</v>
      </c>
      <c r="P65" s="79">
        <f t="shared" si="25"/>
        <v>188</v>
      </c>
      <c r="Q65" s="34">
        <f t="shared" si="26"/>
        <v>0.54734042553203877</v>
      </c>
      <c r="R65" s="1">
        <v>10</v>
      </c>
    </row>
    <row r="66" spans="1:18" ht="24" customHeight="1">
      <c r="A66" s="81">
        <v>16</v>
      </c>
      <c r="B66" s="31" t="s">
        <v>62</v>
      </c>
      <c r="C66" s="35">
        <v>304591</v>
      </c>
      <c r="D66" s="35">
        <v>304591</v>
      </c>
      <c r="E66" s="104">
        <f t="shared" si="19"/>
        <v>0</v>
      </c>
      <c r="F66" s="110">
        <v>27407.27</v>
      </c>
      <c r="G66" s="111">
        <v>0</v>
      </c>
      <c r="H66" s="10">
        <f t="shared" si="20"/>
        <v>0</v>
      </c>
      <c r="I66" s="35">
        <v>304591</v>
      </c>
      <c r="J66" s="106">
        <f t="shared" si="21"/>
        <v>0</v>
      </c>
      <c r="K66" s="110">
        <v>27407.27</v>
      </c>
      <c r="L66" s="107">
        <f t="shared" si="22"/>
        <v>0</v>
      </c>
      <c r="M66" s="112">
        <v>0</v>
      </c>
      <c r="N66" s="28">
        <f t="shared" si="23"/>
        <v>0</v>
      </c>
      <c r="O66" s="84">
        <f t="shared" si="24"/>
        <v>0</v>
      </c>
      <c r="P66" s="79">
        <f t="shared" si="25"/>
        <v>0</v>
      </c>
      <c r="Q66" s="34">
        <f t="shared" si="26"/>
        <v>0</v>
      </c>
      <c r="R66" s="1">
        <v>0</v>
      </c>
    </row>
    <row r="67" spans="1:18" ht="24" customHeight="1">
      <c r="A67" s="81">
        <v>17</v>
      </c>
      <c r="B67" s="31" t="s">
        <v>158</v>
      </c>
      <c r="C67" s="17">
        <v>276044</v>
      </c>
      <c r="D67" s="17">
        <v>276193</v>
      </c>
      <c r="E67" s="104">
        <f t="shared" si="19"/>
        <v>149</v>
      </c>
      <c r="F67" s="110">
        <v>25183</v>
      </c>
      <c r="G67" s="111">
        <v>232</v>
      </c>
      <c r="H67" s="10">
        <f t="shared" si="20"/>
        <v>0.64224137931034486</v>
      </c>
      <c r="I67" s="17">
        <v>276330</v>
      </c>
      <c r="J67" s="106">
        <f t="shared" si="21"/>
        <v>137</v>
      </c>
      <c r="K67" s="110">
        <v>25204</v>
      </c>
      <c r="L67" s="107">
        <f t="shared" si="22"/>
        <v>21</v>
      </c>
      <c r="M67" s="111">
        <v>213</v>
      </c>
      <c r="N67" s="28">
        <f t="shared" si="23"/>
        <v>0.64319248826291076</v>
      </c>
      <c r="O67" s="84">
        <f t="shared" si="24"/>
        <v>286</v>
      </c>
      <c r="P67" s="79">
        <f t="shared" si="25"/>
        <v>445</v>
      </c>
      <c r="Q67" s="34">
        <f t="shared" si="26"/>
        <v>0.64269662921348314</v>
      </c>
      <c r="R67" s="1">
        <v>33</v>
      </c>
    </row>
    <row r="68" spans="1:18" ht="24" customHeight="1">
      <c r="A68" s="81">
        <v>18</v>
      </c>
      <c r="B68" s="31" t="s">
        <v>159</v>
      </c>
      <c r="C68" s="17">
        <v>279499</v>
      </c>
      <c r="D68" s="17">
        <v>279637</v>
      </c>
      <c r="E68" s="104">
        <f t="shared" si="19"/>
        <v>138</v>
      </c>
      <c r="F68" s="110">
        <v>26037</v>
      </c>
      <c r="G68" s="111">
        <v>238</v>
      </c>
      <c r="H68" s="10">
        <f t="shared" si="20"/>
        <v>0.57983193277310929</v>
      </c>
      <c r="I68" s="17">
        <v>279735</v>
      </c>
      <c r="J68" s="106">
        <f t="shared" si="21"/>
        <v>98</v>
      </c>
      <c r="K68" s="110">
        <v>26056</v>
      </c>
      <c r="L68" s="107">
        <f t="shared" si="22"/>
        <v>19</v>
      </c>
      <c r="M68" s="111">
        <v>150</v>
      </c>
      <c r="N68" s="28">
        <f t="shared" si="23"/>
        <v>0.65333333333333332</v>
      </c>
      <c r="O68" s="84">
        <f t="shared" si="24"/>
        <v>236</v>
      </c>
      <c r="P68" s="79">
        <f t="shared" si="25"/>
        <v>388</v>
      </c>
      <c r="Q68" s="34">
        <f t="shared" si="26"/>
        <v>0.60824742268041232</v>
      </c>
      <c r="R68" s="1">
        <v>17</v>
      </c>
    </row>
    <row r="69" spans="1:18" ht="24" customHeight="1">
      <c r="A69" s="81">
        <v>19</v>
      </c>
      <c r="B69" s="31" t="s">
        <v>160</v>
      </c>
      <c r="C69" s="17">
        <v>306486</v>
      </c>
      <c r="D69" s="17">
        <v>306486</v>
      </c>
      <c r="E69" s="104">
        <f t="shared" si="19"/>
        <v>0</v>
      </c>
      <c r="F69" s="110">
        <v>25222</v>
      </c>
      <c r="G69" s="111">
        <v>0</v>
      </c>
      <c r="H69" s="10">
        <f t="shared" si="20"/>
        <v>0</v>
      </c>
      <c r="I69" s="17">
        <v>306486</v>
      </c>
      <c r="J69" s="106">
        <f t="shared" si="21"/>
        <v>0</v>
      </c>
      <c r="K69" s="110">
        <v>25222</v>
      </c>
      <c r="L69" s="107">
        <f t="shared" si="22"/>
        <v>0</v>
      </c>
      <c r="M69" s="111">
        <v>0</v>
      </c>
      <c r="N69" s="28">
        <f t="shared" si="23"/>
        <v>0</v>
      </c>
      <c r="O69" s="84">
        <f t="shared" si="24"/>
        <v>0</v>
      </c>
      <c r="P69" s="79">
        <f t="shared" si="25"/>
        <v>0</v>
      </c>
      <c r="Q69" s="34">
        <f t="shared" si="26"/>
        <v>0</v>
      </c>
      <c r="R69" s="1">
        <v>0</v>
      </c>
    </row>
    <row r="70" spans="1:18" ht="24" customHeight="1">
      <c r="A70" s="81">
        <v>20</v>
      </c>
      <c r="B70" s="31" t="s">
        <v>161</v>
      </c>
      <c r="C70" s="17">
        <v>305776</v>
      </c>
      <c r="D70" s="17">
        <v>305911</v>
      </c>
      <c r="E70" s="104">
        <f t="shared" si="19"/>
        <v>135</v>
      </c>
      <c r="F70" s="110">
        <v>25553</v>
      </c>
      <c r="G70" s="116">
        <v>257</v>
      </c>
      <c r="H70" s="10">
        <f t="shared" si="20"/>
        <v>0.52529182879377434</v>
      </c>
      <c r="I70" s="17">
        <v>306036</v>
      </c>
      <c r="J70" s="106">
        <f t="shared" si="21"/>
        <v>125</v>
      </c>
      <c r="K70" s="110">
        <v>25572</v>
      </c>
      <c r="L70" s="107">
        <f t="shared" si="22"/>
        <v>19</v>
      </c>
      <c r="M70" s="111">
        <v>181</v>
      </c>
      <c r="N70" s="28">
        <f t="shared" si="23"/>
        <v>0.69060773480662985</v>
      </c>
      <c r="O70" s="84">
        <f t="shared" si="24"/>
        <v>260</v>
      </c>
      <c r="P70" s="79">
        <f t="shared" si="25"/>
        <v>438</v>
      </c>
      <c r="Q70" s="34">
        <f t="shared" si="26"/>
        <v>0.59360730593607303</v>
      </c>
      <c r="R70" s="1">
        <v>31</v>
      </c>
    </row>
    <row r="71" spans="1:18" ht="24" customHeight="1">
      <c r="A71" s="81">
        <v>21</v>
      </c>
      <c r="B71" s="31" t="s">
        <v>162</v>
      </c>
      <c r="C71" s="17">
        <v>322291</v>
      </c>
      <c r="D71" s="17">
        <v>322291</v>
      </c>
      <c r="E71" s="104">
        <f t="shared" si="19"/>
        <v>0</v>
      </c>
      <c r="F71" s="110">
        <v>26739</v>
      </c>
      <c r="G71" s="111">
        <v>0</v>
      </c>
      <c r="H71" s="10">
        <f t="shared" si="20"/>
        <v>0</v>
      </c>
      <c r="I71" s="17">
        <v>322291</v>
      </c>
      <c r="J71" s="106">
        <f t="shared" si="21"/>
        <v>0</v>
      </c>
      <c r="K71" s="110">
        <v>26739</v>
      </c>
      <c r="L71" s="107">
        <f t="shared" si="22"/>
        <v>0</v>
      </c>
      <c r="M71" s="111">
        <v>0</v>
      </c>
      <c r="N71" s="28">
        <f t="shared" si="23"/>
        <v>0</v>
      </c>
      <c r="O71" s="84">
        <f t="shared" si="24"/>
        <v>0</v>
      </c>
      <c r="P71" s="79">
        <f t="shared" si="25"/>
        <v>0</v>
      </c>
      <c r="Q71" s="34">
        <f t="shared" si="26"/>
        <v>0</v>
      </c>
      <c r="R71" s="1">
        <v>0</v>
      </c>
    </row>
    <row r="72" spans="1:18" ht="24" customHeight="1">
      <c r="A72" s="81">
        <v>22</v>
      </c>
      <c r="B72" s="31" t="s">
        <v>68</v>
      </c>
      <c r="C72" s="17">
        <v>277945</v>
      </c>
      <c r="D72" s="17">
        <v>278094.5</v>
      </c>
      <c r="E72" s="104">
        <f t="shared" si="19"/>
        <v>149.5</v>
      </c>
      <c r="F72" s="110">
        <v>22572</v>
      </c>
      <c r="G72" s="111">
        <v>250</v>
      </c>
      <c r="H72" s="10">
        <f t="shared" si="20"/>
        <v>0.59799999999999998</v>
      </c>
      <c r="I72" s="17">
        <v>278156.5</v>
      </c>
      <c r="J72" s="106">
        <f t="shared" si="21"/>
        <v>62</v>
      </c>
      <c r="K72" s="110">
        <v>22590</v>
      </c>
      <c r="L72" s="107">
        <f t="shared" si="22"/>
        <v>18</v>
      </c>
      <c r="M72" s="112">
        <v>104</v>
      </c>
      <c r="N72" s="28">
        <f t="shared" si="23"/>
        <v>0.59615384615384615</v>
      </c>
      <c r="O72" s="84">
        <f t="shared" si="24"/>
        <v>211.5</v>
      </c>
      <c r="P72" s="79">
        <f t="shared" si="25"/>
        <v>354</v>
      </c>
      <c r="Q72" s="34">
        <f t="shared" si="26"/>
        <v>0.59745762711864403</v>
      </c>
      <c r="R72" s="1">
        <v>23</v>
      </c>
    </row>
    <row r="73" spans="1:18" ht="24" customHeight="1">
      <c r="A73" s="81">
        <v>23</v>
      </c>
      <c r="B73" s="31" t="s">
        <v>69</v>
      </c>
      <c r="C73" s="17">
        <v>259948.3</v>
      </c>
      <c r="D73" s="17">
        <v>260061.7</v>
      </c>
      <c r="E73" s="104">
        <f t="shared" si="19"/>
        <v>113.40000000002328</v>
      </c>
      <c r="F73" s="110">
        <v>19938</v>
      </c>
      <c r="G73" s="111">
        <v>170</v>
      </c>
      <c r="H73" s="10">
        <f t="shared" si="20"/>
        <v>0.66705882352954871</v>
      </c>
      <c r="I73" s="17">
        <v>260194.7</v>
      </c>
      <c r="J73" s="106">
        <f t="shared" si="21"/>
        <v>133</v>
      </c>
      <c r="K73" s="110">
        <v>19957</v>
      </c>
      <c r="L73" s="107">
        <f t="shared" si="22"/>
        <v>19</v>
      </c>
      <c r="M73" s="112">
        <v>188</v>
      </c>
      <c r="N73" s="28">
        <f t="shared" si="23"/>
        <v>0.70744680851063835</v>
      </c>
      <c r="O73" s="84">
        <f t="shared" si="24"/>
        <v>246.40000000002328</v>
      </c>
      <c r="P73" s="79">
        <f t="shared" si="25"/>
        <v>358</v>
      </c>
      <c r="Q73" s="34">
        <f t="shared" si="26"/>
        <v>0.688268156424646</v>
      </c>
      <c r="R73" s="1">
        <v>30</v>
      </c>
    </row>
    <row r="74" spans="1:18" ht="24" customHeight="1">
      <c r="A74" s="81">
        <v>24</v>
      </c>
      <c r="B74" s="31" t="s">
        <v>70</v>
      </c>
      <c r="C74" s="104">
        <v>304407.3</v>
      </c>
      <c r="D74" s="104">
        <v>304553.59999999998</v>
      </c>
      <c r="E74" s="104">
        <f t="shared" si="19"/>
        <v>146.29999999998836</v>
      </c>
      <c r="F74" s="110">
        <v>5119</v>
      </c>
      <c r="G74" s="111">
        <v>213</v>
      </c>
      <c r="H74" s="10">
        <f t="shared" si="20"/>
        <v>0.6868544600938421</v>
      </c>
      <c r="I74" s="104">
        <v>304652.79999999999</v>
      </c>
      <c r="J74" s="106">
        <f t="shared" si="21"/>
        <v>99.200000000011642</v>
      </c>
      <c r="K74" s="110">
        <v>5138</v>
      </c>
      <c r="L74" s="107">
        <f t="shared" si="22"/>
        <v>19</v>
      </c>
      <c r="M74" s="111">
        <v>138</v>
      </c>
      <c r="N74" s="28">
        <f t="shared" si="23"/>
        <v>0.7188405797102293</v>
      </c>
      <c r="O74" s="84">
        <f t="shared" si="24"/>
        <v>245.5</v>
      </c>
      <c r="P74" s="79">
        <f t="shared" si="25"/>
        <v>351</v>
      </c>
      <c r="Q74" s="34">
        <f t="shared" si="26"/>
        <v>0.69943019943019946</v>
      </c>
      <c r="R74" s="1">
        <v>24</v>
      </c>
    </row>
    <row r="75" spans="1:18" ht="24" customHeight="1">
      <c r="A75" s="81">
        <v>25</v>
      </c>
      <c r="B75" s="31" t="s">
        <v>71</v>
      </c>
      <c r="C75" s="35">
        <v>314366.40000000002</v>
      </c>
      <c r="D75" s="35">
        <v>314520.40000000002</v>
      </c>
      <c r="E75" s="104">
        <f t="shared" si="19"/>
        <v>154</v>
      </c>
      <c r="F75" s="110">
        <v>23010</v>
      </c>
      <c r="G75" s="111">
        <v>212</v>
      </c>
      <c r="H75" s="10">
        <f t="shared" si="20"/>
        <v>0.72641509433962259</v>
      </c>
      <c r="I75" s="35">
        <v>314658</v>
      </c>
      <c r="J75" s="106">
        <f t="shared" si="21"/>
        <v>137.59999999997672</v>
      </c>
      <c r="K75" s="110">
        <v>23031</v>
      </c>
      <c r="L75" s="107">
        <f t="shared" si="22"/>
        <v>21</v>
      </c>
      <c r="M75" s="111">
        <v>216</v>
      </c>
      <c r="N75" s="28">
        <f>IFERROR(J75/M75,0)</f>
        <v>0.63703703703692927</v>
      </c>
      <c r="O75" s="84">
        <f t="shared" si="24"/>
        <v>291.59999999997672</v>
      </c>
      <c r="P75" s="79">
        <f>G75+M75</f>
        <v>428</v>
      </c>
      <c r="Q75" s="34">
        <f t="shared" si="26"/>
        <v>0.68130841121489882</v>
      </c>
      <c r="R75" s="1">
        <v>25</v>
      </c>
    </row>
    <row r="76" spans="1:18" ht="24" customHeight="1">
      <c r="A76" s="81">
        <v>26</v>
      </c>
      <c r="B76" s="31" t="s">
        <v>72</v>
      </c>
      <c r="C76" s="35">
        <v>285063.8</v>
      </c>
      <c r="D76" s="35">
        <v>285184.59999999998</v>
      </c>
      <c r="E76" s="104">
        <f t="shared" si="19"/>
        <v>120.79999999998836</v>
      </c>
      <c r="F76" s="110">
        <v>20635</v>
      </c>
      <c r="G76" s="111">
        <v>193.43</v>
      </c>
      <c r="H76" s="10">
        <f t="shared" si="20"/>
        <v>0.62451532854256508</v>
      </c>
      <c r="I76" s="35">
        <v>285263.3</v>
      </c>
      <c r="J76" s="106">
        <f t="shared" si="21"/>
        <v>78.700000000011642</v>
      </c>
      <c r="K76" s="110">
        <v>20654</v>
      </c>
      <c r="L76" s="107">
        <f t="shared" si="22"/>
        <v>19</v>
      </c>
      <c r="M76" s="112">
        <v>123</v>
      </c>
      <c r="N76" s="28">
        <f t="shared" si="23"/>
        <v>0.63983739837407838</v>
      </c>
      <c r="O76" s="84">
        <f t="shared" si="24"/>
        <v>199.5</v>
      </c>
      <c r="P76" s="79">
        <f t="shared" si="25"/>
        <v>316.43</v>
      </c>
      <c r="Q76" s="34">
        <f t="shared" si="26"/>
        <v>0.63047119426097398</v>
      </c>
      <c r="R76" s="1">
        <v>44</v>
      </c>
    </row>
    <row r="77" spans="1:18" ht="24" customHeight="1">
      <c r="A77" s="81">
        <v>27</v>
      </c>
      <c r="B77" s="31" t="s">
        <v>73</v>
      </c>
      <c r="C77" s="104">
        <v>313387.59999999998</v>
      </c>
      <c r="D77" s="104">
        <v>313492</v>
      </c>
      <c r="E77" s="104">
        <f t="shared" si="19"/>
        <v>104.40000000002328</v>
      </c>
      <c r="F77" s="110">
        <v>22770</v>
      </c>
      <c r="G77" s="111">
        <v>162.57</v>
      </c>
      <c r="H77" s="10">
        <f t="shared" si="20"/>
        <v>0.6421849049641587</v>
      </c>
      <c r="I77" s="104">
        <v>313556.2</v>
      </c>
      <c r="J77" s="106">
        <f t="shared" si="21"/>
        <v>64.200000000011642</v>
      </c>
      <c r="K77" s="110">
        <v>22787</v>
      </c>
      <c r="L77" s="107">
        <f t="shared" si="22"/>
        <v>17</v>
      </c>
      <c r="M77" s="112">
        <v>98</v>
      </c>
      <c r="N77" s="28">
        <f t="shared" si="23"/>
        <v>0.6551020408164453</v>
      </c>
      <c r="O77" s="84">
        <f t="shared" si="24"/>
        <v>168.60000000003492</v>
      </c>
      <c r="P77" s="79">
        <f t="shared" si="25"/>
        <v>260.57</v>
      </c>
      <c r="Q77" s="34">
        <f t="shared" si="26"/>
        <v>0.64704302106932854</v>
      </c>
      <c r="R77" s="1">
        <v>42</v>
      </c>
    </row>
    <row r="78" spans="1:18" ht="24" customHeight="1">
      <c r="A78" s="81">
        <v>28</v>
      </c>
      <c r="B78" s="31" t="s">
        <v>74</v>
      </c>
      <c r="C78" s="35">
        <v>283543.5</v>
      </c>
      <c r="D78" s="35">
        <v>283681.3</v>
      </c>
      <c r="E78" s="104">
        <f t="shared" si="19"/>
        <v>137.79999999998836</v>
      </c>
      <c r="F78" s="110">
        <v>4293</v>
      </c>
      <c r="G78" s="111">
        <v>213</v>
      </c>
      <c r="H78" s="10">
        <f t="shared" si="20"/>
        <v>0.6469483568074571</v>
      </c>
      <c r="I78" s="35">
        <v>283800</v>
      </c>
      <c r="J78" s="106">
        <f t="shared" si="21"/>
        <v>118.70000000001164</v>
      </c>
      <c r="K78" s="110">
        <v>4312</v>
      </c>
      <c r="L78" s="107">
        <f>K78-F78</f>
        <v>19</v>
      </c>
      <c r="M78" s="111">
        <v>176</v>
      </c>
      <c r="N78" s="28">
        <f t="shared" si="23"/>
        <v>0.67443181818188436</v>
      </c>
      <c r="O78" s="84">
        <f t="shared" si="24"/>
        <v>256.5</v>
      </c>
      <c r="P78" s="79">
        <f t="shared" si="25"/>
        <v>389</v>
      </c>
      <c r="Q78" s="34">
        <f t="shared" si="26"/>
        <v>0.65938303341902316</v>
      </c>
      <c r="R78" s="1">
        <v>32</v>
      </c>
    </row>
    <row r="79" spans="1:18" ht="24" customHeight="1">
      <c r="A79" s="81">
        <v>29</v>
      </c>
      <c r="B79" s="31" t="s">
        <v>75</v>
      </c>
      <c r="C79" s="104">
        <v>301409.40000000002</v>
      </c>
      <c r="D79" s="104">
        <v>301577</v>
      </c>
      <c r="E79" s="104">
        <f t="shared" si="19"/>
        <v>167.59999999997672</v>
      </c>
      <c r="F79" s="110">
        <v>21720</v>
      </c>
      <c r="G79" s="111">
        <v>237</v>
      </c>
      <c r="H79" s="10">
        <f t="shared" si="20"/>
        <v>0.70717299578049253</v>
      </c>
      <c r="I79" s="104">
        <v>301670.90000000002</v>
      </c>
      <c r="J79" s="106">
        <f t="shared" si="21"/>
        <v>93.900000000023283</v>
      </c>
      <c r="K79" s="110">
        <v>21737</v>
      </c>
      <c r="L79" s="107">
        <f t="shared" si="22"/>
        <v>17</v>
      </c>
      <c r="M79" s="112">
        <v>148</v>
      </c>
      <c r="N79" s="28">
        <f t="shared" si="23"/>
        <v>0.63445945945961679</v>
      </c>
      <c r="O79" s="84">
        <f t="shared" si="24"/>
        <v>261.5</v>
      </c>
      <c r="P79" s="79">
        <f t="shared" si="25"/>
        <v>385</v>
      </c>
      <c r="Q79" s="34">
        <f t="shared" si="26"/>
        <v>0.67922077922077917</v>
      </c>
      <c r="R79" s="1">
        <v>30</v>
      </c>
    </row>
    <row r="80" spans="1:18" ht="24" customHeight="1">
      <c r="A80" s="81">
        <v>30</v>
      </c>
      <c r="B80" s="31" t="s">
        <v>76</v>
      </c>
      <c r="C80" s="104">
        <v>265970.2</v>
      </c>
      <c r="D80" s="104">
        <v>266085.7</v>
      </c>
      <c r="E80" s="104">
        <f t="shared" si="19"/>
        <v>115.5</v>
      </c>
      <c r="F80" s="110">
        <v>19668</v>
      </c>
      <c r="G80" s="111">
        <v>171</v>
      </c>
      <c r="H80" s="10">
        <f t="shared" si="20"/>
        <v>0.67543859649122806</v>
      </c>
      <c r="I80" s="104">
        <v>266085.7</v>
      </c>
      <c r="J80" s="106">
        <f t="shared" si="21"/>
        <v>0</v>
      </c>
      <c r="K80" s="110">
        <v>19677</v>
      </c>
      <c r="L80" s="107">
        <f t="shared" si="22"/>
        <v>9</v>
      </c>
      <c r="M80" s="111">
        <v>0</v>
      </c>
      <c r="N80" s="28">
        <f t="shared" si="23"/>
        <v>0</v>
      </c>
      <c r="O80" s="84">
        <f t="shared" si="24"/>
        <v>115.5</v>
      </c>
      <c r="P80" s="79">
        <f t="shared" si="25"/>
        <v>171</v>
      </c>
      <c r="Q80" s="34">
        <f t="shared" si="26"/>
        <v>0.67543859649122806</v>
      </c>
      <c r="R80" s="1">
        <v>30</v>
      </c>
    </row>
    <row r="81" spans="1:18" ht="24" customHeight="1">
      <c r="A81" s="81">
        <v>31</v>
      </c>
      <c r="B81" s="31" t="s">
        <v>77</v>
      </c>
      <c r="C81" s="83">
        <v>263797.59999999998</v>
      </c>
      <c r="D81" s="83">
        <v>263906.5</v>
      </c>
      <c r="E81" s="104">
        <f t="shared" si="19"/>
        <v>108.90000000002328</v>
      </c>
      <c r="F81" s="110">
        <v>19351</v>
      </c>
      <c r="G81" s="111">
        <v>217</v>
      </c>
      <c r="H81" s="10">
        <f t="shared" si="20"/>
        <v>0.50184331797245751</v>
      </c>
      <c r="I81" s="83">
        <v>264016.8</v>
      </c>
      <c r="J81" s="106">
        <f t="shared" si="21"/>
        <v>110.29999999998836</v>
      </c>
      <c r="K81" s="110">
        <v>19369</v>
      </c>
      <c r="L81" s="107">
        <f>K81-F81</f>
        <v>18</v>
      </c>
      <c r="M81" s="111">
        <v>143</v>
      </c>
      <c r="N81" s="28">
        <f t="shared" si="23"/>
        <v>0.77132867132858995</v>
      </c>
      <c r="O81" s="84">
        <f t="shared" si="24"/>
        <v>219.20000000001164</v>
      </c>
      <c r="P81" s="79">
        <f t="shared" si="25"/>
        <v>360</v>
      </c>
      <c r="Q81" s="34">
        <f t="shared" si="26"/>
        <v>0.60888888888892123</v>
      </c>
      <c r="R81" s="1">
        <v>31</v>
      </c>
    </row>
    <row r="82" spans="1:18" ht="24" customHeight="1">
      <c r="A82" s="81">
        <v>32</v>
      </c>
      <c r="B82" s="31" t="s">
        <v>78</v>
      </c>
      <c r="C82" s="104">
        <v>289833.3</v>
      </c>
      <c r="D82" s="104">
        <v>289994.3</v>
      </c>
      <c r="E82" s="104">
        <f t="shared" si="19"/>
        <v>161</v>
      </c>
      <c r="F82" s="110">
        <v>20945</v>
      </c>
      <c r="G82" s="111">
        <v>236</v>
      </c>
      <c r="H82" s="10">
        <f t="shared" si="20"/>
        <v>0.68220338983050843</v>
      </c>
      <c r="I82" s="104">
        <v>290129.8</v>
      </c>
      <c r="J82" s="106">
        <f t="shared" si="21"/>
        <v>135.5</v>
      </c>
      <c r="K82" s="110">
        <v>20957</v>
      </c>
      <c r="L82" s="107">
        <f t="shared" si="22"/>
        <v>12</v>
      </c>
      <c r="M82" s="111">
        <v>183</v>
      </c>
      <c r="N82" s="28">
        <f t="shared" si="23"/>
        <v>0.7404371584699454</v>
      </c>
      <c r="O82" s="84">
        <f t="shared" si="24"/>
        <v>296.5</v>
      </c>
      <c r="P82" s="79">
        <f t="shared" si="25"/>
        <v>419</v>
      </c>
      <c r="Q82" s="34">
        <f t="shared" si="26"/>
        <v>0.70763723150357993</v>
      </c>
      <c r="R82" s="1">
        <v>31</v>
      </c>
    </row>
    <row r="83" spans="1:18" ht="24" customHeight="1">
      <c r="A83" s="81">
        <v>33</v>
      </c>
      <c r="B83" s="31" t="s">
        <v>79</v>
      </c>
      <c r="C83" s="104">
        <v>304719</v>
      </c>
      <c r="D83" s="104">
        <v>304820.59999999998</v>
      </c>
      <c r="E83" s="104">
        <f t="shared" si="19"/>
        <v>101.59999999997672</v>
      </c>
      <c r="F83" s="110">
        <v>21696</v>
      </c>
      <c r="G83" s="111">
        <v>155.22999999999999</v>
      </c>
      <c r="H83" s="10">
        <f t="shared" si="20"/>
        <v>0.65451265863542307</v>
      </c>
      <c r="I83" s="104">
        <v>304894.59999999998</v>
      </c>
      <c r="J83" s="106">
        <f t="shared" si="21"/>
        <v>74</v>
      </c>
      <c r="K83" s="110">
        <v>21715</v>
      </c>
      <c r="L83" s="107">
        <f t="shared" si="22"/>
        <v>19</v>
      </c>
      <c r="M83" s="111">
        <v>123</v>
      </c>
      <c r="N83" s="28">
        <f t="shared" si="23"/>
        <v>0.60162601626016265</v>
      </c>
      <c r="O83" s="84">
        <f t="shared" si="24"/>
        <v>175.59999999997672</v>
      </c>
      <c r="P83" s="79">
        <f t="shared" si="25"/>
        <v>278.23</v>
      </c>
      <c r="Q83" s="34">
        <f t="shared" si="26"/>
        <v>0.63113251626343925</v>
      </c>
      <c r="R83" s="1">
        <v>44</v>
      </c>
    </row>
    <row r="84" spans="1:18" ht="24" customHeight="1">
      <c r="A84" s="81">
        <v>34</v>
      </c>
      <c r="B84" s="31" t="s">
        <v>163</v>
      </c>
      <c r="C84" s="104">
        <v>245739.1</v>
      </c>
      <c r="D84" s="104">
        <v>245872.3</v>
      </c>
      <c r="E84" s="104">
        <f t="shared" si="19"/>
        <v>133.19999999998254</v>
      </c>
      <c r="F84" s="110">
        <v>18352</v>
      </c>
      <c r="G84" s="111">
        <v>199</v>
      </c>
      <c r="H84" s="10">
        <f t="shared" si="20"/>
        <v>0.66934673366825392</v>
      </c>
      <c r="I84" s="104">
        <v>245895.4</v>
      </c>
      <c r="J84" s="106">
        <f t="shared" si="21"/>
        <v>23.100000000005821</v>
      </c>
      <c r="K84" s="110">
        <v>18366</v>
      </c>
      <c r="L84" s="107">
        <f t="shared" si="22"/>
        <v>14</v>
      </c>
      <c r="M84" s="111">
        <v>30</v>
      </c>
      <c r="N84" s="28">
        <f t="shared" si="23"/>
        <v>0.77000000000019397</v>
      </c>
      <c r="O84" s="84">
        <f t="shared" si="24"/>
        <v>156.29999999998836</v>
      </c>
      <c r="P84" s="79">
        <f t="shared" si="25"/>
        <v>229</v>
      </c>
      <c r="Q84" s="34">
        <f t="shared" si="26"/>
        <v>0.68253275109165223</v>
      </c>
      <c r="R84" s="1">
        <v>21</v>
      </c>
    </row>
    <row r="85" spans="1:18" ht="24" customHeight="1">
      <c r="A85" s="81">
        <v>35</v>
      </c>
      <c r="B85" s="31" t="s">
        <v>164</v>
      </c>
      <c r="C85" s="104">
        <v>245178.3</v>
      </c>
      <c r="D85" s="104">
        <v>245293.3</v>
      </c>
      <c r="E85" s="104">
        <f t="shared" si="19"/>
        <v>115</v>
      </c>
      <c r="F85" s="110">
        <v>18329</v>
      </c>
      <c r="G85" s="111">
        <v>166</v>
      </c>
      <c r="H85" s="10">
        <f t="shared" si="20"/>
        <v>0.69277108433734935</v>
      </c>
      <c r="I85" s="104">
        <v>245409.5</v>
      </c>
      <c r="J85" s="106">
        <f t="shared" si="21"/>
        <v>116.20000000001164</v>
      </c>
      <c r="K85" s="110">
        <v>18347</v>
      </c>
      <c r="L85" s="107">
        <f t="shared" si="22"/>
        <v>18</v>
      </c>
      <c r="M85" s="111">
        <v>162</v>
      </c>
      <c r="N85" s="28">
        <f t="shared" si="23"/>
        <v>0.71728395061735584</v>
      </c>
      <c r="O85" s="84">
        <f t="shared" si="24"/>
        <v>231.20000000001164</v>
      </c>
      <c r="P85" s="79">
        <f t="shared" si="25"/>
        <v>328</v>
      </c>
      <c r="Q85" s="34">
        <f t="shared" si="26"/>
        <v>0.70487804878052329</v>
      </c>
      <c r="R85" s="1">
        <v>30</v>
      </c>
    </row>
    <row r="86" spans="1:18" ht="24" customHeight="1">
      <c r="A86" s="81">
        <v>36</v>
      </c>
      <c r="B86" s="31" t="s">
        <v>165</v>
      </c>
      <c r="C86" s="104">
        <v>252015.3</v>
      </c>
      <c r="D86" s="104">
        <v>252179.6</v>
      </c>
      <c r="E86" s="104">
        <f t="shared" si="19"/>
        <v>164.30000000001746</v>
      </c>
      <c r="F86" s="110">
        <v>17971</v>
      </c>
      <c r="G86" s="111">
        <v>218</v>
      </c>
      <c r="H86" s="10">
        <f t="shared" si="20"/>
        <v>0.75366972477072225</v>
      </c>
      <c r="I86" s="104">
        <v>252179.6</v>
      </c>
      <c r="J86" s="106">
        <f t="shared" si="21"/>
        <v>0</v>
      </c>
      <c r="K86" s="110">
        <v>17982</v>
      </c>
      <c r="L86" s="107">
        <f t="shared" si="22"/>
        <v>11</v>
      </c>
      <c r="M86" s="112">
        <v>0</v>
      </c>
      <c r="N86" s="28">
        <f t="shared" si="23"/>
        <v>0</v>
      </c>
      <c r="O86" s="84">
        <f t="shared" si="24"/>
        <v>164.30000000001746</v>
      </c>
      <c r="P86" s="79">
        <f t="shared" si="25"/>
        <v>218</v>
      </c>
      <c r="Q86" s="34">
        <f t="shared" si="26"/>
        <v>0.75366972477072225</v>
      </c>
      <c r="R86" s="1">
        <v>16</v>
      </c>
    </row>
    <row r="87" spans="1:18" ht="24" customHeight="1">
      <c r="A87" s="81">
        <v>37</v>
      </c>
      <c r="B87" s="31" t="s">
        <v>83</v>
      </c>
      <c r="C87" s="104">
        <v>260510.8</v>
      </c>
      <c r="D87" s="104">
        <v>260662.7</v>
      </c>
      <c r="E87" s="104">
        <f t="shared" si="19"/>
        <v>151.90000000002328</v>
      </c>
      <c r="F87" s="110">
        <v>18490</v>
      </c>
      <c r="G87" s="111">
        <v>230</v>
      </c>
      <c r="H87" s="10">
        <f t="shared" si="20"/>
        <v>0.66043478260879684</v>
      </c>
      <c r="I87" s="104">
        <v>260809.4</v>
      </c>
      <c r="J87" s="106">
        <f t="shared" si="21"/>
        <v>146.69999999998254</v>
      </c>
      <c r="K87" s="110">
        <v>18510</v>
      </c>
      <c r="L87" s="107">
        <f t="shared" si="22"/>
        <v>20</v>
      </c>
      <c r="M87" s="112">
        <v>191</v>
      </c>
      <c r="N87" s="28">
        <f t="shared" si="23"/>
        <v>0.76806282722503949</v>
      </c>
      <c r="O87" s="84">
        <f t="shared" si="24"/>
        <v>298.60000000000582</v>
      </c>
      <c r="P87" s="79">
        <f t="shared" si="25"/>
        <v>421</v>
      </c>
      <c r="Q87" s="34">
        <f t="shared" si="26"/>
        <v>0.70926365795725843</v>
      </c>
      <c r="R87" s="1">
        <v>29</v>
      </c>
    </row>
    <row r="88" spans="1:18" ht="24" customHeight="1">
      <c r="A88" s="81">
        <v>38</v>
      </c>
      <c r="B88" s="31" t="s">
        <v>84</v>
      </c>
      <c r="C88" s="104">
        <v>272219.5</v>
      </c>
      <c r="D88" s="104">
        <v>272377.2</v>
      </c>
      <c r="E88" s="104">
        <f t="shared" si="19"/>
        <v>157.70000000001164</v>
      </c>
      <c r="F88" s="110">
        <v>17860</v>
      </c>
      <c r="G88" s="111">
        <v>223</v>
      </c>
      <c r="H88" s="10">
        <f t="shared" si="20"/>
        <v>0.70717488789242888</v>
      </c>
      <c r="I88" s="104">
        <v>272377.2</v>
      </c>
      <c r="J88" s="106">
        <f t="shared" si="21"/>
        <v>0</v>
      </c>
      <c r="K88" s="110">
        <v>17870</v>
      </c>
      <c r="L88" s="107">
        <f t="shared" si="22"/>
        <v>10</v>
      </c>
      <c r="M88" s="112">
        <v>0</v>
      </c>
      <c r="N88" s="28">
        <f t="shared" si="23"/>
        <v>0</v>
      </c>
      <c r="O88" s="84">
        <f t="shared" si="24"/>
        <v>157.70000000001164</v>
      </c>
      <c r="P88" s="79">
        <f t="shared" si="25"/>
        <v>223</v>
      </c>
      <c r="Q88" s="34">
        <f t="shared" si="26"/>
        <v>0.70717488789242888</v>
      </c>
      <c r="R88" s="1">
        <v>17</v>
      </c>
    </row>
    <row r="89" spans="1:18" ht="24" customHeight="1">
      <c r="A89" s="81">
        <v>39</v>
      </c>
      <c r="B89" s="31" t="s">
        <v>85</v>
      </c>
      <c r="C89" s="35">
        <v>280109.09999999998</v>
      </c>
      <c r="D89" s="35">
        <v>280210.59999999998</v>
      </c>
      <c r="E89" s="104">
        <f t="shared" si="19"/>
        <v>101.5</v>
      </c>
      <c r="F89" s="110">
        <v>19790</v>
      </c>
      <c r="G89" s="111">
        <v>153</v>
      </c>
      <c r="H89" s="10">
        <f t="shared" si="20"/>
        <v>0.66339869281045749</v>
      </c>
      <c r="I89" s="35">
        <v>280344.8</v>
      </c>
      <c r="J89" s="106">
        <f t="shared" si="21"/>
        <v>134.20000000001164</v>
      </c>
      <c r="K89" s="110">
        <v>19806</v>
      </c>
      <c r="L89" s="107">
        <f t="shared" si="22"/>
        <v>16</v>
      </c>
      <c r="M89" s="112">
        <v>184</v>
      </c>
      <c r="N89" s="28">
        <f t="shared" si="23"/>
        <v>0.72934782608701976</v>
      </c>
      <c r="O89" s="84">
        <f t="shared" si="24"/>
        <v>235.70000000001164</v>
      </c>
      <c r="P89" s="79">
        <f t="shared" si="25"/>
        <v>337</v>
      </c>
      <c r="Q89" s="34">
        <f t="shared" si="26"/>
        <v>0.69940652818994553</v>
      </c>
      <c r="R89" s="1">
        <v>23</v>
      </c>
    </row>
    <row r="90" spans="1:18" ht="24" customHeight="1">
      <c r="A90" s="81">
        <v>40</v>
      </c>
      <c r="B90" s="31" t="s">
        <v>86</v>
      </c>
      <c r="C90" s="104">
        <v>250842.8</v>
      </c>
      <c r="D90" s="104">
        <v>251003.1</v>
      </c>
      <c r="E90" s="104">
        <f t="shared" si="19"/>
        <v>160.30000000001746</v>
      </c>
      <c r="F90" s="110">
        <v>17833</v>
      </c>
      <c r="G90" s="111">
        <v>210</v>
      </c>
      <c r="H90" s="10">
        <f t="shared" si="20"/>
        <v>0.76333333333341646</v>
      </c>
      <c r="I90" s="104">
        <v>251128.2</v>
      </c>
      <c r="J90" s="106">
        <f t="shared" si="21"/>
        <v>125.10000000000582</v>
      </c>
      <c r="K90" s="110">
        <v>17852</v>
      </c>
      <c r="L90" s="107">
        <f t="shared" si="22"/>
        <v>19</v>
      </c>
      <c r="M90" s="112">
        <v>195</v>
      </c>
      <c r="N90" s="28">
        <f t="shared" si="23"/>
        <v>0.64153846153849137</v>
      </c>
      <c r="O90" s="84">
        <f t="shared" si="24"/>
        <v>285.40000000002328</v>
      </c>
      <c r="P90" s="79">
        <f t="shared" si="25"/>
        <v>405</v>
      </c>
      <c r="Q90" s="34">
        <f t="shared" si="26"/>
        <v>0.7046913580247488</v>
      </c>
      <c r="R90" s="1">
        <v>26</v>
      </c>
    </row>
    <row r="91" spans="1:18" ht="24" customHeight="1">
      <c r="A91" s="81">
        <v>41</v>
      </c>
      <c r="B91" s="31" t="s">
        <v>87</v>
      </c>
      <c r="C91" s="104">
        <v>279704.5</v>
      </c>
      <c r="D91" s="104">
        <v>279878.59999999998</v>
      </c>
      <c r="E91" s="104">
        <f t="shared" si="19"/>
        <v>174.09999999997672</v>
      </c>
      <c r="F91" s="110">
        <v>19333</v>
      </c>
      <c r="G91" s="111">
        <v>237</v>
      </c>
      <c r="H91" s="10">
        <f t="shared" si="20"/>
        <v>0.73459915611804527</v>
      </c>
      <c r="I91" s="104">
        <v>279969.59999999998</v>
      </c>
      <c r="J91" s="106">
        <f t="shared" si="21"/>
        <v>91</v>
      </c>
      <c r="K91" s="110">
        <v>19351</v>
      </c>
      <c r="L91" s="107">
        <f t="shared" si="22"/>
        <v>18</v>
      </c>
      <c r="M91" s="111">
        <v>125</v>
      </c>
      <c r="N91" s="28">
        <f t="shared" si="23"/>
        <v>0.72799999999999998</v>
      </c>
      <c r="O91" s="84">
        <f t="shared" si="24"/>
        <v>265.09999999997672</v>
      </c>
      <c r="P91" s="79">
        <f t="shared" si="25"/>
        <v>362</v>
      </c>
      <c r="Q91" s="34">
        <f t="shared" si="26"/>
        <v>0.73232044198888591</v>
      </c>
      <c r="R91" s="1">
        <v>28</v>
      </c>
    </row>
    <row r="92" spans="1:18" ht="24" customHeight="1">
      <c r="A92" s="81">
        <v>42</v>
      </c>
      <c r="B92" s="31" t="s">
        <v>88</v>
      </c>
      <c r="C92" s="104">
        <v>275621.8</v>
      </c>
      <c r="D92" s="104">
        <v>275738.90000000002</v>
      </c>
      <c r="E92" s="104">
        <f t="shared" si="19"/>
        <v>117.10000000003492</v>
      </c>
      <c r="F92" s="110">
        <v>18724</v>
      </c>
      <c r="G92" s="111">
        <v>166</v>
      </c>
      <c r="H92" s="10">
        <f t="shared" si="20"/>
        <v>0.7054216867471983</v>
      </c>
      <c r="I92" s="104">
        <v>275849.3</v>
      </c>
      <c r="J92" s="106">
        <f t="shared" si="21"/>
        <v>110.39999999996508</v>
      </c>
      <c r="K92" s="110">
        <v>18742</v>
      </c>
      <c r="L92" s="107">
        <f t="shared" si="22"/>
        <v>18</v>
      </c>
      <c r="M92" s="111">
        <v>143</v>
      </c>
      <c r="N92" s="28">
        <f t="shared" si="23"/>
        <v>0.77202797202772777</v>
      </c>
      <c r="O92" s="84">
        <f t="shared" si="24"/>
        <v>227.5</v>
      </c>
      <c r="P92" s="79">
        <f t="shared" si="25"/>
        <v>309</v>
      </c>
      <c r="Q92" s="34">
        <f t="shared" si="26"/>
        <v>0.7362459546925566</v>
      </c>
      <c r="R92" s="1">
        <v>34</v>
      </c>
    </row>
    <row r="93" spans="1:18" ht="24" customHeight="1">
      <c r="A93" s="81">
        <v>43</v>
      </c>
      <c r="B93" s="31" t="s">
        <v>89</v>
      </c>
      <c r="C93" s="35">
        <v>268128.09999999998</v>
      </c>
      <c r="D93" s="35">
        <v>268289.09999999998</v>
      </c>
      <c r="E93" s="104">
        <f t="shared" si="19"/>
        <v>161</v>
      </c>
      <c r="F93" s="110">
        <v>18385</v>
      </c>
      <c r="G93" s="111">
        <v>228</v>
      </c>
      <c r="H93" s="10">
        <f t="shared" si="20"/>
        <v>0.70614035087719296</v>
      </c>
      <c r="I93" s="35">
        <v>268414.40000000002</v>
      </c>
      <c r="J93" s="106">
        <f t="shared" si="21"/>
        <v>125.30000000004657</v>
      </c>
      <c r="K93" s="110">
        <v>18403</v>
      </c>
      <c r="L93" s="107">
        <f t="shared" si="22"/>
        <v>18</v>
      </c>
      <c r="M93" s="111">
        <v>162</v>
      </c>
      <c r="N93" s="28">
        <f t="shared" si="23"/>
        <v>0.77345679012374424</v>
      </c>
      <c r="O93" s="84">
        <f t="shared" si="24"/>
        <v>286.30000000004657</v>
      </c>
      <c r="P93" s="79">
        <f t="shared" si="25"/>
        <v>390</v>
      </c>
      <c r="Q93" s="34">
        <f t="shared" si="26"/>
        <v>0.73410256410268349</v>
      </c>
      <c r="R93" s="1">
        <v>31</v>
      </c>
    </row>
    <row r="94" spans="1:18" ht="24" customHeight="1">
      <c r="A94" s="81">
        <v>44</v>
      </c>
      <c r="B94" s="31" t="s">
        <v>90</v>
      </c>
      <c r="C94" s="104">
        <v>245264.9</v>
      </c>
      <c r="D94" s="104">
        <v>245414.6</v>
      </c>
      <c r="E94" s="104">
        <f t="shared" si="19"/>
        <v>149.70000000001164</v>
      </c>
      <c r="F94" s="110">
        <v>17701</v>
      </c>
      <c r="G94" s="111">
        <v>218</v>
      </c>
      <c r="H94" s="10">
        <f>IFERROR(E94/G94,0)</f>
        <v>0.68669724770647544</v>
      </c>
      <c r="I94" s="104">
        <v>245484.5</v>
      </c>
      <c r="J94" s="106">
        <f t="shared" si="21"/>
        <v>69.899999999994179</v>
      </c>
      <c r="K94" s="110">
        <v>17718</v>
      </c>
      <c r="L94" s="107">
        <f t="shared" si="22"/>
        <v>17</v>
      </c>
      <c r="M94" s="111">
        <v>96</v>
      </c>
      <c r="N94" s="28">
        <f t="shared" si="23"/>
        <v>0.7281249999999394</v>
      </c>
      <c r="O94" s="84">
        <f t="shared" si="24"/>
        <v>219.60000000000582</v>
      </c>
      <c r="P94" s="79">
        <f t="shared" si="25"/>
        <v>314</v>
      </c>
      <c r="Q94" s="34">
        <f t="shared" si="26"/>
        <v>0.69936305732485926</v>
      </c>
      <c r="R94" s="1">
        <v>23</v>
      </c>
    </row>
    <row r="95" spans="1:18" ht="24" customHeight="1">
      <c r="A95" s="81">
        <v>45</v>
      </c>
      <c r="B95" s="31" t="s">
        <v>91</v>
      </c>
      <c r="C95" s="104">
        <v>254153.9</v>
      </c>
      <c r="D95" s="104">
        <v>254153.9</v>
      </c>
      <c r="E95" s="104">
        <f t="shared" si="19"/>
        <v>0</v>
      </c>
      <c r="F95" s="110">
        <v>17731</v>
      </c>
      <c r="G95" s="111">
        <v>0</v>
      </c>
      <c r="H95" s="10">
        <f t="shared" si="20"/>
        <v>0</v>
      </c>
      <c r="I95" s="104">
        <v>254153.9</v>
      </c>
      <c r="J95" s="106">
        <f t="shared" si="21"/>
        <v>0</v>
      </c>
      <c r="K95" s="110">
        <v>17731</v>
      </c>
      <c r="L95" s="107">
        <f t="shared" si="22"/>
        <v>0</v>
      </c>
      <c r="M95" s="111">
        <v>0</v>
      </c>
      <c r="N95" s="28">
        <f t="shared" si="23"/>
        <v>0</v>
      </c>
      <c r="O95" s="84">
        <f t="shared" si="24"/>
        <v>0</v>
      </c>
      <c r="P95" s="79">
        <f t="shared" si="25"/>
        <v>0</v>
      </c>
      <c r="Q95" s="34">
        <f t="shared" si="26"/>
        <v>0</v>
      </c>
      <c r="R95" s="1">
        <v>0</v>
      </c>
    </row>
    <row r="96" spans="1:18" ht="24" customHeight="1">
      <c r="A96" s="81">
        <v>46</v>
      </c>
      <c r="B96" s="31" t="s">
        <v>92</v>
      </c>
      <c r="C96" s="35">
        <v>239669.4</v>
      </c>
      <c r="D96" s="35">
        <v>239824.4</v>
      </c>
      <c r="E96" s="104">
        <f>D96-C96</f>
        <v>155</v>
      </c>
      <c r="F96" s="110">
        <v>17370</v>
      </c>
      <c r="G96" s="111">
        <v>224</v>
      </c>
      <c r="H96" s="10">
        <f t="shared" si="20"/>
        <v>0.6919642857142857</v>
      </c>
      <c r="I96" s="35">
        <v>239956</v>
      </c>
      <c r="J96" s="106">
        <f>I96-D96</f>
        <v>131.60000000000582</v>
      </c>
      <c r="K96" s="110">
        <v>17390</v>
      </c>
      <c r="L96" s="107">
        <f t="shared" si="22"/>
        <v>20</v>
      </c>
      <c r="M96" s="111">
        <v>196</v>
      </c>
      <c r="N96" s="28">
        <f t="shared" si="23"/>
        <v>0.67142857142860113</v>
      </c>
      <c r="O96" s="84">
        <f t="shared" si="24"/>
        <v>286.60000000000582</v>
      </c>
      <c r="P96" s="79">
        <f>G96+M96</f>
        <v>420</v>
      </c>
      <c r="Q96" s="34">
        <f t="shared" si="26"/>
        <v>0.68238095238096619</v>
      </c>
      <c r="R96" s="1">
        <v>28</v>
      </c>
    </row>
    <row r="97" spans="1:19" ht="24" customHeight="1">
      <c r="A97" s="81">
        <v>47</v>
      </c>
      <c r="B97" s="31" t="s">
        <v>93</v>
      </c>
      <c r="C97" s="104">
        <v>248016.5</v>
      </c>
      <c r="D97" s="104">
        <v>248181.2</v>
      </c>
      <c r="E97" s="104">
        <f>D97-C97</f>
        <v>164.70000000001164</v>
      </c>
      <c r="F97" s="110">
        <v>16820</v>
      </c>
      <c r="G97" s="111">
        <v>248</v>
      </c>
      <c r="H97" s="10">
        <f t="shared" si="20"/>
        <v>0.66411290322585337</v>
      </c>
      <c r="I97" s="104">
        <v>248336.6</v>
      </c>
      <c r="J97" s="106">
        <f>I97-D97</f>
        <v>155.39999999999418</v>
      </c>
      <c r="K97" s="110">
        <v>16840</v>
      </c>
      <c r="L97" s="107">
        <f t="shared" si="22"/>
        <v>20</v>
      </c>
      <c r="M97" s="111">
        <v>187</v>
      </c>
      <c r="N97" s="28">
        <f t="shared" si="23"/>
        <v>0.8310160427807175</v>
      </c>
      <c r="O97" s="84">
        <f t="shared" si="24"/>
        <v>320.10000000000582</v>
      </c>
      <c r="P97" s="79">
        <f t="shared" si="25"/>
        <v>435</v>
      </c>
      <c r="Q97" s="34">
        <f t="shared" si="26"/>
        <v>0.73586206896553064</v>
      </c>
      <c r="R97" s="1">
        <v>34</v>
      </c>
      <c r="S97" t="s">
        <v>94</v>
      </c>
    </row>
    <row r="98" spans="1:19" ht="24" customHeight="1">
      <c r="A98" s="81">
        <v>48</v>
      </c>
      <c r="B98" s="31" t="s">
        <v>95</v>
      </c>
      <c r="C98" s="104">
        <v>245058.8</v>
      </c>
      <c r="D98" s="104">
        <v>245215.5</v>
      </c>
      <c r="E98" s="104">
        <f t="shared" si="19"/>
        <v>156.70000000001164</v>
      </c>
      <c r="F98" s="110">
        <v>18264</v>
      </c>
      <c r="G98" s="111">
        <v>237</v>
      </c>
      <c r="H98" s="10">
        <f t="shared" si="20"/>
        <v>0.6611814345992052</v>
      </c>
      <c r="I98" s="104">
        <v>245330.2</v>
      </c>
      <c r="J98" s="106">
        <f t="shared" si="21"/>
        <v>114.70000000001164</v>
      </c>
      <c r="K98" s="110">
        <v>18282</v>
      </c>
      <c r="L98" s="107">
        <f t="shared" si="22"/>
        <v>18</v>
      </c>
      <c r="M98" s="111">
        <v>167</v>
      </c>
      <c r="N98" s="28">
        <f t="shared" si="23"/>
        <v>0.68682634730545888</v>
      </c>
      <c r="O98" s="84">
        <f t="shared" si="24"/>
        <v>271.40000000002328</v>
      </c>
      <c r="P98" s="79">
        <f t="shared" si="25"/>
        <v>404</v>
      </c>
      <c r="Q98" s="34">
        <f t="shared" si="26"/>
        <v>0.67178217821787944</v>
      </c>
      <c r="R98" s="1">
        <v>21</v>
      </c>
    </row>
    <row r="99" spans="1:19" ht="24" customHeight="1">
      <c r="A99" s="81">
        <v>49</v>
      </c>
      <c r="B99" s="31" t="s">
        <v>96</v>
      </c>
      <c r="C99" s="35">
        <v>249577.7</v>
      </c>
      <c r="D99" s="35">
        <v>249761.3</v>
      </c>
      <c r="E99" s="104">
        <f t="shared" si="19"/>
        <v>183.59999999997672</v>
      </c>
      <c r="F99" s="110">
        <v>17946</v>
      </c>
      <c r="G99" s="111">
        <v>241.35</v>
      </c>
      <c r="H99" s="10">
        <f>IFERROR(E99/G99,0)</f>
        <v>0.76072094468604401</v>
      </c>
      <c r="I99" s="35">
        <v>249866</v>
      </c>
      <c r="J99" s="106">
        <f t="shared" si="21"/>
        <v>104.70000000001164</v>
      </c>
      <c r="K99" s="110">
        <v>17965</v>
      </c>
      <c r="L99" s="107">
        <f t="shared" si="22"/>
        <v>19</v>
      </c>
      <c r="M99" s="111">
        <v>144</v>
      </c>
      <c r="N99" s="28">
        <f t="shared" si="23"/>
        <v>0.72708333333341413</v>
      </c>
      <c r="O99" s="84">
        <f t="shared" si="24"/>
        <v>288.29999999998836</v>
      </c>
      <c r="P99" s="79">
        <f t="shared" si="25"/>
        <v>385.35</v>
      </c>
      <c r="Q99" s="34">
        <f t="shared" si="26"/>
        <v>0.74815103152974782</v>
      </c>
      <c r="R99" s="1">
        <v>25</v>
      </c>
    </row>
    <row r="100" spans="1:19" ht="24" customHeight="1">
      <c r="A100" s="81">
        <v>50</v>
      </c>
      <c r="B100" s="31" t="s">
        <v>97</v>
      </c>
      <c r="C100" s="104">
        <v>238288.9</v>
      </c>
      <c r="D100" s="104">
        <v>238448.3</v>
      </c>
      <c r="E100" s="104">
        <f t="shared" si="19"/>
        <v>159.39999999999418</v>
      </c>
      <c r="F100" s="110">
        <v>16457</v>
      </c>
      <c r="G100" s="111">
        <v>246</v>
      </c>
      <c r="H100" s="10">
        <f t="shared" si="20"/>
        <v>0.64796747967477308</v>
      </c>
      <c r="I100" s="104">
        <v>238610.5</v>
      </c>
      <c r="J100" s="106">
        <f t="shared" si="21"/>
        <v>162.20000000001164</v>
      </c>
      <c r="K100" s="110">
        <v>16480</v>
      </c>
      <c r="L100" s="107">
        <f t="shared" si="22"/>
        <v>23</v>
      </c>
      <c r="M100" s="111">
        <v>221</v>
      </c>
      <c r="N100" s="28">
        <f t="shared" si="23"/>
        <v>0.73393665158376309</v>
      </c>
      <c r="O100" s="84">
        <f t="shared" si="24"/>
        <v>321.60000000000582</v>
      </c>
      <c r="P100" s="79">
        <f t="shared" si="25"/>
        <v>467</v>
      </c>
      <c r="Q100" s="34">
        <f t="shared" si="26"/>
        <v>0.68865096359744282</v>
      </c>
      <c r="R100" s="1">
        <v>32</v>
      </c>
    </row>
    <row r="101" spans="1:19" ht="24" customHeight="1">
      <c r="A101" s="81">
        <v>51</v>
      </c>
      <c r="B101" s="121" t="s">
        <v>166</v>
      </c>
      <c r="C101" s="104">
        <v>206039</v>
      </c>
      <c r="D101" s="104">
        <v>206204</v>
      </c>
      <c r="E101" s="118">
        <f t="shared" si="19"/>
        <v>165</v>
      </c>
      <c r="F101" s="110">
        <v>17550</v>
      </c>
      <c r="G101" s="111">
        <v>235</v>
      </c>
      <c r="H101" s="55">
        <f t="shared" si="20"/>
        <v>0.7021276595744681</v>
      </c>
      <c r="I101" s="104">
        <v>206285</v>
      </c>
      <c r="J101" s="119">
        <f t="shared" si="21"/>
        <v>81</v>
      </c>
      <c r="K101" s="110">
        <v>17567</v>
      </c>
      <c r="L101" s="120">
        <f t="shared" si="22"/>
        <v>17</v>
      </c>
      <c r="M101" s="111">
        <v>130</v>
      </c>
      <c r="N101" s="28">
        <f t="shared" si="23"/>
        <v>0.62307692307692308</v>
      </c>
      <c r="O101" s="58">
        <f t="shared" si="24"/>
        <v>246</v>
      </c>
      <c r="P101" s="79">
        <f t="shared" si="25"/>
        <v>365</v>
      </c>
      <c r="Q101" s="34">
        <f t="shared" si="26"/>
        <v>0.67397260273972603</v>
      </c>
      <c r="R101" s="1">
        <v>27</v>
      </c>
    </row>
    <row r="102" spans="1:19" ht="24" customHeight="1">
      <c r="A102" s="81">
        <v>52</v>
      </c>
      <c r="B102" s="121" t="s">
        <v>167</v>
      </c>
      <c r="C102" s="104">
        <v>186406</v>
      </c>
      <c r="D102" s="104">
        <v>186406</v>
      </c>
      <c r="E102" s="118">
        <f t="shared" si="19"/>
        <v>0</v>
      </c>
      <c r="F102" s="110">
        <v>16317</v>
      </c>
      <c r="G102" s="111">
        <v>0</v>
      </c>
      <c r="H102" s="55">
        <f t="shared" si="20"/>
        <v>0</v>
      </c>
      <c r="I102" s="104">
        <v>186406</v>
      </c>
      <c r="J102" s="119">
        <f t="shared" si="21"/>
        <v>0</v>
      </c>
      <c r="K102" s="110">
        <v>16317</v>
      </c>
      <c r="L102" s="120">
        <f t="shared" si="22"/>
        <v>0</v>
      </c>
      <c r="M102" s="111">
        <v>0</v>
      </c>
      <c r="N102" s="28">
        <f t="shared" si="23"/>
        <v>0</v>
      </c>
      <c r="O102" s="58">
        <f t="shared" si="24"/>
        <v>0</v>
      </c>
      <c r="P102" s="79">
        <f t="shared" si="25"/>
        <v>0</v>
      </c>
      <c r="Q102" s="34">
        <f t="shared" si="26"/>
        <v>0</v>
      </c>
      <c r="R102" s="1">
        <v>0</v>
      </c>
    </row>
    <row r="103" spans="1:19" ht="24" customHeight="1">
      <c r="A103" s="81">
        <v>53</v>
      </c>
      <c r="B103" s="121" t="s">
        <v>168</v>
      </c>
      <c r="C103" s="104">
        <v>193100</v>
      </c>
      <c r="D103" s="104">
        <v>193241</v>
      </c>
      <c r="E103" s="118">
        <f t="shared" si="19"/>
        <v>141</v>
      </c>
      <c r="F103" s="110">
        <v>17231</v>
      </c>
      <c r="G103" s="111">
        <v>254</v>
      </c>
      <c r="H103" s="55">
        <f t="shared" si="20"/>
        <v>0.55511811023622049</v>
      </c>
      <c r="I103" s="104">
        <v>193379</v>
      </c>
      <c r="J103" s="119">
        <f t="shared" si="21"/>
        <v>138</v>
      </c>
      <c r="K103" s="110">
        <v>17251</v>
      </c>
      <c r="L103" s="120">
        <f t="shared" si="22"/>
        <v>20</v>
      </c>
      <c r="M103" s="111">
        <v>208</v>
      </c>
      <c r="N103" s="28">
        <f t="shared" si="23"/>
        <v>0.66346153846153844</v>
      </c>
      <c r="O103" s="58">
        <f t="shared" si="24"/>
        <v>279</v>
      </c>
      <c r="P103" s="79">
        <f t="shared" si="25"/>
        <v>462</v>
      </c>
      <c r="Q103" s="34">
        <f t="shared" si="26"/>
        <v>0.60389610389610393</v>
      </c>
      <c r="R103" s="1">
        <v>33</v>
      </c>
    </row>
    <row r="104" spans="1:19" ht="24" customHeight="1">
      <c r="A104" s="81">
        <v>54</v>
      </c>
      <c r="B104" s="121" t="s">
        <v>169</v>
      </c>
      <c r="C104" s="104">
        <v>197150</v>
      </c>
      <c r="D104" s="104">
        <v>197301</v>
      </c>
      <c r="E104" s="118">
        <f t="shared" si="19"/>
        <v>151</v>
      </c>
      <c r="F104" s="110">
        <v>16713</v>
      </c>
      <c r="G104" s="111">
        <v>231</v>
      </c>
      <c r="H104" s="55">
        <f t="shared" si="20"/>
        <v>0.65367965367965364</v>
      </c>
      <c r="I104" s="104">
        <v>197422</v>
      </c>
      <c r="J104" s="119">
        <f t="shared" si="21"/>
        <v>121</v>
      </c>
      <c r="K104" s="110">
        <v>16734</v>
      </c>
      <c r="L104" s="120">
        <f t="shared" si="22"/>
        <v>21</v>
      </c>
      <c r="M104" s="111">
        <v>220</v>
      </c>
      <c r="N104" s="28">
        <f t="shared" si="23"/>
        <v>0.55000000000000004</v>
      </c>
      <c r="O104" s="58">
        <f t="shared" si="24"/>
        <v>272</v>
      </c>
      <c r="P104" s="79">
        <f t="shared" si="25"/>
        <v>451</v>
      </c>
      <c r="Q104" s="34">
        <f t="shared" si="26"/>
        <v>0.60310421286031046</v>
      </c>
      <c r="R104" s="1">
        <v>26</v>
      </c>
    </row>
    <row r="105" spans="1:19" ht="24" customHeight="1">
      <c r="A105" s="81">
        <v>55</v>
      </c>
      <c r="B105" s="121" t="s">
        <v>104</v>
      </c>
      <c r="C105" s="104">
        <v>72229.399999999994</v>
      </c>
      <c r="D105" s="104">
        <v>72401</v>
      </c>
      <c r="E105" s="118">
        <f t="shared" si="19"/>
        <v>171.60000000000582</v>
      </c>
      <c r="F105" s="110">
        <v>4883</v>
      </c>
      <c r="G105" s="111">
        <v>261</v>
      </c>
      <c r="H105" s="78">
        <f t="shared" si="20"/>
        <v>0.65747126436783843</v>
      </c>
      <c r="I105" s="104">
        <v>72523</v>
      </c>
      <c r="J105" s="112">
        <f t="shared" si="21"/>
        <v>122</v>
      </c>
      <c r="K105" s="110">
        <v>4901</v>
      </c>
      <c r="L105" s="107">
        <f t="shared" si="22"/>
        <v>18</v>
      </c>
      <c r="M105" s="111">
        <v>146</v>
      </c>
      <c r="N105" s="28">
        <f t="shared" si="23"/>
        <v>0.83561643835616439</v>
      </c>
      <c r="O105" s="58">
        <f t="shared" si="24"/>
        <v>293.60000000000582</v>
      </c>
      <c r="P105" s="79">
        <f t="shared" si="25"/>
        <v>407</v>
      </c>
      <c r="Q105" s="34">
        <f t="shared" si="26"/>
        <v>0.72137592137593565</v>
      </c>
      <c r="R105" s="1">
        <v>34</v>
      </c>
    </row>
    <row r="106" spans="1:19" ht="24" customHeight="1">
      <c r="A106" s="81">
        <v>56</v>
      </c>
      <c r="B106" s="121" t="s">
        <v>105</v>
      </c>
      <c r="C106" s="35">
        <v>71103.5</v>
      </c>
      <c r="D106" s="35">
        <v>71265.100000000006</v>
      </c>
      <c r="E106" s="122">
        <f t="shared" si="19"/>
        <v>161.60000000000582</v>
      </c>
      <c r="F106" s="110">
        <v>4903</v>
      </c>
      <c r="G106" s="111">
        <v>239</v>
      </c>
      <c r="H106" s="78">
        <f t="shared" si="20"/>
        <v>0.67615062761508715</v>
      </c>
      <c r="I106" s="35">
        <v>71377.5</v>
      </c>
      <c r="J106" s="112">
        <f t="shared" si="21"/>
        <v>112.39999999999418</v>
      </c>
      <c r="K106" s="110">
        <v>4922</v>
      </c>
      <c r="L106" s="107">
        <f t="shared" si="22"/>
        <v>19</v>
      </c>
      <c r="M106" s="111">
        <v>135</v>
      </c>
      <c r="N106" s="28">
        <f t="shared" si="23"/>
        <v>0.83259259259254947</v>
      </c>
      <c r="O106" s="58">
        <f t="shared" si="24"/>
        <v>274</v>
      </c>
      <c r="P106" s="79">
        <f t="shared" si="25"/>
        <v>374</v>
      </c>
      <c r="Q106" s="34">
        <f t="shared" si="26"/>
        <v>0.73262032085561501</v>
      </c>
      <c r="R106" s="1">
        <v>33</v>
      </c>
    </row>
    <row r="107" spans="1:19" ht="24" customHeight="1">
      <c r="A107" s="81">
        <v>57</v>
      </c>
      <c r="B107" s="121" t="s">
        <v>106</v>
      </c>
      <c r="C107" s="104">
        <v>68970</v>
      </c>
      <c r="D107" s="104">
        <v>69124.5</v>
      </c>
      <c r="E107" s="122">
        <f t="shared" si="19"/>
        <v>154.5</v>
      </c>
      <c r="F107" s="110">
        <v>4926</v>
      </c>
      <c r="G107" s="111">
        <v>193</v>
      </c>
      <c r="H107" s="78">
        <f t="shared" si="20"/>
        <v>0.80051813471502586</v>
      </c>
      <c r="I107" s="104">
        <v>69256.899999999994</v>
      </c>
      <c r="J107" s="112">
        <f t="shared" si="21"/>
        <v>132.39999999999418</v>
      </c>
      <c r="K107" s="110">
        <v>4944</v>
      </c>
      <c r="L107" s="107">
        <f t="shared" si="22"/>
        <v>18</v>
      </c>
      <c r="M107" s="111">
        <v>188</v>
      </c>
      <c r="N107" s="28">
        <f t="shared" si="23"/>
        <v>0.70425531914890516</v>
      </c>
      <c r="O107" s="58">
        <f t="shared" si="24"/>
        <v>286.89999999999418</v>
      </c>
      <c r="P107" s="79">
        <f t="shared" si="25"/>
        <v>381</v>
      </c>
      <c r="Q107" s="34">
        <f t="shared" si="26"/>
        <v>0.75301837270339678</v>
      </c>
      <c r="R107" s="1">
        <v>30</v>
      </c>
    </row>
    <row r="108" spans="1:19" ht="24" customHeight="1">
      <c r="A108" s="81">
        <v>58</v>
      </c>
      <c r="B108" s="121" t="s">
        <v>107</v>
      </c>
      <c r="C108" s="104">
        <v>71178.3</v>
      </c>
      <c r="D108" s="104">
        <v>71351</v>
      </c>
      <c r="E108" s="122">
        <f t="shared" si="19"/>
        <v>172.69999999999709</v>
      </c>
      <c r="F108" s="110">
        <v>4926</v>
      </c>
      <c r="G108" s="111">
        <v>250</v>
      </c>
      <c r="H108" s="78">
        <f t="shared" si="20"/>
        <v>0.69079999999998831</v>
      </c>
      <c r="I108" s="104">
        <v>71484.5</v>
      </c>
      <c r="J108" s="112">
        <f t="shared" si="21"/>
        <v>133.5</v>
      </c>
      <c r="K108" s="110">
        <v>4945</v>
      </c>
      <c r="L108" s="107">
        <f t="shared" si="22"/>
        <v>19</v>
      </c>
      <c r="M108" s="111">
        <v>168</v>
      </c>
      <c r="N108" s="28">
        <f t="shared" si="23"/>
        <v>0.7946428571428571</v>
      </c>
      <c r="O108" s="58">
        <f t="shared" si="24"/>
        <v>306.19999999999709</v>
      </c>
      <c r="P108" s="79">
        <f t="shared" si="25"/>
        <v>418</v>
      </c>
      <c r="Q108" s="34">
        <f t="shared" si="26"/>
        <v>0.73253588516745716</v>
      </c>
      <c r="R108" s="1">
        <v>30</v>
      </c>
    </row>
    <row r="109" spans="1:19" ht="24" customHeight="1">
      <c r="A109" s="81">
        <v>59</v>
      </c>
      <c r="B109" s="121" t="s">
        <v>108</v>
      </c>
      <c r="C109" s="104">
        <v>70304.800000000003</v>
      </c>
      <c r="D109" s="104">
        <v>70523.5</v>
      </c>
      <c r="E109" s="122">
        <f t="shared" si="19"/>
        <v>218.69999999999709</v>
      </c>
      <c r="F109" s="110">
        <v>4894</v>
      </c>
      <c r="G109" s="111">
        <v>278.45</v>
      </c>
      <c r="H109" s="78">
        <f t="shared" si="20"/>
        <v>0.78541928532949223</v>
      </c>
      <c r="I109" s="104">
        <v>70617.7</v>
      </c>
      <c r="J109" s="112">
        <f t="shared" si="21"/>
        <v>94.19999999999709</v>
      </c>
      <c r="K109" s="110">
        <v>4913</v>
      </c>
      <c r="L109" s="107">
        <f t="shared" si="22"/>
        <v>19</v>
      </c>
      <c r="M109" s="111">
        <v>176</v>
      </c>
      <c r="N109" s="28">
        <f t="shared" si="23"/>
        <v>0.53522727272725623</v>
      </c>
      <c r="O109" s="58">
        <f t="shared" si="24"/>
        <v>312.89999999999418</v>
      </c>
      <c r="P109" s="79">
        <f t="shared" si="25"/>
        <v>454.45</v>
      </c>
      <c r="Q109" s="34">
        <f t="shared" si="26"/>
        <v>0.68852459016392165</v>
      </c>
      <c r="R109" s="1">
        <v>30</v>
      </c>
    </row>
    <row r="110" spans="1:19" ht="24" customHeight="1">
      <c r="A110" s="81">
        <v>60</v>
      </c>
      <c r="B110" s="121" t="s">
        <v>109</v>
      </c>
      <c r="C110" s="104">
        <v>72204.800000000003</v>
      </c>
      <c r="D110" s="104">
        <v>72381.899999999994</v>
      </c>
      <c r="E110" s="118">
        <f t="shared" si="19"/>
        <v>177.09999999999127</v>
      </c>
      <c r="F110" s="110">
        <v>4986</v>
      </c>
      <c r="G110" s="111">
        <v>211</v>
      </c>
      <c r="H110" s="55">
        <f t="shared" si="20"/>
        <v>0.83933649289095391</v>
      </c>
      <c r="I110" s="104">
        <v>72523.399999999994</v>
      </c>
      <c r="J110" s="119">
        <f t="shared" si="21"/>
        <v>141.5</v>
      </c>
      <c r="K110" s="110">
        <v>5005</v>
      </c>
      <c r="L110" s="120">
        <f t="shared" si="22"/>
        <v>19</v>
      </c>
      <c r="M110" s="111">
        <v>198</v>
      </c>
      <c r="N110" s="28">
        <f t="shared" si="23"/>
        <v>0.71464646464646464</v>
      </c>
      <c r="O110" s="58">
        <f t="shared" si="24"/>
        <v>318.59999999999127</v>
      </c>
      <c r="P110" s="79">
        <f t="shared" si="25"/>
        <v>409</v>
      </c>
      <c r="Q110" s="34">
        <f t="shared" si="26"/>
        <v>0.77897310513445295</v>
      </c>
      <c r="R110" s="1">
        <v>32</v>
      </c>
    </row>
    <row r="111" spans="1:19" ht="24" customHeight="1">
      <c r="A111" s="81">
        <v>61</v>
      </c>
      <c r="B111" s="121" t="s">
        <v>176</v>
      </c>
      <c r="C111" s="104">
        <v>53874.3</v>
      </c>
      <c r="D111" s="104">
        <v>54031.1</v>
      </c>
      <c r="E111" s="118">
        <f t="shared" si="19"/>
        <v>156.79999999999563</v>
      </c>
      <c r="F111" s="110">
        <v>4346</v>
      </c>
      <c r="G111" s="111">
        <v>200</v>
      </c>
      <c r="H111" s="55">
        <f t="shared" si="20"/>
        <v>0.78399999999997816</v>
      </c>
      <c r="I111" s="104">
        <v>54032.5</v>
      </c>
      <c r="J111" s="119">
        <f t="shared" si="21"/>
        <v>1.4000000000014552</v>
      </c>
      <c r="K111" s="110">
        <v>4358</v>
      </c>
      <c r="L111" s="120">
        <f t="shared" si="22"/>
        <v>12</v>
      </c>
      <c r="M111" s="111">
        <v>15</v>
      </c>
      <c r="N111" s="28">
        <f t="shared" si="23"/>
        <v>9.3333333333430343E-2</v>
      </c>
      <c r="O111" s="58">
        <f t="shared" si="24"/>
        <v>158.19999999999709</v>
      </c>
      <c r="P111" s="79">
        <f t="shared" si="25"/>
        <v>215</v>
      </c>
      <c r="Q111" s="34">
        <f t="shared" si="26"/>
        <v>0.73581395348835854</v>
      </c>
      <c r="R111" s="1">
        <v>20</v>
      </c>
    </row>
    <row r="112" spans="1:19" ht="24" customHeight="1">
      <c r="A112" s="81">
        <v>62</v>
      </c>
      <c r="B112" s="121" t="s">
        <v>177</v>
      </c>
      <c r="C112" s="104">
        <v>52991.6</v>
      </c>
      <c r="D112" s="104">
        <v>53171.1</v>
      </c>
      <c r="E112" s="118">
        <f t="shared" si="19"/>
        <v>179.5</v>
      </c>
      <c r="F112" s="110">
        <v>4386</v>
      </c>
      <c r="G112" s="111">
        <v>233</v>
      </c>
      <c r="H112" s="55">
        <f t="shared" si="20"/>
        <v>0.77038626609442062</v>
      </c>
      <c r="I112" s="104">
        <v>53265.1</v>
      </c>
      <c r="J112" s="119">
        <f t="shared" si="21"/>
        <v>94</v>
      </c>
      <c r="K112" s="110">
        <v>4404</v>
      </c>
      <c r="L112" s="120">
        <f t="shared" si="22"/>
        <v>18</v>
      </c>
      <c r="M112" s="111">
        <v>135</v>
      </c>
      <c r="N112" s="28">
        <f t="shared" si="23"/>
        <v>0.6962962962962963</v>
      </c>
      <c r="O112" s="58">
        <f t="shared" si="24"/>
        <v>273.5</v>
      </c>
      <c r="P112" s="79">
        <f t="shared" si="25"/>
        <v>368</v>
      </c>
      <c r="Q112" s="34">
        <f t="shared" si="26"/>
        <v>0.74320652173913049</v>
      </c>
      <c r="R112" s="1">
        <v>33</v>
      </c>
    </row>
    <row r="113" spans="1:18" ht="24" customHeight="1">
      <c r="A113" s="81">
        <v>63</v>
      </c>
      <c r="B113" s="121" t="s">
        <v>178</v>
      </c>
      <c r="C113" s="104">
        <v>51502.1</v>
      </c>
      <c r="D113" s="104">
        <v>51696.3</v>
      </c>
      <c r="E113" s="118">
        <f t="shared" si="19"/>
        <v>194.20000000000437</v>
      </c>
      <c r="F113" s="110">
        <v>4128</v>
      </c>
      <c r="G113" s="111">
        <v>215</v>
      </c>
      <c r="H113" s="55">
        <f t="shared" si="20"/>
        <v>0.90325581395350862</v>
      </c>
      <c r="I113" s="104">
        <v>51818.400000000001</v>
      </c>
      <c r="J113" s="119">
        <f t="shared" si="21"/>
        <v>122.09999999999854</v>
      </c>
      <c r="K113" s="110">
        <v>4147</v>
      </c>
      <c r="L113" s="120">
        <f t="shared" si="22"/>
        <v>19</v>
      </c>
      <c r="M113" s="111">
        <v>208</v>
      </c>
      <c r="N113" s="28">
        <f t="shared" si="23"/>
        <v>0.5870192307692238</v>
      </c>
      <c r="O113" s="58">
        <f t="shared" si="24"/>
        <v>316.30000000000291</v>
      </c>
      <c r="P113" s="79">
        <f t="shared" si="25"/>
        <v>423</v>
      </c>
      <c r="Q113" s="34">
        <f t="shared" si="26"/>
        <v>0.74775413711584615</v>
      </c>
      <c r="R113" s="1">
        <v>32</v>
      </c>
    </row>
    <row r="114" spans="1:18" ht="24" customHeight="1">
      <c r="A114" s="81">
        <v>64</v>
      </c>
      <c r="B114" s="121" t="s">
        <v>179</v>
      </c>
      <c r="C114" s="104">
        <v>52438.6</v>
      </c>
      <c r="D114" s="104">
        <v>52590.2</v>
      </c>
      <c r="E114" s="118">
        <f t="shared" si="19"/>
        <v>151.59999999999854</v>
      </c>
      <c r="F114" s="110">
        <v>4295</v>
      </c>
      <c r="G114" s="111">
        <v>232</v>
      </c>
      <c r="H114" s="55">
        <f t="shared" si="20"/>
        <v>0.65344827586206267</v>
      </c>
      <c r="I114" s="104">
        <v>52712</v>
      </c>
      <c r="J114" s="119">
        <f t="shared" si="21"/>
        <v>121.80000000000291</v>
      </c>
      <c r="K114" s="110">
        <v>4314</v>
      </c>
      <c r="L114" s="120">
        <f t="shared" si="22"/>
        <v>19</v>
      </c>
      <c r="M114" s="111">
        <v>185</v>
      </c>
      <c r="N114" s="28">
        <f t="shared" si="23"/>
        <v>0.65837837837839408</v>
      </c>
      <c r="O114" s="58">
        <f t="shared" si="24"/>
        <v>273.40000000000146</v>
      </c>
      <c r="P114" s="79">
        <f t="shared" si="25"/>
        <v>417</v>
      </c>
      <c r="Q114" s="34">
        <f t="shared" si="26"/>
        <v>0.65563549160671808</v>
      </c>
      <c r="R114" s="1">
        <v>27</v>
      </c>
    </row>
    <row r="115" spans="1:18" ht="24" customHeight="1">
      <c r="A115" s="81">
        <v>65</v>
      </c>
      <c r="B115" s="121" t="s">
        <v>180</v>
      </c>
      <c r="C115" s="104">
        <v>52651.4</v>
      </c>
      <c r="D115" s="104">
        <v>52829</v>
      </c>
      <c r="E115" s="118">
        <f t="shared" si="19"/>
        <v>177.59999999999854</v>
      </c>
      <c r="F115" s="110">
        <v>4235</v>
      </c>
      <c r="G115" s="111">
        <v>234</v>
      </c>
      <c r="H115" s="55">
        <f t="shared" si="20"/>
        <v>0.75897435897435273</v>
      </c>
      <c r="I115" s="104">
        <v>52982.7</v>
      </c>
      <c r="J115" s="119">
        <f t="shared" si="21"/>
        <v>153.69999999999709</v>
      </c>
      <c r="K115" s="110">
        <v>4255</v>
      </c>
      <c r="L115" s="120">
        <f t="shared" si="22"/>
        <v>20</v>
      </c>
      <c r="M115" s="111">
        <v>212</v>
      </c>
      <c r="N115" s="28">
        <f t="shared" si="23"/>
        <v>0.72499999999998632</v>
      </c>
      <c r="O115" s="58">
        <f t="shared" si="24"/>
        <v>331.29999999999563</v>
      </c>
      <c r="P115" s="79">
        <f t="shared" si="25"/>
        <v>446</v>
      </c>
      <c r="Q115" s="34">
        <f t="shared" si="26"/>
        <v>0.74282511210761348</v>
      </c>
      <c r="R115" s="1">
        <v>34</v>
      </c>
    </row>
    <row r="116" spans="1:18" ht="24" customHeight="1">
      <c r="A116" s="81">
        <v>66</v>
      </c>
      <c r="B116" s="121" t="s">
        <v>110</v>
      </c>
      <c r="C116" s="104">
        <v>35972.199999999997</v>
      </c>
      <c r="D116" s="104">
        <v>36149.800000000003</v>
      </c>
      <c r="E116" s="118">
        <f t="shared" si="19"/>
        <v>177.60000000000582</v>
      </c>
      <c r="F116" s="110">
        <v>2897</v>
      </c>
      <c r="G116" s="111">
        <v>247</v>
      </c>
      <c r="H116" s="55">
        <f t="shared" si="20"/>
        <v>0.71902834008099525</v>
      </c>
      <c r="I116" s="104">
        <v>36269.699999999997</v>
      </c>
      <c r="J116" s="119">
        <f t="shared" si="21"/>
        <v>119.89999999999418</v>
      </c>
      <c r="K116" s="110">
        <v>2915</v>
      </c>
      <c r="L116" s="120">
        <f t="shared" si="22"/>
        <v>18</v>
      </c>
      <c r="M116" s="111">
        <v>159</v>
      </c>
      <c r="N116" s="28">
        <f t="shared" si="23"/>
        <v>0.75408805031442883</v>
      </c>
      <c r="O116" s="58">
        <f t="shared" si="24"/>
        <v>297.5</v>
      </c>
      <c r="P116" s="79">
        <f t="shared" si="25"/>
        <v>406</v>
      </c>
      <c r="Q116" s="34">
        <f t="shared" si="26"/>
        <v>0.73275862068965514</v>
      </c>
      <c r="R116" s="1">
        <v>32</v>
      </c>
    </row>
    <row r="117" spans="1:18" ht="22.2" customHeight="1">
      <c r="A117" s="123" t="s">
        <v>28</v>
      </c>
      <c r="B117" s="123"/>
      <c r="C117" s="40"/>
      <c r="D117" s="123"/>
      <c r="E117" s="124">
        <f>SUM(E51:E116)</f>
        <v>8084.800000000163</v>
      </c>
      <c r="F117" s="125"/>
      <c r="G117" s="126">
        <f>SUM(G51:G116)</f>
        <v>12192.33</v>
      </c>
      <c r="H117" s="39"/>
      <c r="I117" s="40"/>
      <c r="J117" s="40">
        <f>SUM(J51:J116)</f>
        <v>5932.7000000001426</v>
      </c>
      <c r="K117" s="127"/>
      <c r="L117" s="128">
        <f>SUM(L51:L116)</f>
        <v>1028.2199999999975</v>
      </c>
      <c r="M117" s="128">
        <f>SUM(M51:M116)</f>
        <v>8653</v>
      </c>
      <c r="N117" s="28">
        <f>IFERROR(J117/M117,0)</f>
        <v>0.68562348318503896</v>
      </c>
      <c r="O117" s="129">
        <f>SUM(O51:O116)</f>
        <v>14017.500000000306</v>
      </c>
      <c r="P117" s="79">
        <f>G117+M117</f>
        <v>20845.330000000002</v>
      </c>
      <c r="Q117" s="34">
        <f>IFERROR(O117/P117,0)</f>
        <v>0.67245277479417709</v>
      </c>
      <c r="R117" s="130">
        <f>SUM(R51:R116)</f>
        <v>1669</v>
      </c>
    </row>
    <row r="118" spans="1:18" ht="22.2" customHeight="1" thickBot="1">
      <c r="A118" s="206" t="s">
        <v>111</v>
      </c>
      <c r="B118" s="207"/>
      <c r="C118" s="207"/>
      <c r="D118" s="207"/>
      <c r="E118" s="207"/>
      <c r="F118" s="207"/>
      <c r="G118" s="207"/>
      <c r="H118" s="207"/>
      <c r="I118" s="207"/>
      <c r="J118" s="207"/>
      <c r="K118" s="207"/>
      <c r="L118" s="208"/>
      <c r="M118" s="131"/>
      <c r="N118" s="132"/>
      <c r="O118" s="133"/>
    </row>
    <row r="119" spans="1:18" ht="22.2" customHeight="1">
      <c r="A119" s="209" t="s">
        <v>3</v>
      </c>
      <c r="B119" s="211" t="s">
        <v>4</v>
      </c>
      <c r="C119" s="213" t="s">
        <v>5</v>
      </c>
      <c r="D119" s="214"/>
      <c r="E119" s="214"/>
      <c r="F119" s="214"/>
      <c r="G119" s="215"/>
      <c r="H119" s="216" t="s">
        <v>6</v>
      </c>
      <c r="I119" s="217"/>
      <c r="J119" s="217"/>
      <c r="K119" s="218"/>
      <c r="L119" s="48"/>
      <c r="M119" s="219" t="s">
        <v>7</v>
      </c>
      <c r="N119" s="194" t="s">
        <v>8</v>
      </c>
      <c r="O119" s="37"/>
    </row>
    <row r="120" spans="1:18" ht="27.6" customHeight="1" thickBot="1">
      <c r="A120" s="210"/>
      <c r="B120" s="212"/>
      <c r="C120" s="49" t="s">
        <v>11</v>
      </c>
      <c r="D120" s="49" t="s">
        <v>12</v>
      </c>
      <c r="E120" s="49" t="s">
        <v>13</v>
      </c>
      <c r="F120" s="6" t="s">
        <v>14</v>
      </c>
      <c r="G120" s="6" t="s">
        <v>8</v>
      </c>
      <c r="H120" s="49" t="s">
        <v>12</v>
      </c>
      <c r="I120" s="49" t="s">
        <v>13</v>
      </c>
      <c r="J120" s="49" t="s">
        <v>14</v>
      </c>
      <c r="K120" s="7" t="s">
        <v>8</v>
      </c>
      <c r="L120" s="50" t="s">
        <v>15</v>
      </c>
      <c r="M120" s="220"/>
      <c r="N120" s="195"/>
      <c r="O120" s="37"/>
    </row>
    <row r="121" spans="1:18" ht="22.2" customHeight="1">
      <c r="A121" s="76">
        <v>1</v>
      </c>
      <c r="B121" s="31" t="s">
        <v>112</v>
      </c>
      <c r="C121" s="35">
        <v>122082</v>
      </c>
      <c r="D121" s="35">
        <v>122082</v>
      </c>
      <c r="E121" s="17">
        <f>D121-C121</f>
        <v>0</v>
      </c>
      <c r="F121" s="33">
        <v>0</v>
      </c>
      <c r="G121" s="10">
        <f>IFERROR(F121/E121,0)</f>
        <v>0</v>
      </c>
      <c r="H121" s="35">
        <v>122082</v>
      </c>
      <c r="I121" s="19">
        <f>H121-D121</f>
        <v>0</v>
      </c>
      <c r="J121" s="33">
        <v>0</v>
      </c>
      <c r="K121" s="28">
        <f t="shared" ref="K121:K141" si="27">IFERROR(J121/I121,0)</f>
        <v>0</v>
      </c>
      <c r="L121" s="18">
        <f t="shared" ref="L121:M141" si="28">E121+I121</f>
        <v>0</v>
      </c>
      <c r="M121" s="22">
        <f>F121+J121</f>
        <v>0</v>
      </c>
      <c r="N121" s="71">
        <f>IFERROR(L121/M121,0)</f>
        <v>0</v>
      </c>
      <c r="O121" s="37"/>
    </row>
    <row r="122" spans="1:18" ht="22.2" customHeight="1">
      <c r="A122" s="76">
        <v>2</v>
      </c>
      <c r="B122" s="31" t="s">
        <v>113</v>
      </c>
      <c r="C122" s="35">
        <v>4298.33</v>
      </c>
      <c r="D122" s="35">
        <v>4298.33</v>
      </c>
      <c r="E122" s="17">
        <f t="shared" ref="E122:E141" si="29">D122-C122</f>
        <v>0</v>
      </c>
      <c r="F122" s="33">
        <v>0</v>
      </c>
      <c r="G122" s="10">
        <f t="shared" ref="G122:G141" si="30">IFERROR(F122/E122,0)</f>
        <v>0</v>
      </c>
      <c r="H122" s="35">
        <v>4298.33</v>
      </c>
      <c r="I122" s="19">
        <f>H122-D122</f>
        <v>0</v>
      </c>
      <c r="J122" s="33">
        <v>0</v>
      </c>
      <c r="K122" s="28">
        <f t="shared" si="27"/>
        <v>0</v>
      </c>
      <c r="L122" s="18">
        <f t="shared" si="28"/>
        <v>0</v>
      </c>
      <c r="M122" s="22">
        <f t="shared" si="28"/>
        <v>0</v>
      </c>
      <c r="N122" s="71">
        <f t="shared" ref="N122:N141" si="31">IFERROR(L122/M122,0)</f>
        <v>0</v>
      </c>
      <c r="O122" s="134"/>
    </row>
    <row r="123" spans="1:18" ht="22.2" customHeight="1">
      <c r="A123" s="76">
        <v>3</v>
      </c>
      <c r="B123" s="31" t="s">
        <v>114</v>
      </c>
      <c r="C123" s="35">
        <v>168.1</v>
      </c>
      <c r="D123" s="35">
        <v>180.5</v>
      </c>
      <c r="E123" s="17">
        <f t="shared" si="29"/>
        <v>12.400000000000006</v>
      </c>
      <c r="F123" s="33">
        <v>52.4</v>
      </c>
      <c r="G123" s="10">
        <f t="shared" si="30"/>
        <v>4.2258064516129012</v>
      </c>
      <c r="H123" s="35">
        <v>180.5</v>
      </c>
      <c r="I123" s="19">
        <f t="shared" ref="I123:I141" si="32">H123-D123</f>
        <v>0</v>
      </c>
      <c r="J123" s="33">
        <v>0</v>
      </c>
      <c r="K123" s="28">
        <f t="shared" si="27"/>
        <v>0</v>
      </c>
      <c r="L123" s="18">
        <f t="shared" si="28"/>
        <v>12.400000000000006</v>
      </c>
      <c r="M123" s="22">
        <f t="shared" si="28"/>
        <v>52.4</v>
      </c>
      <c r="N123" s="71">
        <f t="shared" si="31"/>
        <v>0.23664122137404592</v>
      </c>
      <c r="O123" s="37"/>
    </row>
    <row r="124" spans="1:18" ht="22.2" customHeight="1">
      <c r="A124" s="76">
        <v>4</v>
      </c>
      <c r="B124" s="31" t="s">
        <v>115</v>
      </c>
      <c r="C124" s="136">
        <v>141080</v>
      </c>
      <c r="D124" s="136">
        <v>141080</v>
      </c>
      <c r="E124" s="17">
        <f t="shared" si="29"/>
        <v>0</v>
      </c>
      <c r="F124" s="33">
        <v>0</v>
      </c>
      <c r="G124" s="10">
        <f t="shared" si="30"/>
        <v>0</v>
      </c>
      <c r="H124" s="136">
        <v>141080</v>
      </c>
      <c r="I124" s="19">
        <f t="shared" si="32"/>
        <v>0</v>
      </c>
      <c r="J124" s="33">
        <v>0</v>
      </c>
      <c r="K124" s="28">
        <f t="shared" si="27"/>
        <v>0</v>
      </c>
      <c r="L124" s="18">
        <f t="shared" si="28"/>
        <v>0</v>
      </c>
      <c r="M124" s="22">
        <f t="shared" si="28"/>
        <v>0</v>
      </c>
      <c r="N124" s="71">
        <f t="shared" si="31"/>
        <v>0</v>
      </c>
      <c r="O124" s="137"/>
    </row>
    <row r="125" spans="1:18" ht="22.2" customHeight="1">
      <c r="A125" s="76">
        <v>5</v>
      </c>
      <c r="B125" s="31" t="s">
        <v>116</v>
      </c>
      <c r="C125" s="35">
        <v>44558.9</v>
      </c>
      <c r="D125" s="35">
        <v>44558.9</v>
      </c>
      <c r="E125" s="17">
        <f t="shared" si="29"/>
        <v>0</v>
      </c>
      <c r="F125" s="33">
        <v>0</v>
      </c>
      <c r="G125" s="10">
        <f t="shared" si="30"/>
        <v>0</v>
      </c>
      <c r="H125" s="35">
        <v>44558.9</v>
      </c>
      <c r="I125" s="19">
        <f t="shared" si="32"/>
        <v>0</v>
      </c>
      <c r="J125" s="33">
        <v>0</v>
      </c>
      <c r="K125" s="28">
        <f t="shared" si="27"/>
        <v>0</v>
      </c>
      <c r="L125" s="18">
        <f t="shared" si="28"/>
        <v>0</v>
      </c>
      <c r="M125" s="22">
        <f t="shared" si="28"/>
        <v>0</v>
      </c>
      <c r="N125" s="71">
        <f t="shared" si="31"/>
        <v>0</v>
      </c>
      <c r="O125" s="77"/>
    </row>
    <row r="126" spans="1:18" ht="22.2" customHeight="1">
      <c r="A126" s="76">
        <v>6</v>
      </c>
      <c r="B126" s="31" t="s">
        <v>117</v>
      </c>
      <c r="C126" s="35">
        <v>100820</v>
      </c>
      <c r="D126" s="35">
        <v>100820</v>
      </c>
      <c r="E126" s="17">
        <f t="shared" si="29"/>
        <v>0</v>
      </c>
      <c r="F126" s="33">
        <v>0</v>
      </c>
      <c r="G126" s="10">
        <f t="shared" si="30"/>
        <v>0</v>
      </c>
      <c r="H126" s="35">
        <v>100820</v>
      </c>
      <c r="I126" s="19">
        <f t="shared" si="32"/>
        <v>0</v>
      </c>
      <c r="J126" s="33">
        <v>0</v>
      </c>
      <c r="K126" s="28">
        <f t="shared" si="27"/>
        <v>0</v>
      </c>
      <c r="L126" s="18">
        <f t="shared" si="28"/>
        <v>0</v>
      </c>
      <c r="M126" s="22">
        <f t="shared" si="28"/>
        <v>0</v>
      </c>
      <c r="N126" s="71">
        <f t="shared" si="31"/>
        <v>0</v>
      </c>
      <c r="O126" s="37"/>
    </row>
    <row r="127" spans="1:18" ht="22.2" customHeight="1">
      <c r="A127" s="76">
        <v>7</v>
      </c>
      <c r="B127" s="31" t="s">
        <v>118</v>
      </c>
      <c r="C127" s="35">
        <v>152282.79999999999</v>
      </c>
      <c r="D127" s="35">
        <v>152282.79999999999</v>
      </c>
      <c r="E127" s="17">
        <f t="shared" si="29"/>
        <v>0</v>
      </c>
      <c r="F127" s="33">
        <v>0</v>
      </c>
      <c r="G127" s="10">
        <f t="shared" si="30"/>
        <v>0</v>
      </c>
      <c r="H127" s="35">
        <v>152282.79999999999</v>
      </c>
      <c r="I127" s="19">
        <f t="shared" si="32"/>
        <v>0</v>
      </c>
      <c r="J127" s="33">
        <v>0</v>
      </c>
      <c r="K127" s="28">
        <f t="shared" si="27"/>
        <v>0</v>
      </c>
      <c r="L127" s="18">
        <f t="shared" si="28"/>
        <v>0</v>
      </c>
      <c r="M127" s="22">
        <f>F127+J127</f>
        <v>0</v>
      </c>
      <c r="N127" s="71">
        <f t="shared" si="31"/>
        <v>0</v>
      </c>
      <c r="O127" s="37"/>
    </row>
    <row r="128" spans="1:18" ht="22.2" customHeight="1">
      <c r="A128" s="76">
        <v>8</v>
      </c>
      <c r="B128" s="138" t="s">
        <v>119</v>
      </c>
      <c r="C128" s="136">
        <v>40766.5</v>
      </c>
      <c r="D128" s="136">
        <v>40766.5</v>
      </c>
      <c r="E128" s="17">
        <f t="shared" si="29"/>
        <v>0</v>
      </c>
      <c r="F128" s="33">
        <v>0</v>
      </c>
      <c r="G128" s="10">
        <f t="shared" si="30"/>
        <v>0</v>
      </c>
      <c r="H128" s="136">
        <v>40766.5</v>
      </c>
      <c r="I128" s="19">
        <f t="shared" si="32"/>
        <v>0</v>
      </c>
      <c r="J128" s="33">
        <v>0</v>
      </c>
      <c r="K128" s="28">
        <f t="shared" si="27"/>
        <v>0</v>
      </c>
      <c r="L128" s="18">
        <f t="shared" si="28"/>
        <v>0</v>
      </c>
      <c r="M128" s="22">
        <f>F128+J128</f>
        <v>0</v>
      </c>
      <c r="N128" s="71">
        <f t="shared" si="31"/>
        <v>0</v>
      </c>
      <c r="O128" s="37"/>
    </row>
    <row r="129" spans="1:17" ht="22.2" customHeight="1">
      <c r="A129" s="76">
        <v>9</v>
      </c>
      <c r="B129" s="138" t="s">
        <v>120</v>
      </c>
      <c r="C129" s="35">
        <v>33988</v>
      </c>
      <c r="D129" s="35">
        <v>33988</v>
      </c>
      <c r="E129" s="17">
        <f t="shared" si="29"/>
        <v>0</v>
      </c>
      <c r="F129" s="33">
        <v>0</v>
      </c>
      <c r="G129" s="10">
        <f t="shared" si="30"/>
        <v>0</v>
      </c>
      <c r="H129" s="35">
        <v>33988</v>
      </c>
      <c r="I129" s="19">
        <f t="shared" si="32"/>
        <v>0</v>
      </c>
      <c r="J129" s="33">
        <v>0</v>
      </c>
      <c r="K129" s="28">
        <f t="shared" si="27"/>
        <v>0</v>
      </c>
      <c r="L129" s="18">
        <f t="shared" si="28"/>
        <v>0</v>
      </c>
      <c r="M129" s="22">
        <f t="shared" si="28"/>
        <v>0</v>
      </c>
      <c r="N129" s="71">
        <f t="shared" si="31"/>
        <v>0</v>
      </c>
      <c r="O129" s="37"/>
    </row>
    <row r="130" spans="1:17" ht="22.2" customHeight="1">
      <c r="A130" s="76">
        <v>10</v>
      </c>
      <c r="B130" s="31" t="s">
        <v>121</v>
      </c>
      <c r="C130" s="35">
        <v>156086</v>
      </c>
      <c r="D130" s="35">
        <v>156086</v>
      </c>
      <c r="E130" s="17">
        <f t="shared" si="29"/>
        <v>0</v>
      </c>
      <c r="F130" s="33">
        <v>0</v>
      </c>
      <c r="G130" s="10">
        <f t="shared" si="30"/>
        <v>0</v>
      </c>
      <c r="H130" s="35">
        <v>156086</v>
      </c>
      <c r="I130" s="19">
        <f t="shared" si="32"/>
        <v>0</v>
      </c>
      <c r="J130" s="33">
        <v>0</v>
      </c>
      <c r="K130" s="28">
        <f t="shared" si="27"/>
        <v>0</v>
      </c>
      <c r="L130" s="18">
        <f t="shared" si="28"/>
        <v>0</v>
      </c>
      <c r="M130" s="22">
        <f t="shared" si="28"/>
        <v>0</v>
      </c>
      <c r="N130" s="71">
        <f t="shared" si="31"/>
        <v>0</v>
      </c>
      <c r="O130" s="137"/>
    </row>
    <row r="131" spans="1:17" ht="23.4" customHeight="1">
      <c r="A131" s="76">
        <v>11</v>
      </c>
      <c r="B131" s="138" t="s">
        <v>122</v>
      </c>
      <c r="C131" s="35">
        <v>36866</v>
      </c>
      <c r="D131" s="35">
        <v>36866</v>
      </c>
      <c r="E131" s="17">
        <f t="shared" si="29"/>
        <v>0</v>
      </c>
      <c r="F131" s="33">
        <v>0</v>
      </c>
      <c r="G131" s="10">
        <f t="shared" si="30"/>
        <v>0</v>
      </c>
      <c r="H131" s="35">
        <v>36866</v>
      </c>
      <c r="I131" s="19">
        <f t="shared" si="32"/>
        <v>0</v>
      </c>
      <c r="J131" s="33">
        <v>0</v>
      </c>
      <c r="K131" s="28">
        <f t="shared" si="27"/>
        <v>0</v>
      </c>
      <c r="L131" s="18">
        <f t="shared" si="28"/>
        <v>0</v>
      </c>
      <c r="M131" s="22">
        <f t="shared" si="28"/>
        <v>0</v>
      </c>
      <c r="N131" s="71">
        <f t="shared" si="31"/>
        <v>0</v>
      </c>
      <c r="O131" s="37"/>
      <c r="Q131" s="38"/>
    </row>
    <row r="132" spans="1:17" ht="22.2" customHeight="1">
      <c r="A132" s="76">
        <v>12</v>
      </c>
      <c r="B132" s="138" t="s">
        <v>123</v>
      </c>
      <c r="C132" s="35">
        <v>16418</v>
      </c>
      <c r="D132" s="35">
        <v>16418</v>
      </c>
      <c r="E132" s="17">
        <f t="shared" si="29"/>
        <v>0</v>
      </c>
      <c r="F132" s="33">
        <v>0</v>
      </c>
      <c r="G132" s="78">
        <f t="shared" si="30"/>
        <v>0</v>
      </c>
      <c r="H132" s="35">
        <v>16649</v>
      </c>
      <c r="I132" s="19">
        <f t="shared" si="32"/>
        <v>231</v>
      </c>
      <c r="J132" s="33">
        <v>47</v>
      </c>
      <c r="K132" s="28">
        <f t="shared" si="27"/>
        <v>0.20346320346320346</v>
      </c>
      <c r="L132" s="18">
        <f t="shared" si="28"/>
        <v>231</v>
      </c>
      <c r="M132" s="79">
        <f t="shared" si="28"/>
        <v>47</v>
      </c>
      <c r="N132" s="71">
        <f t="shared" si="31"/>
        <v>4.9148936170212769</v>
      </c>
      <c r="O132" s="37"/>
      <c r="Q132" s="45"/>
    </row>
    <row r="133" spans="1:17" ht="21.6" customHeight="1">
      <c r="A133" s="76">
        <v>13</v>
      </c>
      <c r="B133" s="171" t="s">
        <v>124</v>
      </c>
      <c r="C133" s="35">
        <v>890.2</v>
      </c>
      <c r="D133" s="35">
        <v>890.2</v>
      </c>
      <c r="E133" s="17">
        <f t="shared" si="29"/>
        <v>0</v>
      </c>
      <c r="F133" s="35">
        <v>0</v>
      </c>
      <c r="G133" s="78">
        <f t="shared" si="30"/>
        <v>0</v>
      </c>
      <c r="H133" s="35">
        <v>890.2</v>
      </c>
      <c r="I133" s="19">
        <f t="shared" si="32"/>
        <v>0</v>
      </c>
      <c r="J133" s="35">
        <v>0</v>
      </c>
      <c r="K133" s="28">
        <f t="shared" si="27"/>
        <v>0</v>
      </c>
      <c r="L133" s="18">
        <f t="shared" si="28"/>
        <v>0</v>
      </c>
      <c r="M133" s="79">
        <f t="shared" si="28"/>
        <v>0</v>
      </c>
      <c r="N133" s="71">
        <f t="shared" si="31"/>
        <v>0</v>
      </c>
      <c r="O133" s="37"/>
      <c r="Q133" s="45"/>
    </row>
    <row r="134" spans="1:17" ht="21.6" customHeight="1">
      <c r="A134" s="76">
        <v>14</v>
      </c>
      <c r="B134" s="171" t="s">
        <v>174</v>
      </c>
      <c r="C134" s="35">
        <v>2791</v>
      </c>
      <c r="D134" s="35">
        <v>3066</v>
      </c>
      <c r="E134" s="17">
        <f t="shared" si="29"/>
        <v>275</v>
      </c>
      <c r="F134" s="35">
        <v>35.1</v>
      </c>
      <c r="G134" s="78">
        <f t="shared" si="30"/>
        <v>0.12763636363636363</v>
      </c>
      <c r="H134" s="35">
        <v>3066</v>
      </c>
      <c r="I134" s="19">
        <f t="shared" si="32"/>
        <v>0</v>
      </c>
      <c r="J134" s="141">
        <v>0</v>
      </c>
      <c r="K134" s="28">
        <f t="shared" si="27"/>
        <v>0</v>
      </c>
      <c r="L134" s="18">
        <f t="shared" si="28"/>
        <v>275</v>
      </c>
      <c r="M134" s="79">
        <f t="shared" si="28"/>
        <v>35.1</v>
      </c>
      <c r="N134" s="71">
        <f t="shared" si="31"/>
        <v>7.8347578347578342</v>
      </c>
      <c r="O134" s="37"/>
      <c r="Q134" s="45"/>
    </row>
    <row r="135" spans="1:17" ht="25.2" customHeight="1">
      <c r="A135" s="76">
        <v>15</v>
      </c>
      <c r="B135" s="138" t="s">
        <v>127</v>
      </c>
      <c r="C135" s="35">
        <v>0</v>
      </c>
      <c r="D135" s="35">
        <v>0</v>
      </c>
      <c r="E135" s="17">
        <f t="shared" si="29"/>
        <v>0</v>
      </c>
      <c r="F135" s="33">
        <v>0</v>
      </c>
      <c r="G135" s="78">
        <f t="shared" si="30"/>
        <v>0</v>
      </c>
      <c r="H135" s="35">
        <v>0</v>
      </c>
      <c r="I135" s="19">
        <f t="shared" si="32"/>
        <v>0</v>
      </c>
      <c r="J135" s="33">
        <v>0</v>
      </c>
      <c r="K135" s="28">
        <f t="shared" si="27"/>
        <v>0</v>
      </c>
      <c r="L135" s="18">
        <f t="shared" si="28"/>
        <v>0</v>
      </c>
      <c r="M135" s="79">
        <f t="shared" si="28"/>
        <v>0</v>
      </c>
      <c r="N135" s="71">
        <f t="shared" si="31"/>
        <v>0</v>
      </c>
      <c r="O135" s="77"/>
      <c r="Q135" s="45"/>
    </row>
    <row r="136" spans="1:17" ht="25.2" customHeight="1">
      <c r="A136" s="76">
        <v>16</v>
      </c>
      <c r="B136" s="138" t="s">
        <v>183</v>
      </c>
      <c r="C136" s="35">
        <v>295805</v>
      </c>
      <c r="D136" s="35">
        <v>295805</v>
      </c>
      <c r="E136" s="17">
        <f t="shared" si="29"/>
        <v>0</v>
      </c>
      <c r="F136" s="33">
        <v>0</v>
      </c>
      <c r="G136" s="78">
        <f t="shared" si="30"/>
        <v>0</v>
      </c>
      <c r="H136" s="35">
        <v>295805</v>
      </c>
      <c r="I136" s="19">
        <f t="shared" si="32"/>
        <v>0</v>
      </c>
      <c r="J136" s="33">
        <v>0</v>
      </c>
      <c r="K136" s="28">
        <f t="shared" si="27"/>
        <v>0</v>
      </c>
      <c r="L136" s="18">
        <f t="shared" si="28"/>
        <v>0</v>
      </c>
      <c r="M136" s="79">
        <f t="shared" si="28"/>
        <v>0</v>
      </c>
      <c r="N136" s="71">
        <f t="shared" si="31"/>
        <v>0</v>
      </c>
      <c r="O136" s="77"/>
      <c r="Q136" s="45"/>
    </row>
    <row r="137" spans="1:17" ht="25.2" customHeight="1">
      <c r="A137" s="76">
        <v>17</v>
      </c>
      <c r="B137" s="138" t="s">
        <v>184</v>
      </c>
      <c r="C137" s="35">
        <v>77139.3</v>
      </c>
      <c r="D137" s="35">
        <v>77139.3</v>
      </c>
      <c r="E137" s="17">
        <f t="shared" si="29"/>
        <v>0</v>
      </c>
      <c r="F137" s="33">
        <v>0</v>
      </c>
      <c r="G137" s="78">
        <f t="shared" si="30"/>
        <v>0</v>
      </c>
      <c r="H137" s="35">
        <v>77139.3</v>
      </c>
      <c r="I137" s="19">
        <f t="shared" si="32"/>
        <v>0</v>
      </c>
      <c r="J137" s="33">
        <v>0</v>
      </c>
      <c r="K137" s="28">
        <f t="shared" si="27"/>
        <v>0</v>
      </c>
      <c r="L137" s="18">
        <f t="shared" si="28"/>
        <v>0</v>
      </c>
      <c r="M137" s="79">
        <f t="shared" si="28"/>
        <v>0</v>
      </c>
      <c r="N137" s="71">
        <f t="shared" si="31"/>
        <v>0</v>
      </c>
      <c r="O137" s="77"/>
      <c r="Q137" s="45"/>
    </row>
    <row r="138" spans="1:17" ht="25.2" customHeight="1">
      <c r="A138" s="76">
        <v>18</v>
      </c>
      <c r="B138" s="138" t="s">
        <v>185</v>
      </c>
      <c r="C138" s="35">
        <v>113495.8</v>
      </c>
      <c r="D138" s="35">
        <v>113495.8</v>
      </c>
      <c r="E138" s="17">
        <f t="shared" si="29"/>
        <v>0</v>
      </c>
      <c r="F138" s="33">
        <v>0</v>
      </c>
      <c r="G138" s="78">
        <f t="shared" si="30"/>
        <v>0</v>
      </c>
      <c r="H138" s="35">
        <v>113495.8</v>
      </c>
      <c r="I138" s="19">
        <f t="shared" si="32"/>
        <v>0</v>
      </c>
      <c r="J138" s="33">
        <v>0</v>
      </c>
      <c r="K138" s="28">
        <f t="shared" si="27"/>
        <v>0</v>
      </c>
      <c r="L138" s="18">
        <f t="shared" si="28"/>
        <v>0</v>
      </c>
      <c r="M138" s="79">
        <f t="shared" si="28"/>
        <v>0</v>
      </c>
      <c r="N138" s="71">
        <f t="shared" si="31"/>
        <v>0</v>
      </c>
      <c r="O138" s="77"/>
      <c r="Q138" s="45"/>
    </row>
    <row r="139" spans="1:17" ht="25.2" customHeight="1">
      <c r="A139" s="76">
        <v>19</v>
      </c>
      <c r="B139" s="138" t="s">
        <v>187</v>
      </c>
      <c r="C139" s="35">
        <v>59801.4</v>
      </c>
      <c r="D139" s="35">
        <v>59801.4</v>
      </c>
      <c r="E139" s="35">
        <f t="shared" si="29"/>
        <v>0</v>
      </c>
      <c r="F139" s="33">
        <v>0</v>
      </c>
      <c r="G139" s="78">
        <f t="shared" si="30"/>
        <v>0</v>
      </c>
      <c r="H139" s="35">
        <v>59801.4</v>
      </c>
      <c r="I139" s="56">
        <f t="shared" si="32"/>
        <v>0</v>
      </c>
      <c r="J139" s="33">
        <v>0</v>
      </c>
      <c r="K139" s="28">
        <f t="shared" si="27"/>
        <v>0</v>
      </c>
      <c r="L139" s="84">
        <f t="shared" si="28"/>
        <v>0</v>
      </c>
      <c r="M139" s="79">
        <f t="shared" si="28"/>
        <v>0</v>
      </c>
      <c r="N139" s="34">
        <f t="shared" si="31"/>
        <v>0</v>
      </c>
      <c r="O139" s="77"/>
      <c r="Q139" s="45"/>
    </row>
    <row r="140" spans="1:17" ht="25.2" customHeight="1">
      <c r="A140" s="76">
        <v>20</v>
      </c>
      <c r="B140" s="138" t="s">
        <v>188</v>
      </c>
      <c r="C140" s="35">
        <v>485627</v>
      </c>
      <c r="D140" s="35">
        <v>485627</v>
      </c>
      <c r="E140" s="35">
        <f t="shared" si="29"/>
        <v>0</v>
      </c>
      <c r="F140" s="33">
        <v>0</v>
      </c>
      <c r="G140" s="78">
        <f t="shared" si="30"/>
        <v>0</v>
      </c>
      <c r="H140" s="35">
        <v>485627</v>
      </c>
      <c r="I140" s="56">
        <f t="shared" si="32"/>
        <v>0</v>
      </c>
      <c r="J140" s="33">
        <v>0</v>
      </c>
      <c r="K140" s="28">
        <f t="shared" si="27"/>
        <v>0</v>
      </c>
      <c r="L140" s="84">
        <f t="shared" si="28"/>
        <v>0</v>
      </c>
      <c r="M140" s="79">
        <f t="shared" si="28"/>
        <v>0</v>
      </c>
      <c r="N140" s="34">
        <f t="shared" si="31"/>
        <v>0</v>
      </c>
      <c r="O140" s="77"/>
      <c r="Q140" s="45"/>
    </row>
    <row r="141" spans="1:17" ht="25.2" customHeight="1">
      <c r="A141" s="76">
        <v>21</v>
      </c>
      <c r="B141" s="138" t="s">
        <v>189</v>
      </c>
      <c r="C141" s="35">
        <v>46458.2</v>
      </c>
      <c r="D141" s="35">
        <v>46458.2</v>
      </c>
      <c r="E141" s="35">
        <f t="shared" si="29"/>
        <v>0</v>
      </c>
      <c r="F141" s="33">
        <v>255.01</v>
      </c>
      <c r="G141" s="78">
        <f t="shared" si="30"/>
        <v>0</v>
      </c>
      <c r="H141" s="35">
        <v>46458.2</v>
      </c>
      <c r="I141" s="56">
        <f t="shared" si="32"/>
        <v>0</v>
      </c>
      <c r="J141" s="33">
        <v>0</v>
      </c>
      <c r="K141" s="28">
        <f t="shared" si="27"/>
        <v>0</v>
      </c>
      <c r="L141" s="84">
        <f t="shared" si="28"/>
        <v>0</v>
      </c>
      <c r="M141" s="79">
        <f t="shared" si="28"/>
        <v>255.01</v>
      </c>
      <c r="N141" s="34">
        <f t="shared" si="31"/>
        <v>0</v>
      </c>
      <c r="O141" s="77"/>
      <c r="Q141" s="45"/>
    </row>
    <row r="142" spans="1:17" ht="18">
      <c r="A142" s="196" t="s">
        <v>28</v>
      </c>
      <c r="B142" s="197"/>
      <c r="C142" s="123"/>
      <c r="D142" s="123"/>
      <c r="E142" s="40">
        <f>SUM(E121:E141)</f>
        <v>287.39999999999998</v>
      </c>
      <c r="F142" s="40">
        <f>SUM(F121:F141)</f>
        <v>342.51</v>
      </c>
      <c r="G142" s="39"/>
      <c r="H142" s="39"/>
      <c r="I142" s="40">
        <f>SUM(I121:I141)</f>
        <v>231</v>
      </c>
      <c r="J142" s="40">
        <f>SUM(J121:J141)</f>
        <v>47</v>
      </c>
      <c r="K142" s="145"/>
      <c r="L142" s="146">
        <f>SUM(L121:L141)</f>
        <v>518.4</v>
      </c>
      <c r="M142" s="147">
        <f>SUM(M121:M141)</f>
        <v>389.51</v>
      </c>
      <c r="N142" s="34"/>
      <c r="O142" s="37"/>
      <c r="P142" s="72"/>
    </row>
    <row r="143" spans="1:17" ht="21.6" thickBot="1">
      <c r="A143" s="148"/>
      <c r="B143" s="149"/>
      <c r="C143" s="149"/>
      <c r="D143" s="149"/>
      <c r="E143" s="149" t="s">
        <v>139</v>
      </c>
      <c r="F143" s="150">
        <f>F19+F25+F34+F40+F47+G117+F142</f>
        <v>18005.319999999996</v>
      </c>
      <c r="G143" s="149"/>
      <c r="H143" s="149"/>
      <c r="I143" s="151" t="s">
        <v>140</v>
      </c>
      <c r="J143" s="150">
        <f>J19+J25+J34+J40+J47+M117+J142</f>
        <v>12660.400000000001</v>
      </c>
      <c r="K143" s="198" t="s">
        <v>141</v>
      </c>
      <c r="L143" s="198"/>
      <c r="M143" s="198"/>
      <c r="N143" s="198"/>
      <c r="O143" s="152"/>
    </row>
    <row r="144" spans="1:17" ht="15">
      <c r="B144" s="153"/>
      <c r="C144" s="152"/>
      <c r="D144" s="152"/>
      <c r="E144" s="152"/>
      <c r="F144" s="152"/>
      <c r="G144" s="152"/>
      <c r="H144" s="152"/>
      <c r="I144" s="152"/>
      <c r="J144" s="154"/>
      <c r="K144" s="155" t="s">
        <v>142</v>
      </c>
      <c r="L144" s="199">
        <f>N2</f>
        <v>46221</v>
      </c>
      <c r="M144" s="200"/>
      <c r="N144" s="156"/>
      <c r="O144" s="157">
        <f>M142-N150</f>
        <v>389.51</v>
      </c>
    </row>
    <row r="145" spans="1:16" ht="18">
      <c r="B145" s="158" t="s">
        <v>143</v>
      </c>
      <c r="C145" s="159">
        <f>F143</f>
        <v>18005.319999999996</v>
      </c>
      <c r="D145" s="160"/>
      <c r="E145" s="160"/>
      <c r="F145" s="159"/>
      <c r="G145" s="160"/>
      <c r="H145" s="160"/>
      <c r="I145" s="160"/>
      <c r="J145" s="45"/>
      <c r="K145" s="188" t="s">
        <v>144</v>
      </c>
      <c r="L145" s="189"/>
      <c r="M145" s="190"/>
      <c r="N145" s="161">
        <f>P117</f>
        <v>20845.330000000002</v>
      </c>
      <c r="O145" s="152"/>
    </row>
    <row r="146" spans="1:16" ht="18">
      <c r="B146" s="158" t="s">
        <v>145</v>
      </c>
      <c r="C146" s="159">
        <f>J143</f>
        <v>12660.400000000001</v>
      </c>
      <c r="D146" s="160"/>
      <c r="E146" s="160"/>
      <c r="F146" s="159"/>
      <c r="G146" s="159"/>
      <c r="H146" s="160"/>
      <c r="I146" s="160"/>
      <c r="J146" s="45"/>
      <c r="K146" s="188" t="s">
        <v>146</v>
      </c>
      <c r="L146" s="189"/>
      <c r="M146" s="190"/>
      <c r="N146" s="161">
        <f>M19</f>
        <v>5403.7200000000012</v>
      </c>
      <c r="O146" s="152"/>
    </row>
    <row r="147" spans="1:16" ht="18">
      <c r="B147" s="158" t="s">
        <v>28</v>
      </c>
      <c r="C147" s="159">
        <f>C145+C146</f>
        <v>30665.719999999998</v>
      </c>
      <c r="D147" s="160"/>
      <c r="E147" s="160"/>
      <c r="F147" s="160"/>
      <c r="G147" s="159"/>
      <c r="H147" s="160"/>
      <c r="I147" s="160"/>
      <c r="K147" s="188" t="s">
        <v>147</v>
      </c>
      <c r="L147" s="189"/>
      <c r="M147" s="190"/>
      <c r="N147" s="161">
        <f>M34</f>
        <v>1328.95</v>
      </c>
    </row>
    <row r="148" spans="1:16" ht="18">
      <c r="C148" s="45"/>
      <c r="D148" s="45"/>
      <c r="E148" s="45"/>
      <c r="F148" s="45"/>
      <c r="G148" s="45"/>
      <c r="H148" s="160" t="s">
        <v>94</v>
      </c>
      <c r="I148" s="45"/>
      <c r="K148" s="188" t="s">
        <v>148</v>
      </c>
      <c r="L148" s="189"/>
      <c r="M148" s="190"/>
      <c r="N148" s="161">
        <f>M40</f>
        <v>697.55</v>
      </c>
    </row>
    <row r="149" spans="1:16" ht="25.2" customHeight="1">
      <c r="B149" s="162" t="s">
        <v>149</v>
      </c>
      <c r="C149" s="193"/>
      <c r="D149" s="193"/>
      <c r="E149" s="193"/>
      <c r="F149" s="193"/>
      <c r="G149" s="193"/>
      <c r="H149" s="193"/>
      <c r="I149" s="193"/>
      <c r="J149" s="193"/>
      <c r="K149" s="188" t="s">
        <v>150</v>
      </c>
      <c r="L149" s="189"/>
      <c r="M149" s="190"/>
      <c r="N149" s="161">
        <f>M47</f>
        <v>1617.8400000000001</v>
      </c>
    </row>
    <row r="150" spans="1:16" ht="18">
      <c r="C150" s="45"/>
      <c r="D150" s="45"/>
      <c r="E150" s="26"/>
      <c r="F150" s="26"/>
      <c r="G150" s="45"/>
      <c r="H150" s="160"/>
      <c r="I150" s="45"/>
      <c r="K150" s="188" t="s">
        <v>151</v>
      </c>
      <c r="L150" s="189"/>
      <c r="M150" s="190"/>
      <c r="N150" s="161">
        <f>M125+M126+M127+M128</f>
        <v>0</v>
      </c>
    </row>
    <row r="151" spans="1:16" ht="18">
      <c r="E151" s="38"/>
      <c r="F151" s="45"/>
      <c r="G151" s="45"/>
      <c r="H151" s="160"/>
      <c r="I151" s="45"/>
      <c r="K151" s="188" t="s">
        <v>152</v>
      </c>
      <c r="L151" s="189"/>
      <c r="M151" s="190"/>
      <c r="N151" s="161">
        <f>O144</f>
        <v>389.51</v>
      </c>
    </row>
    <row r="152" spans="1:16" ht="18.600000000000001" thickBot="1">
      <c r="C152" s="38"/>
      <c r="D152" s="38"/>
      <c r="G152" s="163"/>
      <c r="H152" s="160"/>
      <c r="K152" s="188" t="s">
        <v>153</v>
      </c>
      <c r="L152" s="189"/>
      <c r="M152" s="190"/>
      <c r="N152" s="164">
        <f>M25</f>
        <v>382.82</v>
      </c>
      <c r="P152" s="38"/>
    </row>
    <row r="153" spans="1:16" ht="16.8" thickBot="1">
      <c r="C153" s="38"/>
      <c r="D153" s="38"/>
      <c r="E153" s="38"/>
      <c r="F153" s="38"/>
      <c r="H153" s="38"/>
      <c r="K153" s="191" t="s">
        <v>154</v>
      </c>
      <c r="L153" s="192"/>
      <c r="M153" s="192"/>
      <c r="N153" s="165">
        <f>SUM(N145:N152)</f>
        <v>30665.72</v>
      </c>
    </row>
    <row r="154" spans="1:16">
      <c r="C154" s="38"/>
      <c r="D154" s="38"/>
      <c r="E154" s="159"/>
      <c r="F154" s="159"/>
      <c r="H154" s="38"/>
      <c r="I154" s="38"/>
    </row>
    <row r="155" spans="1:16">
      <c r="C155" s="38"/>
      <c r="D155" s="38"/>
      <c r="E155" s="38"/>
      <c r="F155" s="38"/>
      <c r="H155" s="160"/>
    </row>
    <row r="156" spans="1:16">
      <c r="A156" s="159"/>
      <c r="B156" s="159"/>
      <c r="C156" s="159"/>
      <c r="D156" s="159"/>
      <c r="E156" s="159"/>
      <c r="F156" s="159"/>
      <c r="G156" s="38"/>
      <c r="H156" s="38"/>
      <c r="N156" s="45"/>
    </row>
    <row r="157" spans="1:16">
      <c r="A157" s="159"/>
    </row>
  </sheetData>
  <mergeCells count="72">
    <mergeCell ref="A1:N1"/>
    <mergeCell ref="A2:L2"/>
    <mergeCell ref="A3:A4"/>
    <mergeCell ref="B3:B4"/>
    <mergeCell ref="C3:G3"/>
    <mergeCell ref="H3:L3"/>
    <mergeCell ref="M3:M4"/>
    <mergeCell ref="N3:N4"/>
    <mergeCell ref="O3:O4"/>
    <mergeCell ref="P3:P4"/>
    <mergeCell ref="A19:B19"/>
    <mergeCell ref="A20:L20"/>
    <mergeCell ref="A21:A22"/>
    <mergeCell ref="B21:B22"/>
    <mergeCell ref="C21:G21"/>
    <mergeCell ref="H21:K21"/>
    <mergeCell ref="M21:M22"/>
    <mergeCell ref="N21:N22"/>
    <mergeCell ref="A25:B25"/>
    <mergeCell ref="A26:L26"/>
    <mergeCell ref="A27:A28"/>
    <mergeCell ref="B27:B28"/>
    <mergeCell ref="C27:G27"/>
    <mergeCell ref="H27:K27"/>
    <mergeCell ref="M27:M28"/>
    <mergeCell ref="N27:N28"/>
    <mergeCell ref="A34:B34"/>
    <mergeCell ref="A35:L35"/>
    <mergeCell ref="A36:A37"/>
    <mergeCell ref="B36:B37"/>
    <mergeCell ref="C36:G36"/>
    <mergeCell ref="H36:K36"/>
    <mergeCell ref="M36:M37"/>
    <mergeCell ref="N36:N37"/>
    <mergeCell ref="A40:B40"/>
    <mergeCell ref="A41:L41"/>
    <mergeCell ref="A42:A43"/>
    <mergeCell ref="B42:B43"/>
    <mergeCell ref="C42:G42"/>
    <mergeCell ref="H42:K42"/>
    <mergeCell ref="M42:M43"/>
    <mergeCell ref="N42:N43"/>
    <mergeCell ref="A47:B47"/>
    <mergeCell ref="A48:L48"/>
    <mergeCell ref="A49:A50"/>
    <mergeCell ref="B49:B50"/>
    <mergeCell ref="C49:H49"/>
    <mergeCell ref="I49:N49"/>
    <mergeCell ref="K146:M146"/>
    <mergeCell ref="O49:O50"/>
    <mergeCell ref="P49:P50"/>
    <mergeCell ref="Q49:Q50"/>
    <mergeCell ref="R49:R50"/>
    <mergeCell ref="A118:L118"/>
    <mergeCell ref="A119:A120"/>
    <mergeCell ref="B119:B120"/>
    <mergeCell ref="C119:G119"/>
    <mergeCell ref="H119:K119"/>
    <mergeCell ref="M119:M120"/>
    <mergeCell ref="N119:N120"/>
    <mergeCell ref="A142:B142"/>
    <mergeCell ref="K143:N143"/>
    <mergeCell ref="L144:M144"/>
    <mergeCell ref="K145:M145"/>
    <mergeCell ref="K152:M152"/>
    <mergeCell ref="K153:M153"/>
    <mergeCell ref="K147:M147"/>
    <mergeCell ref="K148:M148"/>
    <mergeCell ref="C149:J149"/>
    <mergeCell ref="K149:M149"/>
    <mergeCell ref="K150:M150"/>
    <mergeCell ref="K151:M151"/>
  </mergeCells>
  <conditionalFormatting sqref="N7:N20 N23:N24 N29:N33 N38:N39 N44:N46">
    <cfRule type="cellIs" dxfId="17" priority="2" operator="greaterThan">
      <formula>40</formula>
    </cfRule>
  </conditionalFormatting>
  <conditionalFormatting sqref="Q51:Q117">
    <cfRule type="cellIs" dxfId="16" priority="1" operator="lessThan">
      <formula>0.5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E4071-A77F-49BA-A0A4-46E44E323F90}">
  <dimension ref="A1:AA157"/>
  <sheetViews>
    <sheetView zoomScale="74" zoomScaleNormal="74" workbookViewId="0">
      <pane ySplit="1" topLeftCell="A2" activePane="bottomLeft" state="frozen"/>
      <selection pane="bottomLeft" activeCell="T10" sqref="T10"/>
    </sheetView>
  </sheetViews>
  <sheetFormatPr defaultColWidth="9" defaultRowHeight="14.4"/>
  <cols>
    <col min="1" max="1" width="8.5546875" customWidth="1"/>
    <col min="2" max="2" width="29.44140625" bestFit="1" customWidth="1"/>
    <col min="3" max="3" width="11.6640625" customWidth="1"/>
    <col min="4" max="4" width="11.21875" customWidth="1"/>
    <col min="5" max="5" width="9.77734375" customWidth="1"/>
    <col min="6" max="6" width="13.6640625" customWidth="1"/>
    <col min="7" max="7" width="10" customWidth="1"/>
    <col min="8" max="8" width="9.77734375" customWidth="1"/>
    <col min="9" max="9" width="12.77734375" bestFit="1" customWidth="1"/>
    <col min="10" max="10" width="10.6640625" bestFit="1" customWidth="1"/>
    <col min="11" max="11" width="15.77734375" customWidth="1"/>
    <col min="12" max="12" width="10.77734375" customWidth="1"/>
    <col min="13" max="13" width="12.5546875" customWidth="1"/>
    <col min="14" max="14" width="17.88671875" customWidth="1"/>
    <col min="15" max="15" width="13.44140625" customWidth="1"/>
    <col min="16" max="16" width="17" customWidth="1"/>
    <col min="17" max="17" width="11.109375" bestFit="1" customWidth="1"/>
    <col min="19" max="19" width="9.21875" bestFit="1" customWidth="1"/>
    <col min="20" max="20" width="8.21875" bestFit="1" customWidth="1"/>
    <col min="21" max="22" width="11.21875" customWidth="1"/>
  </cols>
  <sheetData>
    <row r="1" spans="1:22" ht="18.600000000000001" thickBot="1">
      <c r="A1" s="249" t="s">
        <v>0</v>
      </c>
      <c r="B1" s="249"/>
      <c r="C1" s="249"/>
      <c r="D1" s="249"/>
      <c r="E1" s="249"/>
      <c r="F1" s="249"/>
      <c r="G1" s="249"/>
      <c r="H1" s="249"/>
      <c r="I1" s="249"/>
      <c r="J1" s="249"/>
      <c r="K1" s="249"/>
      <c r="L1" s="249"/>
      <c r="M1" s="249"/>
      <c r="N1" s="249"/>
      <c r="O1" s="1"/>
      <c r="V1" s="2"/>
    </row>
    <row r="2" spans="1:22" ht="19.8" customHeight="1" thickBot="1">
      <c r="A2" s="250" t="s">
        <v>1</v>
      </c>
      <c r="B2" s="251"/>
      <c r="C2" s="252"/>
      <c r="D2" s="252"/>
      <c r="E2" s="252"/>
      <c r="F2" s="252"/>
      <c r="G2" s="252"/>
      <c r="H2" s="252"/>
      <c r="I2" s="252"/>
      <c r="J2" s="252"/>
      <c r="K2" s="252"/>
      <c r="L2" s="251"/>
      <c r="M2" s="3" t="s">
        <v>2</v>
      </c>
      <c r="N2" s="4">
        <v>46222</v>
      </c>
      <c r="O2" s="1"/>
    </row>
    <row r="3" spans="1:22" ht="18" customHeight="1">
      <c r="A3" s="209" t="s">
        <v>3</v>
      </c>
      <c r="B3" s="211" t="s">
        <v>4</v>
      </c>
      <c r="C3" s="213" t="s">
        <v>5</v>
      </c>
      <c r="D3" s="214"/>
      <c r="E3" s="214"/>
      <c r="F3" s="214"/>
      <c r="G3" s="215"/>
      <c r="H3" s="253" t="s">
        <v>6</v>
      </c>
      <c r="I3" s="254"/>
      <c r="J3" s="254"/>
      <c r="K3" s="254"/>
      <c r="L3" s="255"/>
      <c r="M3" s="219" t="s">
        <v>7</v>
      </c>
      <c r="N3" s="194" t="s">
        <v>8</v>
      </c>
      <c r="O3" s="243" t="s">
        <v>9</v>
      </c>
      <c r="P3" s="222" t="s">
        <v>10</v>
      </c>
    </row>
    <row r="4" spans="1:22" ht="22.8" customHeight="1">
      <c r="A4" s="247"/>
      <c r="B4" s="248"/>
      <c r="C4" s="6" t="s">
        <v>11</v>
      </c>
      <c r="D4" s="6" t="s">
        <v>12</v>
      </c>
      <c r="E4" s="6" t="s">
        <v>13</v>
      </c>
      <c r="F4" s="6" t="s">
        <v>14</v>
      </c>
      <c r="G4" s="6" t="s">
        <v>8</v>
      </c>
      <c r="H4" s="6" t="s">
        <v>12</v>
      </c>
      <c r="I4" s="6" t="s">
        <v>13</v>
      </c>
      <c r="J4" s="6" t="s">
        <v>14</v>
      </c>
      <c r="K4" s="7" t="s">
        <v>8</v>
      </c>
      <c r="L4" s="8" t="s">
        <v>15</v>
      </c>
      <c r="M4" s="236"/>
      <c r="N4" s="237"/>
      <c r="O4" s="248"/>
      <c r="P4" s="243"/>
    </row>
    <row r="5" spans="1:22" ht="22.8" customHeight="1">
      <c r="A5" s="5">
        <v>1</v>
      </c>
      <c r="B5" s="9" t="s">
        <v>175</v>
      </c>
      <c r="C5" s="2">
        <v>32100.6</v>
      </c>
      <c r="D5" s="2">
        <v>32100.6</v>
      </c>
      <c r="E5" s="2">
        <f>D5-C5</f>
        <v>0</v>
      </c>
      <c r="F5" s="2">
        <v>0</v>
      </c>
      <c r="G5" s="10">
        <f>IFERROR(F5/E5,0)</f>
        <v>0</v>
      </c>
      <c r="H5" s="2">
        <v>32114.799999999999</v>
      </c>
      <c r="I5" s="167">
        <f>H5-D5</f>
        <v>14.200000000000728</v>
      </c>
      <c r="J5" s="2">
        <v>423.24</v>
      </c>
      <c r="K5" s="11">
        <f>IFERROR(J5/I5,0)</f>
        <v>29.805633802815375</v>
      </c>
      <c r="L5" s="12">
        <f t="shared" ref="L5:M17" si="0">E5+I5</f>
        <v>14.200000000000728</v>
      </c>
      <c r="M5" s="13">
        <f t="shared" si="0"/>
        <v>423.24</v>
      </c>
      <c r="N5" s="14">
        <f>IFERROR(M5/L5,0)</f>
        <v>29.805633802815375</v>
      </c>
      <c r="O5" s="2">
        <v>145</v>
      </c>
      <c r="P5" s="5"/>
    </row>
    <row r="6" spans="1:22" ht="22.8" customHeight="1">
      <c r="A6" s="81">
        <v>2</v>
      </c>
      <c r="B6" s="16" t="s">
        <v>170</v>
      </c>
      <c r="C6" s="49">
        <v>33920.1</v>
      </c>
      <c r="D6" s="49">
        <v>33920.1</v>
      </c>
      <c r="E6" s="2">
        <f>D6-C6</f>
        <v>0</v>
      </c>
      <c r="F6" s="49">
        <v>0</v>
      </c>
      <c r="G6" s="10">
        <f>IFERROR(F6/E6,0)</f>
        <v>0</v>
      </c>
      <c r="H6" s="49">
        <v>33920.1</v>
      </c>
      <c r="I6" s="167">
        <f>H6-D6</f>
        <v>0</v>
      </c>
      <c r="J6" s="49">
        <v>0</v>
      </c>
      <c r="K6" s="11">
        <f>IFERROR(J6/I6,0)</f>
        <v>0</v>
      </c>
      <c r="L6" s="12">
        <f t="shared" si="0"/>
        <v>0</v>
      </c>
      <c r="M6" s="13">
        <f t="shared" si="0"/>
        <v>0</v>
      </c>
      <c r="N6" s="14">
        <f>IFERROR(M6/L6,0)</f>
        <v>0</v>
      </c>
      <c r="O6" s="49">
        <v>78</v>
      </c>
      <c r="P6" s="81"/>
    </row>
    <row r="7" spans="1:22" ht="24" customHeight="1">
      <c r="A7" s="5">
        <v>3</v>
      </c>
      <c r="B7" s="16" t="s">
        <v>17</v>
      </c>
      <c r="C7" s="17">
        <v>32493.3</v>
      </c>
      <c r="D7" s="17">
        <v>32493.3</v>
      </c>
      <c r="E7" s="17">
        <f t="shared" ref="E7:E18" si="1">D7-C7</f>
        <v>0</v>
      </c>
      <c r="F7" s="18">
        <v>0</v>
      </c>
      <c r="G7" s="10">
        <f>IFERROR(F7/E7,0)</f>
        <v>0</v>
      </c>
      <c r="H7" s="17">
        <v>32493.3</v>
      </c>
      <c r="I7" s="19">
        <f t="shared" ref="I7:I14" si="2">H7-D7</f>
        <v>0</v>
      </c>
      <c r="J7" s="20">
        <v>0</v>
      </c>
      <c r="K7" s="21">
        <f>IFERROR(J7/I7,0)</f>
        <v>0</v>
      </c>
      <c r="L7" s="18">
        <f t="shared" si="0"/>
        <v>0</v>
      </c>
      <c r="M7" s="22">
        <f t="shared" si="0"/>
        <v>0</v>
      </c>
      <c r="N7" s="23">
        <f>IFERROR(M7/L7,0)</f>
        <v>0</v>
      </c>
      <c r="O7" s="24">
        <v>0</v>
      </c>
      <c r="P7" s="25"/>
      <c r="Q7" s="26"/>
    </row>
    <row r="8" spans="1:22" ht="25.8" customHeight="1">
      <c r="A8" s="81">
        <v>4</v>
      </c>
      <c r="B8" s="16" t="s">
        <v>18</v>
      </c>
      <c r="C8" s="17">
        <v>24771</v>
      </c>
      <c r="D8" s="17">
        <v>24771</v>
      </c>
      <c r="E8" s="17">
        <f t="shared" si="1"/>
        <v>0</v>
      </c>
      <c r="F8" s="18">
        <v>0</v>
      </c>
      <c r="G8" s="10">
        <f t="shared" ref="G8:G13" si="3">IFERROR(F8/E8,0)</f>
        <v>0</v>
      </c>
      <c r="H8" s="17">
        <v>24781.9</v>
      </c>
      <c r="I8" s="19">
        <f t="shared" si="2"/>
        <v>10.900000000001455</v>
      </c>
      <c r="J8" s="20">
        <v>212.6</v>
      </c>
      <c r="K8" s="28">
        <f t="shared" ref="K8:K14" si="4">IFERROR(J8/I8,0)</f>
        <v>19.504587155960699</v>
      </c>
      <c r="L8" s="18">
        <f t="shared" si="0"/>
        <v>10.900000000001455</v>
      </c>
      <c r="M8" s="22">
        <f t="shared" si="0"/>
        <v>212.6</v>
      </c>
      <c r="N8" s="23">
        <f t="shared" ref="N8:N18" si="5">IFERROR(M8/L8,0)</f>
        <v>19.504587155960699</v>
      </c>
      <c r="O8" s="29">
        <v>151</v>
      </c>
      <c r="P8" s="30"/>
      <c r="Q8" s="26"/>
      <c r="S8" s="26"/>
    </row>
    <row r="9" spans="1:22" ht="25.8" customHeight="1">
      <c r="A9" s="5">
        <v>5</v>
      </c>
      <c r="B9" s="31" t="s">
        <v>19</v>
      </c>
      <c r="C9" s="17">
        <v>32678.5</v>
      </c>
      <c r="D9" s="17">
        <v>32678.5</v>
      </c>
      <c r="E9" s="17">
        <f t="shared" si="1"/>
        <v>0</v>
      </c>
      <c r="F9" s="32">
        <v>0</v>
      </c>
      <c r="G9" s="10">
        <f t="shared" si="3"/>
        <v>0</v>
      </c>
      <c r="H9" s="17">
        <v>32691.599999999999</v>
      </c>
      <c r="I9" s="19">
        <f t="shared" si="2"/>
        <v>13.099999999998545</v>
      </c>
      <c r="J9" s="33">
        <v>410.65</v>
      </c>
      <c r="K9" s="28">
        <f t="shared" si="4"/>
        <v>31.347328244278291</v>
      </c>
      <c r="L9" s="18">
        <f t="shared" si="0"/>
        <v>13.099999999998545</v>
      </c>
      <c r="M9" s="22">
        <f t="shared" si="0"/>
        <v>410.65</v>
      </c>
      <c r="N9" s="23">
        <f t="shared" si="5"/>
        <v>31.347328244278291</v>
      </c>
      <c r="O9" s="29">
        <v>199</v>
      </c>
      <c r="P9" s="30"/>
      <c r="Q9" s="26"/>
      <c r="S9" s="26"/>
    </row>
    <row r="10" spans="1:22" ht="25.8" customHeight="1">
      <c r="A10" s="81">
        <v>6</v>
      </c>
      <c r="B10" s="16" t="s">
        <v>20</v>
      </c>
      <c r="C10" s="17">
        <v>33627.300000000003</v>
      </c>
      <c r="D10" s="17">
        <v>33627.300000000003</v>
      </c>
      <c r="E10" s="17">
        <f>D10-C10</f>
        <v>0</v>
      </c>
      <c r="F10" s="34">
        <v>0</v>
      </c>
      <c r="G10" s="10">
        <f>IFERROR(F10/E10,0)</f>
        <v>0</v>
      </c>
      <c r="H10" s="17">
        <v>33636.699999999997</v>
      </c>
      <c r="I10" s="19">
        <f>H10-D10</f>
        <v>9.3999999999941792</v>
      </c>
      <c r="J10" s="33">
        <v>495.5</v>
      </c>
      <c r="K10" s="28">
        <f>IFERROR(J10/I10,0)</f>
        <v>52.712765957479448</v>
      </c>
      <c r="L10" s="18">
        <f>E10+I10</f>
        <v>9.3999999999941792</v>
      </c>
      <c r="M10" s="22">
        <f>F10+J10</f>
        <v>495.5</v>
      </c>
      <c r="N10" s="23">
        <f>IFERROR(M10/L10,0)</f>
        <v>52.712765957479448</v>
      </c>
      <c r="O10" s="29">
        <v>68</v>
      </c>
      <c r="P10" s="30"/>
      <c r="Q10" s="26"/>
      <c r="S10" s="26"/>
    </row>
    <row r="11" spans="1:22" ht="22.8" customHeight="1">
      <c r="A11" s="5">
        <v>7</v>
      </c>
      <c r="B11" s="16" t="s">
        <v>21</v>
      </c>
      <c r="C11" s="17">
        <v>28159.200000000001</v>
      </c>
      <c r="D11" s="17">
        <v>28159.200000000001</v>
      </c>
      <c r="E11" s="17">
        <f t="shared" si="1"/>
        <v>0</v>
      </c>
      <c r="F11" s="32">
        <v>0</v>
      </c>
      <c r="G11" s="10">
        <f t="shared" si="3"/>
        <v>0</v>
      </c>
      <c r="H11" s="17">
        <v>28173.3</v>
      </c>
      <c r="I11" s="19">
        <f t="shared" si="2"/>
        <v>14.099999999998545</v>
      </c>
      <c r="J11" s="20">
        <v>368.79</v>
      </c>
      <c r="K11" s="28">
        <f t="shared" si="4"/>
        <v>26.155319148938872</v>
      </c>
      <c r="L11" s="18">
        <f t="shared" si="0"/>
        <v>14.099999999998545</v>
      </c>
      <c r="M11" s="22">
        <f t="shared" si="0"/>
        <v>368.79</v>
      </c>
      <c r="N11" s="23">
        <f t="shared" si="5"/>
        <v>26.155319148938872</v>
      </c>
      <c r="O11" s="29">
        <v>164</v>
      </c>
      <c r="P11" s="30"/>
      <c r="Q11" s="26"/>
      <c r="S11" s="26"/>
    </row>
    <row r="12" spans="1:22" ht="22.8" customHeight="1">
      <c r="A12" s="81">
        <v>8</v>
      </c>
      <c r="B12" s="31" t="s">
        <v>22</v>
      </c>
      <c r="C12" s="35">
        <v>27546.5</v>
      </c>
      <c r="D12" s="35">
        <v>27546.5</v>
      </c>
      <c r="E12" s="17">
        <f t="shared" si="1"/>
        <v>0</v>
      </c>
      <c r="F12" s="32">
        <v>0</v>
      </c>
      <c r="G12" s="10">
        <f t="shared" si="3"/>
        <v>0</v>
      </c>
      <c r="H12" s="35">
        <v>27557.4</v>
      </c>
      <c r="I12" s="19">
        <f t="shared" si="2"/>
        <v>10.900000000001455</v>
      </c>
      <c r="J12" s="33">
        <v>287.94</v>
      </c>
      <c r="K12" s="28">
        <f t="shared" si="4"/>
        <v>26.416513761464362</v>
      </c>
      <c r="L12" s="18">
        <f t="shared" si="0"/>
        <v>10.900000000001455</v>
      </c>
      <c r="M12" s="22">
        <f t="shared" si="0"/>
        <v>287.94</v>
      </c>
      <c r="N12" s="23">
        <f t="shared" si="5"/>
        <v>26.416513761464362</v>
      </c>
      <c r="O12" s="29">
        <v>113</v>
      </c>
      <c r="P12" s="30"/>
      <c r="Q12" s="26"/>
      <c r="S12" s="26"/>
    </row>
    <row r="13" spans="1:22" ht="24" customHeight="1">
      <c r="A13" s="5">
        <v>9</v>
      </c>
      <c r="B13" s="31" t="s">
        <v>23</v>
      </c>
      <c r="C13" s="17">
        <v>22681.97</v>
      </c>
      <c r="D13" s="17">
        <v>22681.97</v>
      </c>
      <c r="E13" s="17">
        <f t="shared" si="1"/>
        <v>0</v>
      </c>
      <c r="F13" s="34">
        <v>0</v>
      </c>
      <c r="G13" s="10">
        <f t="shared" si="3"/>
        <v>0</v>
      </c>
      <c r="H13" s="17">
        <v>22694.27</v>
      </c>
      <c r="I13" s="19">
        <f t="shared" si="2"/>
        <v>12.299999999999272</v>
      </c>
      <c r="J13" s="20">
        <v>422.07</v>
      </c>
      <c r="K13" s="28">
        <f t="shared" si="4"/>
        <v>34.314634146343494</v>
      </c>
      <c r="L13" s="18">
        <f t="shared" si="0"/>
        <v>12.299999999999272</v>
      </c>
      <c r="M13" s="22">
        <f t="shared" si="0"/>
        <v>422.07</v>
      </c>
      <c r="N13" s="23">
        <f t="shared" si="5"/>
        <v>34.314634146343494</v>
      </c>
      <c r="O13" s="29">
        <v>185</v>
      </c>
      <c r="P13" s="36"/>
      <c r="Q13" s="26"/>
      <c r="S13" s="26"/>
    </row>
    <row r="14" spans="1:22" ht="24" customHeight="1">
      <c r="A14" s="81">
        <v>10</v>
      </c>
      <c r="B14" s="31" t="s">
        <v>24</v>
      </c>
      <c r="C14" s="17">
        <v>22644.36</v>
      </c>
      <c r="D14" s="17">
        <v>22644.36</v>
      </c>
      <c r="E14" s="17">
        <f t="shared" si="1"/>
        <v>0</v>
      </c>
      <c r="F14" s="32">
        <v>0</v>
      </c>
      <c r="G14" s="10">
        <f>IFERROR(F14/E14,0)</f>
        <v>0</v>
      </c>
      <c r="H14" s="17">
        <v>22653.4</v>
      </c>
      <c r="I14" s="19">
        <f t="shared" si="2"/>
        <v>9.0400000000008731</v>
      </c>
      <c r="J14" s="20">
        <v>314.47000000000003</v>
      </c>
      <c r="K14" s="28">
        <f t="shared" si="4"/>
        <v>34.786504424775401</v>
      </c>
      <c r="L14" s="18">
        <f t="shared" si="0"/>
        <v>9.0400000000008731</v>
      </c>
      <c r="M14" s="22">
        <f t="shared" si="0"/>
        <v>314.47000000000003</v>
      </c>
      <c r="N14" s="23">
        <f t="shared" si="5"/>
        <v>34.786504424775401</v>
      </c>
      <c r="O14" s="29">
        <v>135</v>
      </c>
      <c r="P14" s="37"/>
      <c r="Q14" s="26"/>
      <c r="S14" s="26"/>
    </row>
    <row r="15" spans="1:22" ht="24" customHeight="1">
      <c r="A15" s="5">
        <v>11</v>
      </c>
      <c r="B15" s="31" t="s">
        <v>25</v>
      </c>
      <c r="C15" s="17">
        <v>20141.060000000001</v>
      </c>
      <c r="D15" s="17">
        <v>20141.060000000001</v>
      </c>
      <c r="E15" s="17">
        <f t="shared" si="1"/>
        <v>0</v>
      </c>
      <c r="F15" s="32">
        <v>0</v>
      </c>
      <c r="G15" s="10">
        <f>IFERROR(F15/E15,0)</f>
        <v>0</v>
      </c>
      <c r="H15" s="17">
        <v>20153.150000000001</v>
      </c>
      <c r="I15" s="19">
        <f>H15-D15</f>
        <v>12.090000000000146</v>
      </c>
      <c r="J15" s="20">
        <v>585.92999999999995</v>
      </c>
      <c r="K15" s="28">
        <f>IFERROR(J15/I15,0)</f>
        <v>48.464019851116035</v>
      </c>
      <c r="L15" s="18">
        <f>E15+I15</f>
        <v>12.090000000000146</v>
      </c>
      <c r="M15" s="22">
        <f t="shared" si="0"/>
        <v>585.92999999999995</v>
      </c>
      <c r="N15" s="23">
        <f t="shared" si="5"/>
        <v>48.464019851116035</v>
      </c>
      <c r="O15" s="29">
        <v>127</v>
      </c>
      <c r="P15" s="37"/>
      <c r="Q15" s="26"/>
      <c r="S15" s="26"/>
      <c r="T15" s="38"/>
    </row>
    <row r="16" spans="1:22" ht="24" customHeight="1">
      <c r="A16" s="81">
        <v>12</v>
      </c>
      <c r="B16" s="31" t="s">
        <v>181</v>
      </c>
      <c r="C16" s="17">
        <v>10192</v>
      </c>
      <c r="D16" s="17">
        <v>10192</v>
      </c>
      <c r="E16" s="17">
        <f t="shared" si="1"/>
        <v>0</v>
      </c>
      <c r="F16" s="32">
        <v>0</v>
      </c>
      <c r="G16" s="10">
        <f>IFERROR(F16/E16,0)</f>
        <v>0</v>
      </c>
      <c r="H16" s="17">
        <v>10192</v>
      </c>
      <c r="I16" s="19">
        <f>H16-D16</f>
        <v>0</v>
      </c>
      <c r="J16" s="20">
        <v>0</v>
      </c>
      <c r="K16" s="28">
        <f>IFERROR(J16/I16,0)</f>
        <v>0</v>
      </c>
      <c r="L16" s="18">
        <f>E16+I16</f>
        <v>0</v>
      </c>
      <c r="M16" s="22">
        <f t="shared" si="0"/>
        <v>0</v>
      </c>
      <c r="N16" s="23">
        <f t="shared" si="5"/>
        <v>0</v>
      </c>
      <c r="O16" s="29">
        <v>0</v>
      </c>
      <c r="P16" s="37"/>
      <c r="Q16" s="26"/>
      <c r="S16" s="26"/>
      <c r="T16" s="38"/>
    </row>
    <row r="17" spans="1:20" ht="24" customHeight="1">
      <c r="A17" s="5">
        <v>13</v>
      </c>
      <c r="B17" s="31" t="s">
        <v>27</v>
      </c>
      <c r="C17" s="17">
        <v>18290.599999999999</v>
      </c>
      <c r="D17" s="17">
        <v>18290.599999999999</v>
      </c>
      <c r="E17" s="17">
        <f t="shared" si="1"/>
        <v>0</v>
      </c>
      <c r="F17" s="18">
        <v>0</v>
      </c>
      <c r="G17" s="10">
        <f>IFERROR(F17/E17,0)</f>
        <v>0</v>
      </c>
      <c r="H17" s="17">
        <v>18290.599999999999</v>
      </c>
      <c r="I17" s="19">
        <f t="shared" ref="I17" si="6">H17-D17</f>
        <v>0</v>
      </c>
      <c r="J17" s="20">
        <v>0</v>
      </c>
      <c r="K17" s="28">
        <f t="shared" ref="K17" si="7">IFERROR(J17/I17,0)</f>
        <v>0</v>
      </c>
      <c r="L17" s="18">
        <f t="shared" ref="L17" si="8">E17+I17</f>
        <v>0</v>
      </c>
      <c r="M17" s="22">
        <f t="shared" si="0"/>
        <v>0</v>
      </c>
      <c r="N17" s="23">
        <f t="shared" si="5"/>
        <v>0</v>
      </c>
      <c r="O17" s="29">
        <v>0</v>
      </c>
      <c r="P17" s="172"/>
      <c r="Q17" s="26"/>
      <c r="S17" s="26"/>
      <c r="T17" s="38"/>
    </row>
    <row r="18" spans="1:20" ht="24" customHeight="1">
      <c r="A18" s="81">
        <v>14</v>
      </c>
      <c r="B18" s="31" t="s">
        <v>26</v>
      </c>
      <c r="C18" s="17">
        <v>15231.7</v>
      </c>
      <c r="D18" s="17">
        <v>15234.3</v>
      </c>
      <c r="E18" s="17">
        <f t="shared" si="1"/>
        <v>2.5999999999985448</v>
      </c>
      <c r="F18" s="32">
        <v>100</v>
      </c>
      <c r="G18" s="10">
        <f>IFERROR(F18/E18,0)</f>
        <v>38.461538461559989</v>
      </c>
      <c r="H18" s="17">
        <v>15234.3</v>
      </c>
      <c r="I18" s="19">
        <f>H18-D18</f>
        <v>0</v>
      </c>
      <c r="J18" s="20">
        <v>0</v>
      </c>
      <c r="K18" s="28">
        <f>IFERROR(J18/I18,0)</f>
        <v>0</v>
      </c>
      <c r="L18" s="18">
        <f>E18+I18</f>
        <v>2.5999999999985448</v>
      </c>
      <c r="M18" s="22">
        <f>F18+J18</f>
        <v>100</v>
      </c>
      <c r="N18" s="23">
        <f t="shared" si="5"/>
        <v>38.461538461559989</v>
      </c>
      <c r="O18" s="29">
        <v>0</v>
      </c>
      <c r="P18" s="37"/>
      <c r="Q18" s="26"/>
      <c r="S18" s="26"/>
      <c r="T18" s="38"/>
    </row>
    <row r="19" spans="1:20" ht="24" customHeight="1">
      <c r="A19" s="196" t="s">
        <v>28</v>
      </c>
      <c r="B19" s="197"/>
      <c r="C19" s="39"/>
      <c r="D19" s="39"/>
      <c r="E19" s="40">
        <f>SUM(E7:E18)</f>
        <v>2.5999999999985448</v>
      </c>
      <c r="F19" s="41">
        <f>SUM(F5:F18)</f>
        <v>100</v>
      </c>
      <c r="G19" s="39"/>
      <c r="H19" s="39"/>
      <c r="I19" s="40">
        <f>SUM(I7:I18)</f>
        <v>91.82999999999447</v>
      </c>
      <c r="J19" s="41">
        <f>SUM(J5:J18)</f>
        <v>3521.19</v>
      </c>
      <c r="K19" s="28">
        <f>IFERROR(J19/I19,0)</f>
        <v>38.34465860830025</v>
      </c>
      <c r="L19" s="42">
        <f>SUM(L7:L18)</f>
        <v>94.429999999993015</v>
      </c>
      <c r="M19" s="43">
        <f>SUM(M5:M18)</f>
        <v>3621.19</v>
      </c>
      <c r="N19" s="23">
        <f>IFERROR(M19/L19,0)</f>
        <v>38.347876734091578</v>
      </c>
      <c r="O19" s="44">
        <f>SUM(O5:O18)</f>
        <v>1365</v>
      </c>
      <c r="P19" s="45"/>
      <c r="S19" s="26"/>
    </row>
    <row r="20" spans="1:20" ht="18" customHeight="1" thickBot="1">
      <c r="A20" s="206" t="s">
        <v>29</v>
      </c>
      <c r="B20" s="207"/>
      <c r="C20" s="207"/>
      <c r="D20" s="207"/>
      <c r="E20" s="207"/>
      <c r="F20" s="207"/>
      <c r="G20" s="207"/>
      <c r="H20" s="207"/>
      <c r="I20" s="207"/>
      <c r="J20" s="207"/>
      <c r="K20" s="207"/>
      <c r="L20" s="208"/>
      <c r="M20" s="46"/>
      <c r="N20" s="47"/>
      <c r="O20" s="37"/>
    </row>
    <row r="21" spans="1:20" ht="22.8" customHeight="1">
      <c r="A21" s="209" t="s">
        <v>3</v>
      </c>
      <c r="B21" s="211" t="s">
        <v>4</v>
      </c>
      <c r="C21" s="234" t="s">
        <v>5</v>
      </c>
      <c r="D21" s="234"/>
      <c r="E21" s="234"/>
      <c r="F21" s="234"/>
      <c r="G21" s="234"/>
      <c r="H21" s="235" t="s">
        <v>6</v>
      </c>
      <c r="I21" s="235"/>
      <c r="J21" s="235"/>
      <c r="K21" s="235"/>
      <c r="L21" s="48"/>
      <c r="M21" s="219" t="s">
        <v>7</v>
      </c>
      <c r="N21" s="194" t="s">
        <v>8</v>
      </c>
      <c r="O21" s="37"/>
    </row>
    <row r="22" spans="1:20" s="51" customFormat="1" ht="24" customHeight="1" thickBot="1">
      <c r="A22" s="210"/>
      <c r="B22" s="212"/>
      <c r="C22" s="49" t="s">
        <v>11</v>
      </c>
      <c r="D22" s="49" t="s">
        <v>12</v>
      </c>
      <c r="E22" s="49" t="s">
        <v>13</v>
      </c>
      <c r="F22" s="2" t="s">
        <v>14</v>
      </c>
      <c r="G22" s="2" t="s">
        <v>8</v>
      </c>
      <c r="H22" s="49" t="s">
        <v>12</v>
      </c>
      <c r="I22" s="49" t="s">
        <v>13</v>
      </c>
      <c r="J22" s="49" t="s">
        <v>14</v>
      </c>
      <c r="K22" s="7" t="s">
        <v>8</v>
      </c>
      <c r="L22" s="50" t="s">
        <v>15</v>
      </c>
      <c r="M22" s="220"/>
      <c r="N22" s="195"/>
      <c r="O22" s="37"/>
      <c r="Q22"/>
      <c r="R22"/>
      <c r="S22"/>
      <c r="T22"/>
    </row>
    <row r="23" spans="1:20" s="51" customFormat="1" ht="24" customHeight="1">
      <c r="A23" s="27">
        <v>1</v>
      </c>
      <c r="B23" s="52" t="s">
        <v>30</v>
      </c>
      <c r="C23" s="6">
        <v>18921.900000000001</v>
      </c>
      <c r="D23" s="6">
        <v>18929.099999999999</v>
      </c>
      <c r="E23" s="53">
        <f>D23-C23</f>
        <v>7.1999999999970896</v>
      </c>
      <c r="F23" s="54">
        <v>99</v>
      </c>
      <c r="G23" s="55">
        <f>IFERROR(F23/E23,0)</f>
        <v>13.750000000005558</v>
      </c>
      <c r="H23" s="6">
        <v>18929.099999999999</v>
      </c>
      <c r="I23" s="56">
        <f>H23-D23</f>
        <v>0</v>
      </c>
      <c r="J23" s="54">
        <v>0</v>
      </c>
      <c r="K23" s="57">
        <f>IFERROR(J23/I23,0)</f>
        <v>0</v>
      </c>
      <c r="L23" s="58">
        <f>E23+I23</f>
        <v>7.1999999999970896</v>
      </c>
      <c r="M23" s="59">
        <f t="shared" ref="M23:M24" si="9">F23+J23</f>
        <v>99</v>
      </c>
      <c r="N23" s="60">
        <f>IFERROR(M23/L23,0)</f>
        <v>13.750000000005558</v>
      </c>
      <c r="O23" s="61"/>
      <c r="Q23"/>
      <c r="R23"/>
      <c r="S23"/>
      <c r="T23"/>
    </row>
    <row r="24" spans="1:20" ht="24" customHeight="1">
      <c r="A24" s="62">
        <v>2</v>
      </c>
      <c r="B24" s="52" t="s">
        <v>31</v>
      </c>
      <c r="C24" s="63">
        <v>11299.5</v>
      </c>
      <c r="D24" s="63">
        <v>11307.1</v>
      </c>
      <c r="E24" s="53">
        <f>D24-C24</f>
        <v>7.6000000000003638</v>
      </c>
      <c r="F24" s="54">
        <v>105</v>
      </c>
      <c r="G24" s="55">
        <f>IFERROR(F24/E24,0)</f>
        <v>13.81578947368355</v>
      </c>
      <c r="H24" s="63">
        <v>11310.9</v>
      </c>
      <c r="I24" s="64">
        <f>H24-D24</f>
        <v>3.7999999999992724</v>
      </c>
      <c r="J24" s="54">
        <v>73</v>
      </c>
      <c r="K24" s="57">
        <f>IFERROR(J24/I24,0)</f>
        <v>19.210526315793153</v>
      </c>
      <c r="L24" s="58">
        <f>E24+I24</f>
        <v>11.399999999999636</v>
      </c>
      <c r="M24" s="59">
        <f t="shared" si="9"/>
        <v>178</v>
      </c>
      <c r="N24" s="60">
        <f>IFERROR(M24/L24,0)</f>
        <v>15.614035087719797</v>
      </c>
      <c r="O24" s="65"/>
    </row>
    <row r="25" spans="1:20" ht="24" customHeight="1" thickBot="1">
      <c r="A25" s="238" t="s">
        <v>28</v>
      </c>
      <c r="B25" s="239"/>
      <c r="C25" s="66"/>
      <c r="D25" s="66"/>
      <c r="E25" s="67">
        <f>SUM(E23:E24)</f>
        <v>14.799999999997453</v>
      </c>
      <c r="F25" s="67">
        <f>SUM(F23:F24)</f>
        <v>204</v>
      </c>
      <c r="G25" s="68"/>
      <c r="H25" s="68"/>
      <c r="I25" s="67">
        <f>SUM(I23:I24)</f>
        <v>3.7999999999992724</v>
      </c>
      <c r="J25" s="67">
        <f>SUM(J23:J24)</f>
        <v>73</v>
      </c>
      <c r="K25" s="69">
        <f>SUM(K23:K24)</f>
        <v>19.210526315793153</v>
      </c>
      <c r="L25" s="70">
        <f>SUM(L23:L24)</f>
        <v>18.599999999996726</v>
      </c>
      <c r="M25" s="43">
        <f>SUM(M23:M24)</f>
        <v>277</v>
      </c>
      <c r="N25" s="71"/>
      <c r="O25" s="37"/>
      <c r="P25" s="72"/>
    </row>
    <row r="26" spans="1:20" ht="18" customHeight="1" thickBot="1">
      <c r="A26" s="245" t="s">
        <v>32</v>
      </c>
      <c r="B26" s="246"/>
      <c r="C26" s="226"/>
      <c r="D26" s="226"/>
      <c r="E26" s="226"/>
      <c r="F26" s="226"/>
      <c r="G26" s="226"/>
      <c r="H26" s="226"/>
      <c r="I26" s="226"/>
      <c r="J26" s="226"/>
      <c r="K26" s="226"/>
      <c r="L26" s="246"/>
      <c r="M26" s="46"/>
      <c r="N26" s="47"/>
      <c r="O26" s="37"/>
    </row>
    <row r="27" spans="1:20" ht="22.8" customHeight="1">
      <c r="A27" s="209" t="s">
        <v>3</v>
      </c>
      <c r="B27" s="211" t="s">
        <v>4</v>
      </c>
      <c r="C27" s="234" t="s">
        <v>5</v>
      </c>
      <c r="D27" s="234"/>
      <c r="E27" s="234"/>
      <c r="F27" s="234"/>
      <c r="G27" s="234"/>
      <c r="H27" s="235" t="s">
        <v>6</v>
      </c>
      <c r="I27" s="235"/>
      <c r="J27" s="235"/>
      <c r="K27" s="235"/>
      <c r="L27" s="48"/>
      <c r="M27" s="219" t="s">
        <v>7</v>
      </c>
      <c r="N27" s="194" t="s">
        <v>8</v>
      </c>
      <c r="O27" s="37"/>
      <c r="S27" s="51"/>
    </row>
    <row r="28" spans="1:20" ht="24" customHeight="1">
      <c r="A28" s="247"/>
      <c r="B28" s="248"/>
      <c r="C28" s="6" t="s">
        <v>11</v>
      </c>
      <c r="D28" s="6" t="s">
        <v>12</v>
      </c>
      <c r="E28" s="6" t="s">
        <v>13</v>
      </c>
      <c r="F28" s="6" t="s">
        <v>14</v>
      </c>
      <c r="G28" s="6" t="s">
        <v>8</v>
      </c>
      <c r="H28" s="6" t="s">
        <v>12</v>
      </c>
      <c r="I28" s="6" t="s">
        <v>13</v>
      </c>
      <c r="J28" s="6" t="s">
        <v>14</v>
      </c>
      <c r="K28" s="7" t="s">
        <v>8</v>
      </c>
      <c r="L28" s="73" t="s">
        <v>15</v>
      </c>
      <c r="M28" s="236"/>
      <c r="N28" s="237"/>
      <c r="O28" s="61"/>
      <c r="P28" s="74"/>
      <c r="S28" s="51"/>
      <c r="T28" s="75"/>
    </row>
    <row r="29" spans="1:20" ht="24" customHeight="1">
      <c r="A29" s="76">
        <v>1</v>
      </c>
      <c r="B29" s="31" t="s">
        <v>33</v>
      </c>
      <c r="C29" s="35">
        <v>21728.9</v>
      </c>
      <c r="D29" s="35">
        <v>21746.2</v>
      </c>
      <c r="E29" s="35">
        <f>D29-C29</f>
        <v>17.299999999999272</v>
      </c>
      <c r="F29" s="33">
        <v>202</v>
      </c>
      <c r="G29" s="10">
        <f t="shared" ref="G29:G33" si="10">IFERROR(F29/E29,0)</f>
        <v>11.676300578035173</v>
      </c>
      <c r="H29" s="35">
        <v>21754.5</v>
      </c>
      <c r="I29" s="56">
        <f>H29-D29</f>
        <v>8.2999999999992724</v>
      </c>
      <c r="J29" s="33">
        <v>221.31</v>
      </c>
      <c r="K29" s="28">
        <f t="shared" ref="K29:K33" si="11">IFERROR(J29/I29,0)</f>
        <v>26.663855421689085</v>
      </c>
      <c r="L29" s="84">
        <f t="shared" ref="L29:M33" si="12">E29+I29</f>
        <v>25.599999999998545</v>
      </c>
      <c r="M29" s="79">
        <f t="shared" si="12"/>
        <v>423.31</v>
      </c>
      <c r="N29" s="34">
        <f>IFERROR(M29/L29,0)</f>
        <v>16.535546875000939</v>
      </c>
      <c r="O29" s="37"/>
    </row>
    <row r="30" spans="1:20" ht="24" customHeight="1">
      <c r="A30" s="76">
        <v>2</v>
      </c>
      <c r="B30" s="31" t="s">
        <v>34</v>
      </c>
      <c r="C30" s="35">
        <v>21191.9</v>
      </c>
      <c r="D30" s="35">
        <v>21202.9</v>
      </c>
      <c r="E30" s="35">
        <f>D30-C30</f>
        <v>11</v>
      </c>
      <c r="F30" s="33">
        <v>222</v>
      </c>
      <c r="G30" s="10">
        <f t="shared" si="10"/>
        <v>20.181818181818183</v>
      </c>
      <c r="H30" s="35">
        <v>21207.200000000001</v>
      </c>
      <c r="I30" s="56">
        <f>H30-D30</f>
        <v>4.2999999999992724</v>
      </c>
      <c r="J30" s="33">
        <v>109.95</v>
      </c>
      <c r="K30" s="28">
        <f>IFERROR(J30/I30,0)</f>
        <v>25.569767441864791</v>
      </c>
      <c r="L30" s="18">
        <f t="shared" si="12"/>
        <v>15.299999999999272</v>
      </c>
      <c r="M30" s="22">
        <f t="shared" si="12"/>
        <v>331.95</v>
      </c>
      <c r="N30" s="23">
        <f>IFERROR(M30/L30,0)</f>
        <v>21.696078431373579</v>
      </c>
      <c r="O30" s="37"/>
    </row>
    <row r="31" spans="1:20" ht="24" customHeight="1">
      <c r="A31" s="76">
        <v>3</v>
      </c>
      <c r="B31" s="31" t="s">
        <v>35</v>
      </c>
      <c r="C31" s="35">
        <v>8982.1</v>
      </c>
      <c r="D31" s="35">
        <v>8985.9</v>
      </c>
      <c r="E31" s="17">
        <f t="shared" ref="E31:E33" si="13">D31-C31</f>
        <v>3.7999999999992724</v>
      </c>
      <c r="F31" s="33">
        <v>63</v>
      </c>
      <c r="G31" s="10">
        <f t="shared" si="10"/>
        <v>16.578947368424227</v>
      </c>
      <c r="H31" s="35">
        <v>8989.9</v>
      </c>
      <c r="I31" s="19">
        <f>H31-D31</f>
        <v>4</v>
      </c>
      <c r="J31" s="33">
        <v>65.44</v>
      </c>
      <c r="K31" s="28">
        <f t="shared" si="11"/>
        <v>16.36</v>
      </c>
      <c r="L31" s="18">
        <f t="shared" si="12"/>
        <v>7.7999999999992724</v>
      </c>
      <c r="M31" s="22">
        <f t="shared" si="12"/>
        <v>128.44</v>
      </c>
      <c r="N31" s="23">
        <f>IFERROR(M31/L31,0)</f>
        <v>16.466666666668203</v>
      </c>
      <c r="O31" s="77"/>
    </row>
    <row r="32" spans="1:20" ht="24.6" customHeight="1">
      <c r="A32" s="76">
        <v>4</v>
      </c>
      <c r="B32" s="31" t="s">
        <v>36</v>
      </c>
      <c r="C32" s="35">
        <v>3477.2</v>
      </c>
      <c r="D32" s="35">
        <v>3484.6</v>
      </c>
      <c r="E32" s="17">
        <f t="shared" si="13"/>
        <v>7.4000000000000909</v>
      </c>
      <c r="F32" s="33">
        <v>143</v>
      </c>
      <c r="G32" s="78">
        <f t="shared" si="10"/>
        <v>19.324324324324088</v>
      </c>
      <c r="H32" s="35">
        <v>3491.2</v>
      </c>
      <c r="I32" s="19">
        <f t="shared" ref="I32:I33" si="14">H32-D32</f>
        <v>6.5999999999999091</v>
      </c>
      <c r="J32" s="33">
        <v>165.31</v>
      </c>
      <c r="K32" s="28">
        <f t="shared" si="11"/>
        <v>25.046969696970041</v>
      </c>
      <c r="L32" s="18">
        <f t="shared" si="12"/>
        <v>14</v>
      </c>
      <c r="M32" s="79">
        <f t="shared" si="12"/>
        <v>308.31</v>
      </c>
      <c r="N32" s="23">
        <f>IFERROR(M32/L32,0)</f>
        <v>22.022142857142857</v>
      </c>
      <c r="O32" s="80"/>
    </row>
    <row r="33" spans="1:19" ht="24.6" customHeight="1">
      <c r="A33" s="76">
        <v>5</v>
      </c>
      <c r="B33" s="31" t="s">
        <v>37</v>
      </c>
      <c r="C33" s="35">
        <v>809.4</v>
      </c>
      <c r="D33" s="35">
        <v>819</v>
      </c>
      <c r="E33" s="17">
        <f t="shared" si="13"/>
        <v>9.6000000000000227</v>
      </c>
      <c r="F33" s="33">
        <v>254</v>
      </c>
      <c r="G33" s="78">
        <f t="shared" si="10"/>
        <v>26.458333333333272</v>
      </c>
      <c r="H33" s="35">
        <v>823.2</v>
      </c>
      <c r="I33" s="19">
        <f t="shared" si="14"/>
        <v>4.2000000000000455</v>
      </c>
      <c r="J33" s="33">
        <v>122.06</v>
      </c>
      <c r="K33" s="28">
        <f t="shared" si="11"/>
        <v>29.061904761904447</v>
      </c>
      <c r="L33" s="18">
        <f t="shared" si="12"/>
        <v>13.800000000000068</v>
      </c>
      <c r="M33" s="79">
        <f t="shared" si="12"/>
        <v>376.06</v>
      </c>
      <c r="N33" s="23">
        <f>IFERROR(M33/L33,0)</f>
        <v>27.250724637681024</v>
      </c>
      <c r="O33" s="80"/>
    </row>
    <row r="34" spans="1:19" ht="22.8" customHeight="1" thickBot="1">
      <c r="A34" s="238" t="s">
        <v>28</v>
      </c>
      <c r="B34" s="239"/>
      <c r="C34" s="66"/>
      <c r="D34" s="66"/>
      <c r="E34" s="67">
        <f>SUM(E29:E33)</f>
        <v>49.099999999998658</v>
      </c>
      <c r="F34" s="67">
        <f>SUM(F29:F33)</f>
        <v>884</v>
      </c>
      <c r="G34" s="68"/>
      <c r="H34" s="68"/>
      <c r="I34" s="67">
        <f>SUM(I29:I33)</f>
        <v>27.399999999998499</v>
      </c>
      <c r="J34" s="67">
        <f>SUM(J29:J33)</f>
        <v>684.06999999999994</v>
      </c>
      <c r="K34" s="69">
        <f>SUM(K29:K33)</f>
        <v>122.70249732242836</v>
      </c>
      <c r="L34" s="70">
        <f>SUM(L29:L33)</f>
        <v>76.499999999997158</v>
      </c>
      <c r="M34" s="43">
        <f>SUM(M29:M33)</f>
        <v>1568.07</v>
      </c>
      <c r="N34" s="71">
        <f>IFERROR(M34/K34,0)</f>
        <v>12.779446500420802</v>
      </c>
      <c r="O34" s="37"/>
      <c r="P34" s="72"/>
      <c r="S34" s="51"/>
    </row>
    <row r="35" spans="1:19" ht="24" customHeight="1">
      <c r="A35" s="240" t="s">
        <v>38</v>
      </c>
      <c r="B35" s="241"/>
      <c r="C35" s="241"/>
      <c r="D35" s="241"/>
      <c r="E35" s="241"/>
      <c r="F35" s="241"/>
      <c r="G35" s="241"/>
      <c r="H35" s="241"/>
      <c r="I35" s="241"/>
      <c r="J35" s="241"/>
      <c r="K35" s="241"/>
      <c r="L35" s="242"/>
      <c r="M35" s="46"/>
      <c r="N35" s="47"/>
      <c r="O35" s="61"/>
      <c r="S35" s="51"/>
    </row>
    <row r="36" spans="1:19" ht="24" customHeight="1">
      <c r="A36" s="243" t="s">
        <v>3</v>
      </c>
      <c r="B36" s="243" t="s">
        <v>4</v>
      </c>
      <c r="C36" s="213" t="s">
        <v>5</v>
      </c>
      <c r="D36" s="214"/>
      <c r="E36" s="214"/>
      <c r="F36" s="214"/>
      <c r="G36" s="215"/>
      <c r="H36" s="216" t="s">
        <v>6</v>
      </c>
      <c r="I36" s="217"/>
      <c r="J36" s="217"/>
      <c r="K36" s="218"/>
      <c r="L36" s="5"/>
      <c r="M36" s="221" t="s">
        <v>7</v>
      </c>
      <c r="N36" s="222" t="s">
        <v>8</v>
      </c>
      <c r="O36" s="37"/>
    </row>
    <row r="37" spans="1:19" ht="24" customHeight="1">
      <c r="A37" s="244"/>
      <c r="B37" s="244"/>
      <c r="C37" s="2" t="s">
        <v>11</v>
      </c>
      <c r="D37" s="2" t="s">
        <v>12</v>
      </c>
      <c r="E37" s="2" t="s">
        <v>13</v>
      </c>
      <c r="F37" s="2" t="s">
        <v>14</v>
      </c>
      <c r="G37" s="2" t="s">
        <v>8</v>
      </c>
      <c r="H37" s="2" t="s">
        <v>12</v>
      </c>
      <c r="I37" s="2" t="s">
        <v>13</v>
      </c>
      <c r="J37" s="2" t="s">
        <v>14</v>
      </c>
      <c r="K37" s="82" t="s">
        <v>8</v>
      </c>
      <c r="L37" s="12" t="s">
        <v>15</v>
      </c>
      <c r="M37" s="221"/>
      <c r="N37" s="222"/>
      <c r="O37" s="37"/>
    </row>
    <row r="38" spans="1:19" ht="24" customHeight="1">
      <c r="A38" s="76">
        <v>1</v>
      </c>
      <c r="B38" s="31" t="s">
        <v>39</v>
      </c>
      <c r="C38" s="83">
        <v>16654.2</v>
      </c>
      <c r="D38" s="83">
        <v>16654.2</v>
      </c>
      <c r="E38" s="35">
        <f>D38-C38</f>
        <v>0</v>
      </c>
      <c r="F38" s="33">
        <v>0</v>
      </c>
      <c r="G38" s="78">
        <f t="shared" ref="G38:G39" si="15">IFERROR(F38/E38,0)</f>
        <v>0</v>
      </c>
      <c r="H38" s="83">
        <v>16662.7</v>
      </c>
      <c r="I38" s="56">
        <f>H38-D38</f>
        <v>8.5</v>
      </c>
      <c r="J38" s="33">
        <v>130.22</v>
      </c>
      <c r="K38" s="28">
        <f>IFERROR(J38/I38,0)</f>
        <v>15.32</v>
      </c>
      <c r="L38" s="84">
        <f t="shared" ref="L38:L39" si="16">E38+I38</f>
        <v>8.5</v>
      </c>
      <c r="M38" s="79">
        <f>F38+J38</f>
        <v>130.22</v>
      </c>
      <c r="N38" s="34">
        <f>IFERROR(M38/L38,0)</f>
        <v>15.32</v>
      </c>
      <c r="O38" s="37"/>
    </row>
    <row r="39" spans="1:19" ht="27" customHeight="1">
      <c r="A39" s="76">
        <v>2</v>
      </c>
      <c r="B39" s="31" t="s">
        <v>40</v>
      </c>
      <c r="C39" s="35">
        <v>4518.7</v>
      </c>
      <c r="D39" s="35">
        <v>4527.7</v>
      </c>
      <c r="E39" s="17">
        <f>D39-C39</f>
        <v>9</v>
      </c>
      <c r="F39" s="33">
        <v>170</v>
      </c>
      <c r="G39" s="10">
        <f t="shared" si="15"/>
        <v>18.888888888888889</v>
      </c>
      <c r="H39" s="35">
        <v>4534.2</v>
      </c>
      <c r="I39" s="19">
        <f>H39-D39</f>
        <v>6.5</v>
      </c>
      <c r="J39" s="33">
        <v>134.06</v>
      </c>
      <c r="K39" s="28">
        <f>IFERROR(J39/I39,0)</f>
        <v>20.624615384615385</v>
      </c>
      <c r="L39" s="18">
        <f t="shared" si="16"/>
        <v>15.5</v>
      </c>
      <c r="M39" s="22">
        <f>F39+J39</f>
        <v>304.06</v>
      </c>
      <c r="N39" s="23">
        <f>IFERROR(M39/L39,0)</f>
        <v>19.616774193548387</v>
      </c>
      <c r="O39" s="37"/>
      <c r="S39" s="51"/>
    </row>
    <row r="40" spans="1:19" ht="22.8" customHeight="1" thickBot="1">
      <c r="A40" s="196" t="s">
        <v>28</v>
      </c>
      <c r="B40" s="233"/>
      <c r="C40" s="68"/>
      <c r="D40" s="66"/>
      <c r="E40" s="67">
        <f>SUM(E38:E39)</f>
        <v>9</v>
      </c>
      <c r="F40" s="67">
        <f>SUM(F38:F39:F39)</f>
        <v>170</v>
      </c>
      <c r="G40" s="68"/>
      <c r="H40" s="68"/>
      <c r="I40" s="67">
        <f>SUM(I38:I39)</f>
        <v>15</v>
      </c>
      <c r="J40" s="67">
        <f>SUM(J38:J39)</f>
        <v>264.27999999999997</v>
      </c>
      <c r="K40" s="69">
        <f>SUM(K38:K39)</f>
        <v>35.944615384615389</v>
      </c>
      <c r="L40" s="70">
        <f>SUM(L38:L39)</f>
        <v>24</v>
      </c>
      <c r="M40" s="43">
        <f>SUM(M38:M39)</f>
        <v>434.28</v>
      </c>
      <c r="N40" s="71">
        <f>IFERROR(M40/K40,0)</f>
        <v>12.081920903954799</v>
      </c>
      <c r="O40" s="37"/>
      <c r="P40" s="72"/>
      <c r="S40" s="51"/>
    </row>
    <row r="41" spans="1:19" ht="24" customHeight="1">
      <c r="A41" s="225" t="s">
        <v>41</v>
      </c>
      <c r="B41" s="226"/>
      <c r="C41" s="226"/>
      <c r="D41" s="226"/>
      <c r="E41" s="226"/>
      <c r="F41" s="226"/>
      <c r="G41" s="226"/>
      <c r="H41" s="226"/>
      <c r="I41" s="226"/>
      <c r="J41" s="226"/>
      <c r="K41" s="226"/>
      <c r="L41" s="226"/>
      <c r="M41" s="46"/>
      <c r="N41" s="47"/>
      <c r="O41" s="61"/>
    </row>
    <row r="42" spans="1:19" ht="24" customHeight="1">
      <c r="A42" s="222" t="s">
        <v>3</v>
      </c>
      <c r="B42" s="222" t="s">
        <v>4</v>
      </c>
      <c r="C42" s="234" t="s">
        <v>5</v>
      </c>
      <c r="D42" s="234"/>
      <c r="E42" s="234"/>
      <c r="F42" s="234"/>
      <c r="G42" s="234"/>
      <c r="H42" s="235" t="s">
        <v>6</v>
      </c>
      <c r="I42" s="235"/>
      <c r="J42" s="235"/>
      <c r="K42" s="235"/>
      <c r="L42" s="5"/>
      <c r="M42" s="221" t="s">
        <v>7</v>
      </c>
      <c r="N42" s="222" t="s">
        <v>8</v>
      </c>
      <c r="O42" s="37"/>
    </row>
    <row r="43" spans="1:19" ht="25.8" customHeight="1">
      <c r="A43" s="222"/>
      <c r="B43" s="222"/>
      <c r="C43" s="2" t="s">
        <v>11</v>
      </c>
      <c r="D43" s="2" t="s">
        <v>12</v>
      </c>
      <c r="E43" s="2" t="s">
        <v>13</v>
      </c>
      <c r="F43" s="2" t="s">
        <v>14</v>
      </c>
      <c r="G43" s="2" t="s">
        <v>8</v>
      </c>
      <c r="H43" s="2" t="s">
        <v>12</v>
      </c>
      <c r="I43" s="2" t="s">
        <v>13</v>
      </c>
      <c r="J43" s="2" t="s">
        <v>14</v>
      </c>
      <c r="K43" s="82" t="s">
        <v>8</v>
      </c>
      <c r="L43" s="12" t="s">
        <v>15</v>
      </c>
      <c r="M43" s="221"/>
      <c r="N43" s="222"/>
      <c r="O43" s="37"/>
    </row>
    <row r="44" spans="1:19" ht="25.8" customHeight="1">
      <c r="A44" s="5">
        <v>1</v>
      </c>
      <c r="B44" s="85" t="s">
        <v>186</v>
      </c>
      <c r="C44" s="2">
        <v>0</v>
      </c>
      <c r="D44" s="2">
        <v>0</v>
      </c>
      <c r="E44" s="20">
        <f>D44-C44</f>
        <v>0</v>
      </c>
      <c r="F44" s="2">
        <v>0</v>
      </c>
      <c r="G44" s="10">
        <f t="shared" ref="G44:G46" si="17">IFERROR(F44/E44,0)</f>
        <v>0</v>
      </c>
      <c r="H44" s="2">
        <v>0</v>
      </c>
      <c r="I44" s="86">
        <f>H44-D44</f>
        <v>0</v>
      </c>
      <c r="J44" s="2">
        <v>0</v>
      </c>
      <c r="K44" s="28">
        <f>IFERROR(J44/I44,0)</f>
        <v>0</v>
      </c>
      <c r="L44" s="18">
        <f>E44+I44</f>
        <v>0</v>
      </c>
      <c r="M44" s="22">
        <f>F44+J44</f>
        <v>0</v>
      </c>
      <c r="N44" s="23">
        <f>IFERROR(M44/L44,0)</f>
        <v>0</v>
      </c>
      <c r="O44" s="37"/>
    </row>
    <row r="45" spans="1:19" ht="24.6" customHeight="1">
      <c r="A45" s="76">
        <v>2</v>
      </c>
      <c r="B45" s="85" t="s">
        <v>42</v>
      </c>
      <c r="C45" s="33">
        <v>8715.7000000000007</v>
      </c>
      <c r="D45" s="33">
        <v>8715.7000000000007</v>
      </c>
      <c r="E45" s="20">
        <f>D45-C45</f>
        <v>0</v>
      </c>
      <c r="F45" s="33">
        <v>0</v>
      </c>
      <c r="G45" s="10">
        <f t="shared" si="17"/>
        <v>0</v>
      </c>
      <c r="H45" s="33">
        <v>8726.9</v>
      </c>
      <c r="I45" s="86">
        <f>H45-D45</f>
        <v>11.199999999998909</v>
      </c>
      <c r="J45" s="2">
        <f>151.07+267.65</f>
        <v>418.71999999999997</v>
      </c>
      <c r="K45" s="28">
        <f>IFERROR(J45/I45,0)</f>
        <v>37.385714285717924</v>
      </c>
      <c r="L45" s="18">
        <f>E45+I45</f>
        <v>11.199999999998909</v>
      </c>
      <c r="M45" s="22">
        <f>F45+J45</f>
        <v>418.71999999999997</v>
      </c>
      <c r="N45" s="23">
        <f>IFERROR(M45/L45,0)</f>
        <v>37.385714285717924</v>
      </c>
      <c r="O45" s="87"/>
      <c r="S45" s="51"/>
    </row>
    <row r="46" spans="1:19" ht="22.8" customHeight="1">
      <c r="A46" s="76">
        <v>3</v>
      </c>
      <c r="B46" s="85" t="s">
        <v>43</v>
      </c>
      <c r="C46" s="33">
        <v>1677.1</v>
      </c>
      <c r="D46" s="33">
        <v>1677.1</v>
      </c>
      <c r="E46" s="20">
        <f>D46-C46</f>
        <v>0</v>
      </c>
      <c r="F46" s="33">
        <v>0</v>
      </c>
      <c r="G46" s="10">
        <f t="shared" si="17"/>
        <v>0</v>
      </c>
      <c r="H46" s="33">
        <v>1686</v>
      </c>
      <c r="I46" s="86">
        <f>H46-D46</f>
        <v>8.9000000000000909</v>
      </c>
      <c r="J46" s="2">
        <f>83.41+229.51</f>
        <v>312.91999999999996</v>
      </c>
      <c r="K46" s="28">
        <f>IFERROR(J46/I46,0)</f>
        <v>35.159550561797388</v>
      </c>
      <c r="L46" s="18">
        <f>E46+I46</f>
        <v>8.9000000000000909</v>
      </c>
      <c r="M46" s="22">
        <f t="shared" ref="M46" si="18">F46+J46</f>
        <v>312.91999999999996</v>
      </c>
      <c r="N46" s="23">
        <f>IFERROR(M46/L46,0)</f>
        <v>35.159550561797388</v>
      </c>
      <c r="O46" s="87"/>
      <c r="P46" s="88"/>
      <c r="Q46" s="89"/>
    </row>
    <row r="47" spans="1:19" ht="24" customHeight="1" thickBot="1">
      <c r="A47" s="223" t="s">
        <v>28</v>
      </c>
      <c r="B47" s="224"/>
      <c r="C47" s="90"/>
      <c r="D47" s="90"/>
      <c r="E47" s="91">
        <f>SUM(E45:E46)</f>
        <v>0</v>
      </c>
      <c r="F47" s="91">
        <f>SUM(F45:F46)</f>
        <v>0</v>
      </c>
      <c r="G47" s="92"/>
      <c r="H47" s="92"/>
      <c r="I47" s="91">
        <f>SUM(I44:I46)</f>
        <v>20.099999999999</v>
      </c>
      <c r="J47" s="91">
        <f>SUM(J44:J46)</f>
        <v>731.63999999999987</v>
      </c>
      <c r="K47" s="93">
        <f>SUM(K44:K46)</f>
        <v>72.545264847515313</v>
      </c>
      <c r="L47" s="94">
        <f>SUM(L44:L46)</f>
        <v>20.099999999999</v>
      </c>
      <c r="M47" s="95">
        <f>SUM(M44:M46)</f>
        <v>731.63999999999987</v>
      </c>
      <c r="N47" s="96">
        <f>M47/L47</f>
        <v>36.400000000001803</v>
      </c>
      <c r="O47" s="37"/>
      <c r="P47" s="97"/>
      <c r="Q47" s="89"/>
    </row>
    <row r="48" spans="1:19" ht="24" customHeight="1">
      <c r="A48" s="225" t="s">
        <v>44</v>
      </c>
      <c r="B48" s="226"/>
      <c r="C48" s="226"/>
      <c r="D48" s="226"/>
      <c r="E48" s="226"/>
      <c r="F48" s="226"/>
      <c r="G48" s="226"/>
      <c r="H48" s="226"/>
      <c r="I48" s="226"/>
      <c r="J48" s="226"/>
      <c r="K48" s="226"/>
      <c r="L48" s="226"/>
      <c r="M48" s="98"/>
      <c r="N48" s="99"/>
      <c r="O48" s="37"/>
      <c r="P48" s="100"/>
      <c r="Q48" s="100"/>
    </row>
    <row r="49" spans="1:27" ht="24" customHeight="1">
      <c r="A49" s="222" t="s">
        <v>3</v>
      </c>
      <c r="B49" s="222" t="s">
        <v>4</v>
      </c>
      <c r="C49" s="227" t="s">
        <v>5</v>
      </c>
      <c r="D49" s="228"/>
      <c r="E49" s="228"/>
      <c r="F49" s="228"/>
      <c r="G49" s="228"/>
      <c r="H49" s="229"/>
      <c r="I49" s="230" t="s">
        <v>6</v>
      </c>
      <c r="J49" s="231"/>
      <c r="K49" s="231"/>
      <c r="L49" s="231"/>
      <c r="M49" s="231"/>
      <c r="N49" s="232"/>
      <c r="O49" s="201" t="s">
        <v>45</v>
      </c>
      <c r="P49" s="203" t="s">
        <v>46</v>
      </c>
      <c r="Q49" s="203" t="s">
        <v>47</v>
      </c>
      <c r="R49" s="205" t="s">
        <v>48</v>
      </c>
      <c r="Z49" s="101"/>
    </row>
    <row r="50" spans="1:27" ht="33" customHeight="1">
      <c r="A50" s="222"/>
      <c r="B50" s="222"/>
      <c r="C50" s="2" t="s">
        <v>49</v>
      </c>
      <c r="D50" s="2" t="s">
        <v>50</v>
      </c>
      <c r="E50" s="2" t="s">
        <v>51</v>
      </c>
      <c r="F50" s="102" t="s">
        <v>11</v>
      </c>
      <c r="G50" s="2" t="s">
        <v>14</v>
      </c>
      <c r="H50" s="2" t="s">
        <v>8</v>
      </c>
      <c r="I50" s="2" t="s">
        <v>50</v>
      </c>
      <c r="J50" s="2" t="s">
        <v>45</v>
      </c>
      <c r="K50" s="102" t="s">
        <v>12</v>
      </c>
      <c r="L50" s="102" t="s">
        <v>15</v>
      </c>
      <c r="M50" s="2" t="s">
        <v>14</v>
      </c>
      <c r="N50" s="82" t="s">
        <v>8</v>
      </c>
      <c r="O50" s="202"/>
      <c r="P50" s="204"/>
      <c r="Q50" s="204"/>
      <c r="R50" s="205"/>
    </row>
    <row r="51" spans="1:27" ht="21" customHeight="1">
      <c r="A51" s="81">
        <v>1</v>
      </c>
      <c r="B51" s="103" t="s">
        <v>52</v>
      </c>
      <c r="C51" s="2">
        <v>279880.40000000002</v>
      </c>
      <c r="D51" s="2">
        <v>279880.40000000002</v>
      </c>
      <c r="E51" s="104">
        <f t="shared" ref="E51:E116" si="19">D51-C51</f>
        <v>0</v>
      </c>
      <c r="F51" s="105">
        <v>22170.06</v>
      </c>
      <c r="G51" s="49">
        <v>0</v>
      </c>
      <c r="H51" s="10">
        <f t="shared" ref="H51:H116" si="20">IFERROR(E51/G51,0)</f>
        <v>0</v>
      </c>
      <c r="I51" s="2">
        <v>279975.59999999998</v>
      </c>
      <c r="J51" s="106">
        <f t="shared" ref="J51:J116" si="21">I51-D51</f>
        <v>95.199999999953434</v>
      </c>
      <c r="K51" s="105">
        <v>22177.02</v>
      </c>
      <c r="L51" s="107">
        <f t="shared" ref="L51:L116" si="22">K51-F51</f>
        <v>6.9599999999991269</v>
      </c>
      <c r="M51" s="2">
        <v>127</v>
      </c>
      <c r="N51" s="28">
        <f t="shared" ref="N51:N116" si="23">IFERROR(J51/M51,0)</f>
        <v>0.74960629921223176</v>
      </c>
      <c r="O51" s="84">
        <f t="shared" ref="O51:O116" si="24">J51+E51</f>
        <v>95.199999999953434</v>
      </c>
      <c r="P51" s="79">
        <f t="shared" ref="P51:P116" si="25">G51+M51</f>
        <v>127</v>
      </c>
      <c r="Q51" s="34">
        <f t="shared" ref="Q51:Q116" si="26">IFERROR(O51/P51,0)</f>
        <v>0.74960629921223176</v>
      </c>
      <c r="R51" s="108">
        <v>28</v>
      </c>
    </row>
    <row r="52" spans="1:27" ht="21" customHeight="1">
      <c r="A52" s="81">
        <v>2</v>
      </c>
      <c r="B52" s="103" t="s">
        <v>155</v>
      </c>
      <c r="C52" s="2">
        <v>302872</v>
      </c>
      <c r="D52" s="2">
        <v>302872</v>
      </c>
      <c r="E52" s="104">
        <f t="shared" si="19"/>
        <v>0</v>
      </c>
      <c r="F52" s="105">
        <v>30618</v>
      </c>
      <c r="G52" s="49">
        <v>0</v>
      </c>
      <c r="H52" s="10">
        <f t="shared" si="20"/>
        <v>0</v>
      </c>
      <c r="I52" s="2">
        <v>302996</v>
      </c>
      <c r="J52" s="106">
        <f t="shared" si="21"/>
        <v>124</v>
      </c>
      <c r="K52" s="105">
        <v>30627</v>
      </c>
      <c r="L52" s="107">
        <f t="shared" si="22"/>
        <v>9</v>
      </c>
      <c r="M52" s="2">
        <v>175</v>
      </c>
      <c r="N52" s="28">
        <f t="shared" si="23"/>
        <v>0.70857142857142852</v>
      </c>
      <c r="O52" s="84">
        <f t="shared" si="24"/>
        <v>124</v>
      </c>
      <c r="P52" s="79">
        <f t="shared" si="25"/>
        <v>175</v>
      </c>
      <c r="Q52" s="34">
        <f t="shared" si="26"/>
        <v>0.70857142857142852</v>
      </c>
      <c r="R52" s="108">
        <v>44</v>
      </c>
    </row>
    <row r="53" spans="1:27" ht="21" customHeight="1">
      <c r="A53" s="81">
        <v>3</v>
      </c>
      <c r="B53" s="103" t="s">
        <v>171</v>
      </c>
      <c r="C53" s="2">
        <v>311833</v>
      </c>
      <c r="D53" s="2">
        <v>311833</v>
      </c>
      <c r="E53" s="104">
        <f t="shared" si="19"/>
        <v>0</v>
      </c>
      <c r="F53" s="105">
        <v>31152</v>
      </c>
      <c r="G53" s="49">
        <v>0</v>
      </c>
      <c r="H53" s="10">
        <f t="shared" si="20"/>
        <v>0</v>
      </c>
      <c r="I53" s="2">
        <v>311978</v>
      </c>
      <c r="J53" s="106">
        <f t="shared" si="21"/>
        <v>145</v>
      </c>
      <c r="K53" s="105">
        <v>31163</v>
      </c>
      <c r="L53" s="107">
        <f t="shared" si="22"/>
        <v>11</v>
      </c>
      <c r="M53" s="2">
        <v>214</v>
      </c>
      <c r="N53" s="28">
        <f t="shared" si="23"/>
        <v>0.67757009345794394</v>
      </c>
      <c r="O53" s="84">
        <f t="shared" si="24"/>
        <v>145</v>
      </c>
      <c r="P53" s="79">
        <f t="shared" si="25"/>
        <v>214</v>
      </c>
      <c r="Q53" s="34">
        <f t="shared" si="26"/>
        <v>0.67757009345794394</v>
      </c>
      <c r="R53" s="108">
        <v>31</v>
      </c>
    </row>
    <row r="54" spans="1:27" ht="21" customHeight="1">
      <c r="A54" s="81">
        <v>4</v>
      </c>
      <c r="B54" s="103" t="s">
        <v>156</v>
      </c>
      <c r="C54" s="2">
        <v>262859</v>
      </c>
      <c r="D54" s="2">
        <v>262859</v>
      </c>
      <c r="E54" s="104">
        <f t="shared" si="19"/>
        <v>0</v>
      </c>
      <c r="F54" s="105">
        <v>27849</v>
      </c>
      <c r="G54" s="49">
        <v>0</v>
      </c>
      <c r="H54" s="10">
        <f t="shared" si="20"/>
        <v>0</v>
      </c>
      <c r="I54" s="2">
        <v>262998</v>
      </c>
      <c r="J54" s="106">
        <f t="shared" si="21"/>
        <v>139</v>
      </c>
      <c r="K54" s="105">
        <v>27860</v>
      </c>
      <c r="L54" s="107">
        <f t="shared" si="22"/>
        <v>11</v>
      </c>
      <c r="M54" s="2">
        <v>199</v>
      </c>
      <c r="N54" s="28">
        <f t="shared" si="23"/>
        <v>0.69849246231155782</v>
      </c>
      <c r="O54" s="84">
        <f t="shared" si="24"/>
        <v>139</v>
      </c>
      <c r="P54" s="79">
        <f t="shared" si="25"/>
        <v>199</v>
      </c>
      <c r="Q54" s="34">
        <f t="shared" si="26"/>
        <v>0.69849246231155782</v>
      </c>
      <c r="R54" s="108">
        <v>35</v>
      </c>
    </row>
    <row r="55" spans="1:27" ht="21" customHeight="1">
      <c r="A55" s="81">
        <v>5</v>
      </c>
      <c r="B55" s="103" t="s">
        <v>157</v>
      </c>
      <c r="C55" s="2">
        <v>277971</v>
      </c>
      <c r="D55" s="2">
        <v>277971</v>
      </c>
      <c r="E55" s="104">
        <f t="shared" si="19"/>
        <v>0</v>
      </c>
      <c r="F55" s="105">
        <v>28180</v>
      </c>
      <c r="G55" s="49">
        <v>0</v>
      </c>
      <c r="H55" s="10">
        <f t="shared" si="20"/>
        <v>0</v>
      </c>
      <c r="I55" s="2">
        <v>278101</v>
      </c>
      <c r="J55" s="106">
        <f t="shared" si="21"/>
        <v>130</v>
      </c>
      <c r="K55" s="105">
        <v>28190</v>
      </c>
      <c r="L55" s="107">
        <f t="shared" si="22"/>
        <v>10</v>
      </c>
      <c r="M55" s="2">
        <v>214</v>
      </c>
      <c r="N55" s="28">
        <f t="shared" si="23"/>
        <v>0.60747663551401865</v>
      </c>
      <c r="O55" s="84">
        <f t="shared" si="24"/>
        <v>130</v>
      </c>
      <c r="P55" s="79">
        <f t="shared" si="25"/>
        <v>214</v>
      </c>
      <c r="Q55" s="34">
        <f t="shared" si="26"/>
        <v>0.60747663551401865</v>
      </c>
      <c r="R55" s="108">
        <v>29</v>
      </c>
    </row>
    <row r="56" spans="1:27" ht="21" customHeight="1">
      <c r="A56" s="81">
        <v>6</v>
      </c>
      <c r="B56" s="103" t="s">
        <v>172</v>
      </c>
      <c r="C56" s="2">
        <v>267274</v>
      </c>
      <c r="D56" s="2">
        <v>267274</v>
      </c>
      <c r="E56" s="104">
        <f t="shared" si="19"/>
        <v>0</v>
      </c>
      <c r="F56" s="105">
        <v>26448</v>
      </c>
      <c r="G56" s="49">
        <v>0</v>
      </c>
      <c r="H56" s="10">
        <f t="shared" si="20"/>
        <v>0</v>
      </c>
      <c r="I56" s="2">
        <v>267274</v>
      </c>
      <c r="J56" s="106">
        <f t="shared" si="21"/>
        <v>0</v>
      </c>
      <c r="K56" s="105">
        <v>26448</v>
      </c>
      <c r="L56" s="107">
        <f t="shared" si="22"/>
        <v>0</v>
      </c>
      <c r="M56" s="2">
        <v>0</v>
      </c>
      <c r="N56" s="28">
        <f t="shared" si="23"/>
        <v>0</v>
      </c>
      <c r="O56" s="84">
        <f t="shared" si="24"/>
        <v>0</v>
      </c>
      <c r="P56" s="79">
        <f t="shared" si="25"/>
        <v>0</v>
      </c>
      <c r="Q56" s="34">
        <f t="shared" si="26"/>
        <v>0</v>
      </c>
      <c r="R56" s="108">
        <v>11</v>
      </c>
    </row>
    <row r="57" spans="1:27" ht="21" customHeight="1">
      <c r="A57" s="81">
        <v>7</v>
      </c>
      <c r="B57" s="103" t="s">
        <v>173</v>
      </c>
      <c r="C57" s="2">
        <v>295972</v>
      </c>
      <c r="D57" s="2">
        <v>295972</v>
      </c>
      <c r="E57" s="104">
        <f t="shared" si="19"/>
        <v>0</v>
      </c>
      <c r="F57" s="105">
        <v>28802</v>
      </c>
      <c r="G57" s="49">
        <v>0</v>
      </c>
      <c r="H57" s="10">
        <f t="shared" si="20"/>
        <v>0</v>
      </c>
      <c r="I57" s="2">
        <v>295972</v>
      </c>
      <c r="J57" s="106">
        <f t="shared" si="21"/>
        <v>0</v>
      </c>
      <c r="K57" s="105">
        <v>28802</v>
      </c>
      <c r="L57" s="107">
        <f t="shared" si="22"/>
        <v>0</v>
      </c>
      <c r="M57" s="2">
        <v>0</v>
      </c>
      <c r="N57" s="28">
        <f t="shared" si="23"/>
        <v>0</v>
      </c>
      <c r="O57" s="84">
        <f t="shared" si="24"/>
        <v>0</v>
      </c>
      <c r="P57" s="79">
        <f t="shared" si="25"/>
        <v>0</v>
      </c>
      <c r="Q57" s="34">
        <f t="shared" si="26"/>
        <v>0</v>
      </c>
      <c r="R57" s="108">
        <v>0</v>
      </c>
    </row>
    <row r="58" spans="1:27" ht="24" customHeight="1">
      <c r="A58" s="81">
        <v>8</v>
      </c>
      <c r="B58" s="31" t="s">
        <v>53</v>
      </c>
      <c r="C58" s="35">
        <v>335211.40000000002</v>
      </c>
      <c r="D58" s="35">
        <v>335211.40000000002</v>
      </c>
      <c r="E58" s="104">
        <f t="shared" si="19"/>
        <v>0</v>
      </c>
      <c r="F58" s="110">
        <v>29944.57</v>
      </c>
      <c r="G58" s="111">
        <v>0</v>
      </c>
      <c r="H58" s="10">
        <f t="shared" si="20"/>
        <v>0</v>
      </c>
      <c r="I58" s="35">
        <v>335341.90000000002</v>
      </c>
      <c r="J58" s="106">
        <f t="shared" si="21"/>
        <v>130.5</v>
      </c>
      <c r="K58" s="110">
        <v>29958</v>
      </c>
      <c r="L58" s="107">
        <f t="shared" si="22"/>
        <v>13.430000000000291</v>
      </c>
      <c r="M58" s="112">
        <f>154.44+96.55</f>
        <v>250.99</v>
      </c>
      <c r="N58" s="28">
        <f t="shared" si="23"/>
        <v>0.51994103350731102</v>
      </c>
      <c r="O58" s="84">
        <f t="shared" si="24"/>
        <v>130.5</v>
      </c>
      <c r="P58" s="79">
        <f t="shared" si="25"/>
        <v>250.99</v>
      </c>
      <c r="Q58" s="34">
        <f t="shared" si="26"/>
        <v>0.51994103350731102</v>
      </c>
      <c r="R58" s="1">
        <v>38</v>
      </c>
    </row>
    <row r="59" spans="1:27" ht="24" customHeight="1">
      <c r="A59" s="81">
        <v>9</v>
      </c>
      <c r="B59" s="31" t="s">
        <v>54</v>
      </c>
      <c r="C59" s="104">
        <v>293991.40000000002</v>
      </c>
      <c r="D59" s="104">
        <v>293991.40000000002</v>
      </c>
      <c r="E59" s="104">
        <f t="shared" si="19"/>
        <v>0</v>
      </c>
      <c r="F59" s="110">
        <v>28169.4</v>
      </c>
      <c r="G59" s="111">
        <v>0</v>
      </c>
      <c r="H59" s="10">
        <f t="shared" si="20"/>
        <v>0</v>
      </c>
      <c r="I59" s="104">
        <v>294129.40000000002</v>
      </c>
      <c r="J59" s="106">
        <f>I59-D59</f>
        <v>138</v>
      </c>
      <c r="K59" s="110">
        <v>28184.16</v>
      </c>
      <c r="L59" s="107">
        <f t="shared" si="22"/>
        <v>14.759999999998399</v>
      </c>
      <c r="M59" s="111">
        <v>252</v>
      </c>
      <c r="N59" s="28">
        <f t="shared" si="23"/>
        <v>0.54761904761904767</v>
      </c>
      <c r="O59" s="84">
        <f t="shared" si="24"/>
        <v>138</v>
      </c>
      <c r="P59" s="79">
        <f t="shared" si="25"/>
        <v>252</v>
      </c>
      <c r="Q59" s="34">
        <f t="shared" si="26"/>
        <v>0.54761904761904767</v>
      </c>
      <c r="R59" s="1">
        <v>39</v>
      </c>
      <c r="AA59" s="101"/>
    </row>
    <row r="60" spans="1:27" ht="24" customHeight="1">
      <c r="A60" s="81">
        <v>10</v>
      </c>
      <c r="B60" s="31" t="s">
        <v>55</v>
      </c>
      <c r="C60" s="104">
        <v>298907.40000000002</v>
      </c>
      <c r="D60" s="104">
        <v>298907.40000000002</v>
      </c>
      <c r="E60" s="104">
        <f t="shared" si="19"/>
        <v>0</v>
      </c>
      <c r="F60" s="110">
        <v>27086</v>
      </c>
      <c r="G60" s="111">
        <v>0</v>
      </c>
      <c r="H60" s="10">
        <f t="shared" si="20"/>
        <v>0</v>
      </c>
      <c r="I60" s="104">
        <v>298907.40000000002</v>
      </c>
      <c r="J60" s="106">
        <f>I60-D60</f>
        <v>0</v>
      </c>
      <c r="K60" s="110">
        <v>27086</v>
      </c>
      <c r="L60" s="107">
        <f t="shared" si="22"/>
        <v>0</v>
      </c>
      <c r="M60" s="111">
        <v>0</v>
      </c>
      <c r="N60" s="28">
        <f t="shared" si="23"/>
        <v>0</v>
      </c>
      <c r="O60" s="84">
        <f t="shared" si="24"/>
        <v>0</v>
      </c>
      <c r="P60" s="79">
        <f t="shared" si="25"/>
        <v>0</v>
      </c>
      <c r="Q60" s="34">
        <f t="shared" si="26"/>
        <v>0</v>
      </c>
      <c r="R60" s="1">
        <v>0</v>
      </c>
      <c r="AA60" s="101"/>
    </row>
    <row r="61" spans="1:27" ht="24" customHeight="1">
      <c r="A61" s="81">
        <v>11</v>
      </c>
      <c r="B61" s="31" t="s">
        <v>56</v>
      </c>
      <c r="C61" s="104">
        <v>341625.9</v>
      </c>
      <c r="D61" s="104">
        <v>341625.9</v>
      </c>
      <c r="E61" s="104">
        <f t="shared" si="19"/>
        <v>0</v>
      </c>
      <c r="F61" s="110">
        <v>27005.42</v>
      </c>
      <c r="G61" s="111">
        <v>0</v>
      </c>
      <c r="H61" s="10">
        <f t="shared" si="20"/>
        <v>0</v>
      </c>
      <c r="I61" s="104">
        <v>341748.4</v>
      </c>
      <c r="J61" s="106">
        <f>I61-D61</f>
        <v>122.5</v>
      </c>
      <c r="K61" s="110">
        <v>27015.11</v>
      </c>
      <c r="L61" s="107">
        <f t="shared" si="22"/>
        <v>9.6900000000023283</v>
      </c>
      <c r="M61" s="111">
        <v>178</v>
      </c>
      <c r="N61" s="28">
        <f t="shared" si="23"/>
        <v>0.6882022471910112</v>
      </c>
      <c r="O61" s="84">
        <f t="shared" si="24"/>
        <v>122.5</v>
      </c>
      <c r="P61" s="79">
        <f t="shared" si="25"/>
        <v>178</v>
      </c>
      <c r="Q61" s="34">
        <f t="shared" si="26"/>
        <v>0.6882022471910112</v>
      </c>
      <c r="R61" s="1">
        <v>17</v>
      </c>
      <c r="AA61" s="101"/>
    </row>
    <row r="62" spans="1:27" ht="24" customHeight="1">
      <c r="A62" s="81">
        <v>12</v>
      </c>
      <c r="B62" s="31" t="s">
        <v>57</v>
      </c>
      <c r="C62" s="104">
        <v>344876.4</v>
      </c>
      <c r="D62" s="104">
        <v>344876.4</v>
      </c>
      <c r="E62" s="104">
        <f t="shared" si="19"/>
        <v>0</v>
      </c>
      <c r="F62" s="110">
        <v>26835.33</v>
      </c>
      <c r="G62" s="111">
        <v>0</v>
      </c>
      <c r="H62" s="10">
        <f t="shared" si="20"/>
        <v>0</v>
      </c>
      <c r="I62" s="104">
        <v>344876.4</v>
      </c>
      <c r="J62" s="106">
        <f>I62-D62</f>
        <v>0</v>
      </c>
      <c r="K62" s="110">
        <v>26835.33</v>
      </c>
      <c r="L62" s="107">
        <f t="shared" si="22"/>
        <v>0</v>
      </c>
      <c r="M62" s="111">
        <v>0</v>
      </c>
      <c r="N62" s="28">
        <f t="shared" si="23"/>
        <v>0</v>
      </c>
      <c r="O62" s="84">
        <f t="shared" si="24"/>
        <v>0</v>
      </c>
      <c r="P62" s="79">
        <f t="shared" si="25"/>
        <v>0</v>
      </c>
      <c r="Q62" s="34">
        <f t="shared" si="26"/>
        <v>0</v>
      </c>
      <c r="R62" s="1">
        <v>8</v>
      </c>
      <c r="AA62" s="101"/>
    </row>
    <row r="63" spans="1:27" ht="24" customHeight="1">
      <c r="A63" s="81">
        <v>13</v>
      </c>
      <c r="B63" s="31" t="s">
        <v>58</v>
      </c>
      <c r="C63" s="35">
        <v>301480.8</v>
      </c>
      <c r="D63" s="35">
        <v>301480.8</v>
      </c>
      <c r="E63" s="104">
        <f t="shared" si="19"/>
        <v>0</v>
      </c>
      <c r="F63" s="110">
        <v>26813.55</v>
      </c>
      <c r="G63" s="111">
        <v>0</v>
      </c>
      <c r="H63" s="10">
        <f t="shared" si="20"/>
        <v>0</v>
      </c>
      <c r="I63" s="35">
        <v>301621.09999999998</v>
      </c>
      <c r="J63" s="106">
        <f t="shared" si="21"/>
        <v>140.29999999998836</v>
      </c>
      <c r="K63" s="110">
        <v>26825.38</v>
      </c>
      <c r="L63" s="107">
        <f t="shared" si="22"/>
        <v>11.830000000001746</v>
      </c>
      <c r="M63" s="112">
        <v>211</v>
      </c>
      <c r="N63" s="28">
        <f>IFERROR(J63/M63,0)</f>
        <v>0.66492890995255149</v>
      </c>
      <c r="O63" s="84">
        <f t="shared" si="24"/>
        <v>140.29999999998836</v>
      </c>
      <c r="P63" s="79">
        <f t="shared" si="25"/>
        <v>211</v>
      </c>
      <c r="Q63" s="34">
        <f t="shared" si="26"/>
        <v>0.66492890995255149</v>
      </c>
      <c r="R63" s="1">
        <v>30</v>
      </c>
      <c r="U63" s="113"/>
    </row>
    <row r="64" spans="1:27" ht="24" customHeight="1">
      <c r="A64" s="81">
        <v>14</v>
      </c>
      <c r="B64" s="31" t="s">
        <v>59</v>
      </c>
      <c r="C64" s="35">
        <v>273586.8</v>
      </c>
      <c r="D64" s="35">
        <v>273586.8</v>
      </c>
      <c r="E64" s="104">
        <f t="shared" si="19"/>
        <v>0</v>
      </c>
      <c r="F64" s="110">
        <v>25580.01</v>
      </c>
      <c r="G64" s="111">
        <v>0</v>
      </c>
      <c r="H64" s="10">
        <f t="shared" si="20"/>
        <v>0</v>
      </c>
      <c r="I64" s="35">
        <v>273586.8</v>
      </c>
      <c r="J64" s="106">
        <f>I64-D64</f>
        <v>0</v>
      </c>
      <c r="K64" s="110">
        <v>25580.01</v>
      </c>
      <c r="L64" s="107">
        <f t="shared" si="22"/>
        <v>0</v>
      </c>
      <c r="M64" s="111">
        <v>0</v>
      </c>
      <c r="N64" s="28">
        <f>IFERROR(J64/M64,0)</f>
        <v>0</v>
      </c>
      <c r="O64" s="84">
        <f t="shared" si="24"/>
        <v>0</v>
      </c>
      <c r="P64" s="79">
        <f t="shared" si="25"/>
        <v>0</v>
      </c>
      <c r="Q64" s="34">
        <f t="shared" si="26"/>
        <v>0</v>
      </c>
      <c r="R64" s="1">
        <v>11</v>
      </c>
      <c r="X64" t="s">
        <v>60</v>
      </c>
    </row>
    <row r="65" spans="1:18" ht="24" customHeight="1">
      <c r="A65" s="81">
        <v>15</v>
      </c>
      <c r="B65" s="31" t="s">
        <v>61</v>
      </c>
      <c r="C65" s="104">
        <v>286674.40000000002</v>
      </c>
      <c r="D65" s="104">
        <v>286674.40000000002</v>
      </c>
      <c r="E65" s="104">
        <f t="shared" si="19"/>
        <v>0</v>
      </c>
      <c r="F65" s="110">
        <v>26768.17</v>
      </c>
      <c r="G65" s="111">
        <v>0</v>
      </c>
      <c r="H65" s="10">
        <f t="shared" si="20"/>
        <v>0</v>
      </c>
      <c r="I65" s="104">
        <v>286761.59999999998</v>
      </c>
      <c r="J65" s="106">
        <f>I65-D65</f>
        <v>87.199999999953434</v>
      </c>
      <c r="K65" s="110">
        <v>26775.52</v>
      </c>
      <c r="L65" s="107">
        <f t="shared" si="22"/>
        <v>7.3500000000021828</v>
      </c>
      <c r="M65" s="112">
        <v>127</v>
      </c>
      <c r="N65" s="28">
        <f t="shared" si="23"/>
        <v>0.6866141732279798</v>
      </c>
      <c r="O65" s="84">
        <f t="shared" si="24"/>
        <v>87.199999999953434</v>
      </c>
      <c r="P65" s="79">
        <f t="shared" si="25"/>
        <v>127</v>
      </c>
      <c r="Q65" s="34">
        <f t="shared" si="26"/>
        <v>0.6866141732279798</v>
      </c>
      <c r="R65" s="1">
        <v>10</v>
      </c>
    </row>
    <row r="66" spans="1:18" ht="24" customHeight="1">
      <c r="A66" s="81">
        <v>16</v>
      </c>
      <c r="B66" s="31" t="s">
        <v>62</v>
      </c>
      <c r="C66" s="35">
        <v>304591</v>
      </c>
      <c r="D66" s="35">
        <v>304591</v>
      </c>
      <c r="E66" s="104">
        <f t="shared" si="19"/>
        <v>0</v>
      </c>
      <c r="F66" s="110">
        <v>27407.27</v>
      </c>
      <c r="G66" s="111">
        <v>0</v>
      </c>
      <c r="H66" s="10">
        <f t="shared" si="20"/>
        <v>0</v>
      </c>
      <c r="I66" s="35">
        <v>304606.5</v>
      </c>
      <c r="J66" s="106">
        <f t="shared" si="21"/>
        <v>15.5</v>
      </c>
      <c r="K66" s="110">
        <v>27409.06</v>
      </c>
      <c r="L66" s="107">
        <f t="shared" si="22"/>
        <v>1.7900000000008731</v>
      </c>
      <c r="M66" s="112">
        <v>97</v>
      </c>
      <c r="N66" s="28">
        <f t="shared" si="23"/>
        <v>0.15979381443298968</v>
      </c>
      <c r="O66" s="84">
        <f t="shared" si="24"/>
        <v>15.5</v>
      </c>
      <c r="P66" s="79">
        <f t="shared" si="25"/>
        <v>97</v>
      </c>
      <c r="Q66" s="34">
        <f t="shared" si="26"/>
        <v>0.15979381443298968</v>
      </c>
      <c r="R66" s="1">
        <v>0</v>
      </c>
    </row>
    <row r="67" spans="1:18" ht="24" customHeight="1">
      <c r="A67" s="81">
        <v>17</v>
      </c>
      <c r="B67" s="31" t="s">
        <v>158</v>
      </c>
      <c r="C67" s="17">
        <v>276330</v>
      </c>
      <c r="D67" s="17">
        <v>276330</v>
      </c>
      <c r="E67" s="104">
        <f t="shared" si="19"/>
        <v>0</v>
      </c>
      <c r="F67" s="110">
        <v>25204</v>
      </c>
      <c r="G67" s="111">
        <v>0</v>
      </c>
      <c r="H67" s="10">
        <f t="shared" si="20"/>
        <v>0</v>
      </c>
      <c r="I67" s="17">
        <v>276473</v>
      </c>
      <c r="J67" s="106">
        <f t="shared" si="21"/>
        <v>143</v>
      </c>
      <c r="K67" s="110">
        <v>25215</v>
      </c>
      <c r="L67" s="107">
        <f t="shared" si="22"/>
        <v>11</v>
      </c>
      <c r="M67" s="111">
        <v>213</v>
      </c>
      <c r="N67" s="28">
        <f t="shared" si="23"/>
        <v>0.67136150234741787</v>
      </c>
      <c r="O67" s="84">
        <f t="shared" si="24"/>
        <v>143</v>
      </c>
      <c r="P67" s="79">
        <f t="shared" si="25"/>
        <v>213</v>
      </c>
      <c r="Q67" s="34">
        <f t="shared" si="26"/>
        <v>0.67136150234741787</v>
      </c>
      <c r="R67" s="1">
        <v>33</v>
      </c>
    </row>
    <row r="68" spans="1:18" ht="24" customHeight="1">
      <c r="A68" s="81">
        <v>18</v>
      </c>
      <c r="B68" s="31" t="s">
        <v>159</v>
      </c>
      <c r="C68" s="17">
        <v>279735</v>
      </c>
      <c r="D68" s="17">
        <v>279735</v>
      </c>
      <c r="E68" s="104">
        <f t="shared" si="19"/>
        <v>0</v>
      </c>
      <c r="F68" s="110">
        <v>26056</v>
      </c>
      <c r="G68" s="111">
        <v>0</v>
      </c>
      <c r="H68" s="10">
        <f t="shared" si="20"/>
        <v>0</v>
      </c>
      <c r="I68" s="17">
        <v>279775</v>
      </c>
      <c r="J68" s="106">
        <f t="shared" si="21"/>
        <v>40</v>
      </c>
      <c r="K68" s="110">
        <v>26060</v>
      </c>
      <c r="L68" s="107">
        <f t="shared" si="22"/>
        <v>4</v>
      </c>
      <c r="M68" s="111">
        <v>98</v>
      </c>
      <c r="N68" s="28">
        <f t="shared" si="23"/>
        <v>0.40816326530612246</v>
      </c>
      <c r="O68" s="84">
        <f t="shared" si="24"/>
        <v>40</v>
      </c>
      <c r="P68" s="79">
        <f t="shared" si="25"/>
        <v>98</v>
      </c>
      <c r="Q68" s="34">
        <f t="shared" si="26"/>
        <v>0.40816326530612246</v>
      </c>
      <c r="R68" s="1">
        <v>17</v>
      </c>
    </row>
    <row r="69" spans="1:18" ht="24" customHeight="1">
      <c r="A69" s="81">
        <v>19</v>
      </c>
      <c r="B69" s="31" t="s">
        <v>160</v>
      </c>
      <c r="C69" s="17">
        <v>306486</v>
      </c>
      <c r="D69" s="17">
        <v>306486</v>
      </c>
      <c r="E69" s="104">
        <f t="shared" si="19"/>
        <v>0</v>
      </c>
      <c r="F69" s="110">
        <v>25222</v>
      </c>
      <c r="G69" s="111">
        <v>0</v>
      </c>
      <c r="H69" s="10">
        <f t="shared" si="20"/>
        <v>0</v>
      </c>
      <c r="I69" s="17">
        <v>306486</v>
      </c>
      <c r="J69" s="106">
        <f t="shared" si="21"/>
        <v>0</v>
      </c>
      <c r="K69" s="110">
        <v>25222</v>
      </c>
      <c r="L69" s="107">
        <f t="shared" si="22"/>
        <v>0</v>
      </c>
      <c r="M69" s="111">
        <v>0</v>
      </c>
      <c r="N69" s="28">
        <f t="shared" si="23"/>
        <v>0</v>
      </c>
      <c r="O69" s="84">
        <f t="shared" si="24"/>
        <v>0</v>
      </c>
      <c r="P69" s="79">
        <f t="shared" si="25"/>
        <v>0</v>
      </c>
      <c r="Q69" s="34">
        <f t="shared" si="26"/>
        <v>0</v>
      </c>
      <c r="R69" s="1">
        <v>0</v>
      </c>
    </row>
    <row r="70" spans="1:18" ht="24" customHeight="1">
      <c r="A70" s="81">
        <v>20</v>
      </c>
      <c r="B70" s="31" t="s">
        <v>161</v>
      </c>
      <c r="C70" s="17">
        <v>306036</v>
      </c>
      <c r="D70" s="17">
        <v>306036</v>
      </c>
      <c r="E70" s="104">
        <f t="shared" si="19"/>
        <v>0</v>
      </c>
      <c r="F70" s="110">
        <v>25572</v>
      </c>
      <c r="G70" s="116">
        <v>0</v>
      </c>
      <c r="H70" s="10">
        <f t="shared" si="20"/>
        <v>0</v>
      </c>
      <c r="I70" s="17">
        <v>306172</v>
      </c>
      <c r="J70" s="106">
        <f t="shared" si="21"/>
        <v>136</v>
      </c>
      <c r="K70" s="110">
        <v>25583</v>
      </c>
      <c r="L70" s="107">
        <f t="shared" si="22"/>
        <v>11</v>
      </c>
      <c r="M70" s="111">
        <v>220</v>
      </c>
      <c r="N70" s="28">
        <f t="shared" si="23"/>
        <v>0.61818181818181817</v>
      </c>
      <c r="O70" s="84">
        <f t="shared" si="24"/>
        <v>136</v>
      </c>
      <c r="P70" s="79">
        <f t="shared" si="25"/>
        <v>220</v>
      </c>
      <c r="Q70" s="34">
        <f t="shared" si="26"/>
        <v>0.61818181818181817</v>
      </c>
      <c r="R70" s="1">
        <v>31</v>
      </c>
    </row>
    <row r="71" spans="1:18" ht="24" customHeight="1">
      <c r="A71" s="81">
        <v>21</v>
      </c>
      <c r="B71" s="31" t="s">
        <v>162</v>
      </c>
      <c r="C71" s="17">
        <v>322291</v>
      </c>
      <c r="D71" s="17">
        <v>322291</v>
      </c>
      <c r="E71" s="104">
        <f t="shared" si="19"/>
        <v>0</v>
      </c>
      <c r="F71" s="110">
        <v>26739</v>
      </c>
      <c r="G71" s="111">
        <v>0</v>
      </c>
      <c r="H71" s="10">
        <f t="shared" si="20"/>
        <v>0</v>
      </c>
      <c r="I71" s="17">
        <v>322291</v>
      </c>
      <c r="J71" s="106">
        <f t="shared" si="21"/>
        <v>0</v>
      </c>
      <c r="K71" s="110">
        <v>26739</v>
      </c>
      <c r="L71" s="107">
        <f t="shared" si="22"/>
        <v>0</v>
      </c>
      <c r="M71" s="111">
        <v>0</v>
      </c>
      <c r="N71" s="28">
        <f t="shared" si="23"/>
        <v>0</v>
      </c>
      <c r="O71" s="84">
        <f t="shared" si="24"/>
        <v>0</v>
      </c>
      <c r="P71" s="79">
        <f t="shared" si="25"/>
        <v>0</v>
      </c>
      <c r="Q71" s="34">
        <f t="shared" si="26"/>
        <v>0</v>
      </c>
      <c r="R71" s="1">
        <v>0</v>
      </c>
    </row>
    <row r="72" spans="1:18" ht="24" customHeight="1">
      <c r="A72" s="81">
        <v>22</v>
      </c>
      <c r="B72" s="31" t="s">
        <v>68</v>
      </c>
      <c r="C72" s="17">
        <v>278156.5</v>
      </c>
      <c r="D72" s="17">
        <v>278156.5</v>
      </c>
      <c r="E72" s="104">
        <f t="shared" si="19"/>
        <v>0</v>
      </c>
      <c r="F72" s="110">
        <v>22590</v>
      </c>
      <c r="G72" s="111">
        <v>0</v>
      </c>
      <c r="H72" s="10">
        <f t="shared" si="20"/>
        <v>0</v>
      </c>
      <c r="I72" s="17">
        <v>278321.40000000002</v>
      </c>
      <c r="J72" s="106">
        <f t="shared" si="21"/>
        <v>164.90000000002328</v>
      </c>
      <c r="K72" s="110">
        <v>22604</v>
      </c>
      <c r="L72" s="107">
        <f t="shared" si="22"/>
        <v>14</v>
      </c>
      <c r="M72" s="112">
        <v>255</v>
      </c>
      <c r="N72" s="28">
        <f t="shared" si="23"/>
        <v>0.64666666666675798</v>
      </c>
      <c r="O72" s="84">
        <f t="shared" si="24"/>
        <v>164.90000000002328</v>
      </c>
      <c r="P72" s="79">
        <f t="shared" si="25"/>
        <v>255</v>
      </c>
      <c r="Q72" s="34">
        <f t="shared" si="26"/>
        <v>0.64666666666675798</v>
      </c>
      <c r="R72" s="1">
        <v>23</v>
      </c>
    </row>
    <row r="73" spans="1:18" ht="24" customHeight="1">
      <c r="A73" s="81">
        <v>23</v>
      </c>
      <c r="B73" s="31" t="s">
        <v>69</v>
      </c>
      <c r="C73" s="17">
        <v>260194.7</v>
      </c>
      <c r="D73" s="17">
        <v>260194.7</v>
      </c>
      <c r="E73" s="104">
        <f t="shared" si="19"/>
        <v>0</v>
      </c>
      <c r="F73" s="110">
        <v>19957</v>
      </c>
      <c r="G73" s="111">
        <v>0</v>
      </c>
      <c r="H73" s="10">
        <f t="shared" si="20"/>
        <v>0</v>
      </c>
      <c r="I73" s="17">
        <v>260381.5</v>
      </c>
      <c r="J73" s="106">
        <f t="shared" si="21"/>
        <v>186.79999999998836</v>
      </c>
      <c r="K73" s="110">
        <v>19972</v>
      </c>
      <c r="L73" s="107">
        <f t="shared" si="22"/>
        <v>15</v>
      </c>
      <c r="M73" s="112">
        <f>26+175.05</f>
        <v>201.05</v>
      </c>
      <c r="N73" s="28">
        <f t="shared" si="23"/>
        <v>0.92912210892806935</v>
      </c>
      <c r="O73" s="84">
        <f t="shared" si="24"/>
        <v>186.79999999998836</v>
      </c>
      <c r="P73" s="79">
        <f t="shared" si="25"/>
        <v>201.05</v>
      </c>
      <c r="Q73" s="34">
        <f t="shared" si="26"/>
        <v>0.92912210892806935</v>
      </c>
      <c r="R73" s="1">
        <v>30</v>
      </c>
    </row>
    <row r="74" spans="1:18" ht="24" customHeight="1">
      <c r="A74" s="81">
        <v>24</v>
      </c>
      <c r="B74" s="31" t="s">
        <v>70</v>
      </c>
      <c r="C74" s="104">
        <v>304652.79999999999</v>
      </c>
      <c r="D74" s="104">
        <v>304652.79999999999</v>
      </c>
      <c r="E74" s="104">
        <f t="shared" si="19"/>
        <v>0</v>
      </c>
      <c r="F74" s="110">
        <v>5138</v>
      </c>
      <c r="G74" s="111">
        <v>0</v>
      </c>
      <c r="H74" s="10">
        <f t="shared" si="20"/>
        <v>0</v>
      </c>
      <c r="I74" s="104">
        <v>304812.40000000002</v>
      </c>
      <c r="J74" s="106">
        <f t="shared" si="21"/>
        <v>159.60000000003492</v>
      </c>
      <c r="K74" s="110">
        <v>5154</v>
      </c>
      <c r="L74" s="107">
        <f t="shared" si="22"/>
        <v>16</v>
      </c>
      <c r="M74" s="111">
        <f>45+204.36</f>
        <v>249.36</v>
      </c>
      <c r="N74" s="28">
        <f t="shared" si="23"/>
        <v>0.64003849855644412</v>
      </c>
      <c r="O74" s="84">
        <f t="shared" si="24"/>
        <v>159.60000000003492</v>
      </c>
      <c r="P74" s="79">
        <f t="shared" si="25"/>
        <v>249.36</v>
      </c>
      <c r="Q74" s="34">
        <f t="shared" si="26"/>
        <v>0.64003849855644412</v>
      </c>
      <c r="R74" s="1">
        <v>24</v>
      </c>
    </row>
    <row r="75" spans="1:18" ht="24" customHeight="1">
      <c r="A75" s="81">
        <v>25</v>
      </c>
      <c r="B75" s="31" t="s">
        <v>71</v>
      </c>
      <c r="C75" s="35">
        <v>314658</v>
      </c>
      <c r="D75" s="35">
        <v>314658</v>
      </c>
      <c r="E75" s="104">
        <f t="shared" si="19"/>
        <v>0</v>
      </c>
      <c r="F75" s="110">
        <v>23031</v>
      </c>
      <c r="G75" s="111">
        <v>0</v>
      </c>
      <c r="H75" s="10">
        <f t="shared" si="20"/>
        <v>0</v>
      </c>
      <c r="I75" s="35">
        <v>314739.8</v>
      </c>
      <c r="J75" s="106">
        <f t="shared" si="21"/>
        <v>81.799999999988358</v>
      </c>
      <c r="K75" s="110">
        <v>23039</v>
      </c>
      <c r="L75" s="107">
        <f t="shared" si="22"/>
        <v>8</v>
      </c>
      <c r="M75" s="111">
        <v>134</v>
      </c>
      <c r="N75" s="28">
        <f>IFERROR(J75/M75,0)</f>
        <v>0.61044776119394295</v>
      </c>
      <c r="O75" s="84">
        <f t="shared" si="24"/>
        <v>81.799999999988358</v>
      </c>
      <c r="P75" s="79">
        <f>G75+M75</f>
        <v>134</v>
      </c>
      <c r="Q75" s="34">
        <f t="shared" si="26"/>
        <v>0.61044776119394295</v>
      </c>
      <c r="R75" s="1">
        <v>25</v>
      </c>
    </row>
    <row r="76" spans="1:18" ht="24" customHeight="1">
      <c r="A76" s="81">
        <v>26</v>
      </c>
      <c r="B76" s="31" t="s">
        <v>72</v>
      </c>
      <c r="C76" s="35">
        <v>285263.3</v>
      </c>
      <c r="D76" s="35">
        <v>285263.3</v>
      </c>
      <c r="E76" s="104">
        <f t="shared" si="19"/>
        <v>0</v>
      </c>
      <c r="F76" s="110">
        <v>20654</v>
      </c>
      <c r="G76" s="111">
        <v>0</v>
      </c>
      <c r="H76" s="10">
        <f t="shared" si="20"/>
        <v>0</v>
      </c>
      <c r="I76" s="35">
        <v>285402.5</v>
      </c>
      <c r="J76" s="106">
        <f t="shared" si="21"/>
        <v>139.20000000001164</v>
      </c>
      <c r="K76" s="110">
        <v>20668</v>
      </c>
      <c r="L76" s="107">
        <f t="shared" si="22"/>
        <v>14</v>
      </c>
      <c r="M76" s="112">
        <v>217</v>
      </c>
      <c r="N76" s="28">
        <f t="shared" si="23"/>
        <v>0.64147465437793383</v>
      </c>
      <c r="O76" s="84">
        <f t="shared" si="24"/>
        <v>139.20000000001164</v>
      </c>
      <c r="P76" s="79">
        <f t="shared" si="25"/>
        <v>217</v>
      </c>
      <c r="Q76" s="34">
        <f t="shared" si="26"/>
        <v>0.64147465437793383</v>
      </c>
      <c r="R76" s="1">
        <v>44</v>
      </c>
    </row>
    <row r="77" spans="1:18" ht="24" customHeight="1">
      <c r="A77" s="81">
        <v>27</v>
      </c>
      <c r="B77" s="31" t="s">
        <v>73</v>
      </c>
      <c r="C77" s="104">
        <v>313556.2</v>
      </c>
      <c r="D77" s="104">
        <v>313556.2</v>
      </c>
      <c r="E77" s="104">
        <f t="shared" si="19"/>
        <v>0</v>
      </c>
      <c r="F77" s="110">
        <v>22787</v>
      </c>
      <c r="G77" s="111">
        <v>0</v>
      </c>
      <c r="H77" s="10">
        <f t="shared" si="20"/>
        <v>0</v>
      </c>
      <c r="I77" s="104">
        <v>313696.59999999998</v>
      </c>
      <c r="J77" s="106">
        <f t="shared" si="21"/>
        <v>140.39999999996508</v>
      </c>
      <c r="K77" s="110">
        <v>22800</v>
      </c>
      <c r="L77" s="107">
        <f t="shared" si="22"/>
        <v>13</v>
      </c>
      <c r="M77" s="112">
        <v>228</v>
      </c>
      <c r="N77" s="28">
        <f t="shared" si="23"/>
        <v>0.61578947368405734</v>
      </c>
      <c r="O77" s="84">
        <f t="shared" si="24"/>
        <v>140.39999999996508</v>
      </c>
      <c r="P77" s="79">
        <f t="shared" si="25"/>
        <v>228</v>
      </c>
      <c r="Q77" s="34">
        <f t="shared" si="26"/>
        <v>0.61578947368405734</v>
      </c>
      <c r="R77" s="1">
        <v>42</v>
      </c>
    </row>
    <row r="78" spans="1:18" ht="24" customHeight="1">
      <c r="A78" s="81">
        <v>28</v>
      </c>
      <c r="B78" s="31" t="s">
        <v>74</v>
      </c>
      <c r="C78" s="35">
        <v>283800</v>
      </c>
      <c r="D78" s="35">
        <v>283800</v>
      </c>
      <c r="E78" s="104">
        <f t="shared" si="19"/>
        <v>0</v>
      </c>
      <c r="F78" s="110">
        <v>4312</v>
      </c>
      <c r="G78" s="111">
        <v>0</v>
      </c>
      <c r="H78" s="10">
        <f t="shared" si="20"/>
        <v>0</v>
      </c>
      <c r="I78" s="35">
        <v>283946.59999999998</v>
      </c>
      <c r="J78" s="106">
        <f t="shared" si="21"/>
        <v>146.59999999997672</v>
      </c>
      <c r="K78" s="110">
        <v>4323</v>
      </c>
      <c r="L78" s="107">
        <f>K78-F78</f>
        <v>11</v>
      </c>
      <c r="M78" s="111">
        <v>229.36</v>
      </c>
      <c r="N78" s="28">
        <f t="shared" si="23"/>
        <v>0.63916986396920439</v>
      </c>
      <c r="O78" s="84">
        <f t="shared" si="24"/>
        <v>146.59999999997672</v>
      </c>
      <c r="P78" s="79">
        <f t="shared" si="25"/>
        <v>229.36</v>
      </c>
      <c r="Q78" s="34">
        <f t="shared" si="26"/>
        <v>0.63916986396920439</v>
      </c>
      <c r="R78" s="1">
        <v>32</v>
      </c>
    </row>
    <row r="79" spans="1:18" ht="24" customHeight="1">
      <c r="A79" s="81">
        <v>29</v>
      </c>
      <c r="B79" s="31" t="s">
        <v>75</v>
      </c>
      <c r="C79" s="104">
        <v>301670.90000000002</v>
      </c>
      <c r="D79" s="104">
        <v>301670.90000000002</v>
      </c>
      <c r="E79" s="104">
        <f t="shared" si="19"/>
        <v>0</v>
      </c>
      <c r="F79" s="110">
        <v>21737</v>
      </c>
      <c r="G79" s="111">
        <v>0</v>
      </c>
      <c r="H79" s="10">
        <f t="shared" si="20"/>
        <v>0</v>
      </c>
      <c r="I79" s="104">
        <v>301816.90000000002</v>
      </c>
      <c r="J79" s="106">
        <f t="shared" si="21"/>
        <v>146</v>
      </c>
      <c r="K79" s="110">
        <v>21750</v>
      </c>
      <c r="L79" s="107">
        <f t="shared" si="22"/>
        <v>13</v>
      </c>
      <c r="M79" s="112">
        <v>184.2</v>
      </c>
      <c r="N79" s="28">
        <f t="shared" si="23"/>
        <v>0.79261672095548319</v>
      </c>
      <c r="O79" s="84">
        <f t="shared" si="24"/>
        <v>146</v>
      </c>
      <c r="P79" s="79">
        <f t="shared" si="25"/>
        <v>184.2</v>
      </c>
      <c r="Q79" s="34">
        <f t="shared" si="26"/>
        <v>0.79261672095548319</v>
      </c>
      <c r="R79" s="1">
        <v>30</v>
      </c>
    </row>
    <row r="80" spans="1:18" ht="24" customHeight="1">
      <c r="A80" s="81">
        <v>30</v>
      </c>
      <c r="B80" s="31" t="s">
        <v>76</v>
      </c>
      <c r="C80" s="104">
        <v>266085.7</v>
      </c>
      <c r="D80" s="104">
        <v>266235.2</v>
      </c>
      <c r="E80" s="104">
        <f t="shared" si="19"/>
        <v>149.5</v>
      </c>
      <c r="F80" s="110">
        <v>19677</v>
      </c>
      <c r="G80" s="111">
        <v>199</v>
      </c>
      <c r="H80" s="10">
        <f t="shared" si="20"/>
        <v>0.75125628140703515</v>
      </c>
      <c r="I80" s="104">
        <v>266355.09999999998</v>
      </c>
      <c r="J80" s="106">
        <f t="shared" si="21"/>
        <v>119.89999999996508</v>
      </c>
      <c r="K80" s="110">
        <v>19700</v>
      </c>
      <c r="L80" s="107">
        <f t="shared" si="22"/>
        <v>23</v>
      </c>
      <c r="M80" s="111">
        <v>183</v>
      </c>
      <c r="N80" s="28">
        <f t="shared" si="23"/>
        <v>0.65519125683041024</v>
      </c>
      <c r="O80" s="84">
        <f t="shared" si="24"/>
        <v>269.39999999996508</v>
      </c>
      <c r="P80" s="79">
        <f t="shared" si="25"/>
        <v>382</v>
      </c>
      <c r="Q80" s="34">
        <f t="shared" si="26"/>
        <v>0.70523560209414937</v>
      </c>
      <c r="R80" s="1">
        <v>30</v>
      </c>
    </row>
    <row r="81" spans="1:18" ht="24" customHeight="1">
      <c r="A81" s="81">
        <v>31</v>
      </c>
      <c r="B81" s="31" t="s">
        <v>77</v>
      </c>
      <c r="C81" s="83">
        <v>264016.8</v>
      </c>
      <c r="D81" s="83">
        <v>264016.8</v>
      </c>
      <c r="E81" s="104">
        <f t="shared" si="19"/>
        <v>0</v>
      </c>
      <c r="F81" s="110">
        <v>19369</v>
      </c>
      <c r="G81" s="111">
        <v>0</v>
      </c>
      <c r="H81" s="10">
        <f t="shared" si="20"/>
        <v>0</v>
      </c>
      <c r="I81" s="83">
        <v>264080.59999999998</v>
      </c>
      <c r="J81" s="106">
        <f t="shared" si="21"/>
        <v>63.799999999988358</v>
      </c>
      <c r="K81" s="110">
        <v>19381</v>
      </c>
      <c r="L81" s="107">
        <f>K81-F81</f>
        <v>12</v>
      </c>
      <c r="M81" s="111">
        <v>214</v>
      </c>
      <c r="N81" s="28">
        <f t="shared" si="23"/>
        <v>0.29813084112144095</v>
      </c>
      <c r="O81" s="84">
        <f t="shared" si="24"/>
        <v>63.799999999988358</v>
      </c>
      <c r="P81" s="79">
        <f t="shared" si="25"/>
        <v>214</v>
      </c>
      <c r="Q81" s="34">
        <f t="shared" si="26"/>
        <v>0.29813084112144095</v>
      </c>
      <c r="R81" s="1">
        <v>31</v>
      </c>
    </row>
    <row r="82" spans="1:18" ht="24" customHeight="1">
      <c r="A82" s="81">
        <v>32</v>
      </c>
      <c r="B82" s="31" t="s">
        <v>78</v>
      </c>
      <c r="C82" s="104">
        <v>290129.8</v>
      </c>
      <c r="D82" s="104">
        <v>290129.8</v>
      </c>
      <c r="E82" s="104">
        <f t="shared" si="19"/>
        <v>0</v>
      </c>
      <c r="F82" s="110">
        <v>20957</v>
      </c>
      <c r="G82" s="111">
        <v>0</v>
      </c>
      <c r="H82" s="10">
        <f t="shared" si="20"/>
        <v>0</v>
      </c>
      <c r="I82" s="104">
        <v>290264.8</v>
      </c>
      <c r="J82" s="106">
        <f t="shared" si="21"/>
        <v>135</v>
      </c>
      <c r="K82" s="110">
        <v>20976</v>
      </c>
      <c r="L82" s="107">
        <f t="shared" si="22"/>
        <v>19</v>
      </c>
      <c r="M82" s="111">
        <v>177</v>
      </c>
      <c r="N82" s="28">
        <f t="shared" si="23"/>
        <v>0.76271186440677963</v>
      </c>
      <c r="O82" s="84">
        <f t="shared" si="24"/>
        <v>135</v>
      </c>
      <c r="P82" s="79">
        <f t="shared" si="25"/>
        <v>177</v>
      </c>
      <c r="Q82" s="34">
        <f t="shared" si="26"/>
        <v>0.76271186440677963</v>
      </c>
      <c r="R82" s="1">
        <v>31</v>
      </c>
    </row>
    <row r="83" spans="1:18" ht="24" customHeight="1">
      <c r="A83" s="81">
        <v>33</v>
      </c>
      <c r="B83" s="31" t="s">
        <v>79</v>
      </c>
      <c r="C83" s="104">
        <v>304894.59999999998</v>
      </c>
      <c r="D83" s="104">
        <v>304894.59999999998</v>
      </c>
      <c r="E83" s="104">
        <f t="shared" si="19"/>
        <v>0</v>
      </c>
      <c r="F83" s="110">
        <v>21715</v>
      </c>
      <c r="G83" s="111">
        <v>0</v>
      </c>
      <c r="H83" s="10">
        <f t="shared" si="20"/>
        <v>0</v>
      </c>
      <c r="I83" s="104">
        <v>305024.7</v>
      </c>
      <c r="J83" s="106">
        <f t="shared" si="21"/>
        <v>130.10000000003492</v>
      </c>
      <c r="K83" s="110">
        <v>21728</v>
      </c>
      <c r="L83" s="107">
        <f t="shared" si="22"/>
        <v>13</v>
      </c>
      <c r="M83" s="111">
        <v>189</v>
      </c>
      <c r="N83" s="28">
        <f t="shared" si="23"/>
        <v>0.68835978835997313</v>
      </c>
      <c r="O83" s="84">
        <f t="shared" si="24"/>
        <v>130.10000000003492</v>
      </c>
      <c r="P83" s="79">
        <f t="shared" si="25"/>
        <v>189</v>
      </c>
      <c r="Q83" s="34">
        <f t="shared" si="26"/>
        <v>0.68835978835997313</v>
      </c>
      <c r="R83" s="1">
        <v>44</v>
      </c>
    </row>
    <row r="84" spans="1:18" ht="24" customHeight="1">
      <c r="A84" s="81">
        <v>34</v>
      </c>
      <c r="B84" s="31" t="s">
        <v>163</v>
      </c>
      <c r="C84" s="104">
        <v>245895.4</v>
      </c>
      <c r="D84" s="104">
        <v>245895.4</v>
      </c>
      <c r="E84" s="104">
        <f t="shared" si="19"/>
        <v>0</v>
      </c>
      <c r="F84" s="110">
        <v>18366</v>
      </c>
      <c r="G84" s="111">
        <v>0</v>
      </c>
      <c r="H84" s="10">
        <f t="shared" si="20"/>
        <v>0</v>
      </c>
      <c r="I84" s="104">
        <v>246051.6</v>
      </c>
      <c r="J84" s="106">
        <f t="shared" si="21"/>
        <v>156.20000000001164</v>
      </c>
      <c r="K84" s="110">
        <v>18379</v>
      </c>
      <c r="L84" s="107">
        <f t="shared" si="22"/>
        <v>13</v>
      </c>
      <c r="M84" s="111">
        <v>224</v>
      </c>
      <c r="N84" s="28">
        <f t="shared" si="23"/>
        <v>0.69732142857148049</v>
      </c>
      <c r="O84" s="84">
        <f t="shared" si="24"/>
        <v>156.20000000001164</v>
      </c>
      <c r="P84" s="79">
        <f t="shared" si="25"/>
        <v>224</v>
      </c>
      <c r="Q84" s="34">
        <f t="shared" si="26"/>
        <v>0.69732142857148049</v>
      </c>
      <c r="R84" s="1">
        <v>21</v>
      </c>
    </row>
    <row r="85" spans="1:18" ht="24" customHeight="1">
      <c r="A85" s="81">
        <v>35</v>
      </c>
      <c r="B85" s="31" t="s">
        <v>164</v>
      </c>
      <c r="C85" s="104">
        <v>245409.5</v>
      </c>
      <c r="D85" s="104">
        <v>245409.5</v>
      </c>
      <c r="E85" s="104">
        <f t="shared" si="19"/>
        <v>0</v>
      </c>
      <c r="F85" s="110">
        <v>18347</v>
      </c>
      <c r="G85" s="111">
        <v>0</v>
      </c>
      <c r="H85" s="10">
        <f t="shared" si="20"/>
        <v>0</v>
      </c>
      <c r="I85" s="104">
        <v>245585.9</v>
      </c>
      <c r="J85" s="106">
        <f t="shared" si="21"/>
        <v>176.39999999999418</v>
      </c>
      <c r="K85" s="110">
        <v>18361</v>
      </c>
      <c r="L85" s="107">
        <f t="shared" si="22"/>
        <v>14</v>
      </c>
      <c r="M85" s="111">
        <v>225</v>
      </c>
      <c r="N85" s="28">
        <f t="shared" si="23"/>
        <v>0.78399999999997416</v>
      </c>
      <c r="O85" s="84">
        <f t="shared" si="24"/>
        <v>176.39999999999418</v>
      </c>
      <c r="P85" s="79">
        <f t="shared" si="25"/>
        <v>225</v>
      </c>
      <c r="Q85" s="34">
        <f t="shared" si="26"/>
        <v>0.78399999999997416</v>
      </c>
      <c r="R85" s="1">
        <v>30</v>
      </c>
    </row>
    <row r="86" spans="1:18" ht="24" customHeight="1">
      <c r="A86" s="81">
        <v>36</v>
      </c>
      <c r="B86" s="31" t="s">
        <v>165</v>
      </c>
      <c r="C86" s="104">
        <v>252179.6</v>
      </c>
      <c r="D86" s="104">
        <v>252179.6</v>
      </c>
      <c r="E86" s="104">
        <f t="shared" si="19"/>
        <v>0</v>
      </c>
      <c r="F86" s="110">
        <v>17982</v>
      </c>
      <c r="G86" s="111">
        <v>0</v>
      </c>
      <c r="H86" s="10">
        <f t="shared" si="20"/>
        <v>0</v>
      </c>
      <c r="I86" s="104">
        <v>252325.6</v>
      </c>
      <c r="J86" s="106">
        <f t="shared" si="21"/>
        <v>146</v>
      </c>
      <c r="K86" s="110">
        <v>17997</v>
      </c>
      <c r="L86" s="107">
        <f t="shared" si="22"/>
        <v>15</v>
      </c>
      <c r="M86" s="112">
        <v>209</v>
      </c>
      <c r="N86" s="28">
        <f t="shared" si="23"/>
        <v>0.69856459330143539</v>
      </c>
      <c r="O86" s="84">
        <f t="shared" si="24"/>
        <v>146</v>
      </c>
      <c r="P86" s="79">
        <f t="shared" si="25"/>
        <v>209</v>
      </c>
      <c r="Q86" s="34">
        <f t="shared" si="26"/>
        <v>0.69856459330143539</v>
      </c>
      <c r="R86" s="1">
        <v>16</v>
      </c>
    </row>
    <row r="87" spans="1:18" ht="24" customHeight="1">
      <c r="A87" s="81">
        <v>37</v>
      </c>
      <c r="B87" s="31" t="s">
        <v>83</v>
      </c>
      <c r="C87" s="104">
        <v>260809.4</v>
      </c>
      <c r="D87" s="104">
        <v>260809.4</v>
      </c>
      <c r="E87" s="104">
        <f t="shared" si="19"/>
        <v>0</v>
      </c>
      <c r="F87" s="110">
        <v>18510</v>
      </c>
      <c r="G87" s="111">
        <v>0</v>
      </c>
      <c r="H87" s="10">
        <f t="shared" si="20"/>
        <v>0</v>
      </c>
      <c r="I87" s="104">
        <v>260925.1</v>
      </c>
      <c r="J87" s="106">
        <f t="shared" si="21"/>
        <v>115.70000000001164</v>
      </c>
      <c r="K87" s="110">
        <v>18519</v>
      </c>
      <c r="L87" s="107">
        <f t="shared" si="22"/>
        <v>9</v>
      </c>
      <c r="M87" s="112">
        <v>166</v>
      </c>
      <c r="N87" s="28">
        <f t="shared" si="23"/>
        <v>0.696987951807299</v>
      </c>
      <c r="O87" s="84">
        <f t="shared" si="24"/>
        <v>115.70000000001164</v>
      </c>
      <c r="P87" s="79">
        <f t="shared" si="25"/>
        <v>166</v>
      </c>
      <c r="Q87" s="34">
        <f t="shared" si="26"/>
        <v>0.696987951807299</v>
      </c>
      <c r="R87" s="1">
        <v>29</v>
      </c>
    </row>
    <row r="88" spans="1:18" ht="24" customHeight="1">
      <c r="A88" s="81">
        <v>38</v>
      </c>
      <c r="B88" s="31" t="s">
        <v>84</v>
      </c>
      <c r="C88" s="104">
        <v>272377.2</v>
      </c>
      <c r="D88" s="104">
        <v>272455.7</v>
      </c>
      <c r="E88" s="104">
        <f t="shared" si="19"/>
        <v>78.5</v>
      </c>
      <c r="F88" s="110">
        <v>17870</v>
      </c>
      <c r="G88" s="111">
        <v>95</v>
      </c>
      <c r="H88" s="10">
        <f t="shared" si="20"/>
        <v>0.82631578947368423</v>
      </c>
      <c r="I88" s="104">
        <v>272585.90000000002</v>
      </c>
      <c r="J88" s="106">
        <f t="shared" si="21"/>
        <v>130.20000000001164</v>
      </c>
      <c r="K88" s="110">
        <v>17887</v>
      </c>
      <c r="L88" s="107">
        <f t="shared" si="22"/>
        <v>17</v>
      </c>
      <c r="M88" s="112">
        <v>188</v>
      </c>
      <c r="N88" s="28">
        <f t="shared" si="23"/>
        <v>0.69255319148942363</v>
      </c>
      <c r="O88" s="84">
        <f t="shared" si="24"/>
        <v>208.70000000001164</v>
      </c>
      <c r="P88" s="79">
        <f t="shared" si="25"/>
        <v>283</v>
      </c>
      <c r="Q88" s="34">
        <f t="shared" si="26"/>
        <v>0.73745583038873375</v>
      </c>
      <c r="R88" s="1">
        <v>17</v>
      </c>
    </row>
    <row r="89" spans="1:18" ht="24" customHeight="1">
      <c r="A89" s="81">
        <v>39</v>
      </c>
      <c r="B89" s="31" t="s">
        <v>85</v>
      </c>
      <c r="C89" s="35">
        <v>280344.8</v>
      </c>
      <c r="D89" s="35">
        <v>280344.8</v>
      </c>
      <c r="E89" s="104">
        <f t="shared" si="19"/>
        <v>0</v>
      </c>
      <c r="F89" s="110">
        <v>19806</v>
      </c>
      <c r="G89" s="111">
        <v>0</v>
      </c>
      <c r="H89" s="10">
        <f t="shared" si="20"/>
        <v>0</v>
      </c>
      <c r="I89" s="35">
        <v>280499.90000000002</v>
      </c>
      <c r="J89" s="106">
        <f t="shared" si="21"/>
        <v>155.10000000003492</v>
      </c>
      <c r="K89" s="110">
        <v>19818</v>
      </c>
      <c r="L89" s="107">
        <f t="shared" si="22"/>
        <v>12</v>
      </c>
      <c r="M89" s="112">
        <v>199</v>
      </c>
      <c r="N89" s="28">
        <f t="shared" si="23"/>
        <v>0.77939698492479859</v>
      </c>
      <c r="O89" s="84">
        <f t="shared" si="24"/>
        <v>155.10000000003492</v>
      </c>
      <c r="P89" s="79">
        <f t="shared" si="25"/>
        <v>199</v>
      </c>
      <c r="Q89" s="34">
        <f t="shared" si="26"/>
        <v>0.77939698492479859</v>
      </c>
      <c r="R89" s="1">
        <v>23</v>
      </c>
    </row>
    <row r="90" spans="1:18" ht="24" customHeight="1">
      <c r="A90" s="81">
        <v>40</v>
      </c>
      <c r="B90" s="31" t="s">
        <v>86</v>
      </c>
      <c r="C90" s="104">
        <v>251128.2</v>
      </c>
      <c r="D90" s="104">
        <v>251128.2</v>
      </c>
      <c r="E90" s="104">
        <f t="shared" si="19"/>
        <v>0</v>
      </c>
      <c r="F90" s="110">
        <v>17852</v>
      </c>
      <c r="G90" s="111">
        <v>0</v>
      </c>
      <c r="H90" s="10">
        <f t="shared" si="20"/>
        <v>0</v>
      </c>
      <c r="I90" s="104">
        <v>251256.2</v>
      </c>
      <c r="J90" s="106">
        <f t="shared" si="21"/>
        <v>128</v>
      </c>
      <c r="K90" s="110">
        <v>17861</v>
      </c>
      <c r="L90" s="107">
        <f t="shared" si="22"/>
        <v>9</v>
      </c>
      <c r="M90" s="112">
        <v>157.83000000000001</v>
      </c>
      <c r="N90" s="28">
        <f t="shared" si="23"/>
        <v>0.81099917632896146</v>
      </c>
      <c r="O90" s="84">
        <f t="shared" si="24"/>
        <v>128</v>
      </c>
      <c r="P90" s="79">
        <f t="shared" si="25"/>
        <v>157.83000000000001</v>
      </c>
      <c r="Q90" s="34">
        <f t="shared" si="26"/>
        <v>0.81099917632896146</v>
      </c>
      <c r="R90" s="1">
        <v>26</v>
      </c>
    </row>
    <row r="91" spans="1:18" ht="24" customHeight="1">
      <c r="A91" s="81">
        <v>41</v>
      </c>
      <c r="B91" s="31" t="s">
        <v>87</v>
      </c>
      <c r="C91" s="104">
        <v>279969.59999999998</v>
      </c>
      <c r="D91" s="104">
        <v>279969.59999999998</v>
      </c>
      <c r="E91" s="104">
        <f t="shared" si="19"/>
        <v>0</v>
      </c>
      <c r="F91" s="110">
        <v>19351</v>
      </c>
      <c r="G91" s="111">
        <v>0</v>
      </c>
      <c r="H91" s="10">
        <f t="shared" si="20"/>
        <v>0</v>
      </c>
      <c r="I91" s="104">
        <v>280115.40000000002</v>
      </c>
      <c r="J91" s="106">
        <f t="shared" si="21"/>
        <v>145.80000000004657</v>
      </c>
      <c r="K91" s="110">
        <v>19365</v>
      </c>
      <c r="L91" s="107">
        <f t="shared" si="22"/>
        <v>14</v>
      </c>
      <c r="M91" s="111">
        <v>206</v>
      </c>
      <c r="N91" s="28">
        <f t="shared" si="23"/>
        <v>0.70776699029148815</v>
      </c>
      <c r="O91" s="84">
        <f t="shared" si="24"/>
        <v>145.80000000004657</v>
      </c>
      <c r="P91" s="79">
        <f t="shared" si="25"/>
        <v>206</v>
      </c>
      <c r="Q91" s="34">
        <f t="shared" si="26"/>
        <v>0.70776699029148815</v>
      </c>
      <c r="R91" s="1">
        <v>28</v>
      </c>
    </row>
    <row r="92" spans="1:18" ht="24" customHeight="1">
      <c r="A92" s="81">
        <v>42</v>
      </c>
      <c r="B92" s="31" t="s">
        <v>88</v>
      </c>
      <c r="C92" s="104">
        <v>275849.3</v>
      </c>
      <c r="D92" s="104">
        <v>275849.3</v>
      </c>
      <c r="E92" s="104">
        <f t="shared" si="19"/>
        <v>0</v>
      </c>
      <c r="F92" s="110">
        <v>18742</v>
      </c>
      <c r="G92" s="111">
        <v>0</v>
      </c>
      <c r="H92" s="10">
        <f t="shared" si="20"/>
        <v>0</v>
      </c>
      <c r="I92" s="104">
        <v>275985</v>
      </c>
      <c r="J92" s="106">
        <f t="shared" si="21"/>
        <v>135.70000000001164</v>
      </c>
      <c r="K92" s="110">
        <v>18753</v>
      </c>
      <c r="L92" s="107">
        <f t="shared" si="22"/>
        <v>11</v>
      </c>
      <c r="M92" s="111">
        <v>180</v>
      </c>
      <c r="N92" s="28">
        <f t="shared" si="23"/>
        <v>0.75388888888895356</v>
      </c>
      <c r="O92" s="84">
        <f t="shared" si="24"/>
        <v>135.70000000001164</v>
      </c>
      <c r="P92" s="79">
        <f t="shared" si="25"/>
        <v>180</v>
      </c>
      <c r="Q92" s="34">
        <f t="shared" si="26"/>
        <v>0.75388888888895356</v>
      </c>
      <c r="R92" s="1">
        <v>34</v>
      </c>
    </row>
    <row r="93" spans="1:18" ht="24" customHeight="1">
      <c r="A93" s="81">
        <v>43</v>
      </c>
      <c r="B93" s="31" t="s">
        <v>89</v>
      </c>
      <c r="C93" s="35">
        <v>268414.40000000002</v>
      </c>
      <c r="D93" s="35">
        <v>268414.40000000002</v>
      </c>
      <c r="E93" s="104">
        <f t="shared" si="19"/>
        <v>0</v>
      </c>
      <c r="F93" s="110">
        <v>18403</v>
      </c>
      <c r="G93" s="111">
        <v>0</v>
      </c>
      <c r="H93" s="10">
        <f t="shared" si="20"/>
        <v>0</v>
      </c>
      <c r="I93" s="35">
        <v>268557.3</v>
      </c>
      <c r="J93" s="106">
        <f t="shared" si="21"/>
        <v>142.89999999996508</v>
      </c>
      <c r="K93" s="110">
        <v>18417</v>
      </c>
      <c r="L93" s="107">
        <f t="shared" si="22"/>
        <v>14</v>
      </c>
      <c r="M93" s="111">
        <v>209</v>
      </c>
      <c r="N93" s="28">
        <f t="shared" si="23"/>
        <v>0.68373205741610088</v>
      </c>
      <c r="O93" s="84">
        <f t="shared" si="24"/>
        <v>142.89999999996508</v>
      </c>
      <c r="P93" s="79">
        <f t="shared" si="25"/>
        <v>209</v>
      </c>
      <c r="Q93" s="34">
        <f t="shared" si="26"/>
        <v>0.68373205741610088</v>
      </c>
      <c r="R93" s="1">
        <v>31</v>
      </c>
    </row>
    <row r="94" spans="1:18" ht="24" customHeight="1">
      <c r="A94" s="81">
        <v>44</v>
      </c>
      <c r="B94" s="31" t="s">
        <v>90</v>
      </c>
      <c r="C94" s="104">
        <v>245484.5</v>
      </c>
      <c r="D94" s="104">
        <v>245484.5</v>
      </c>
      <c r="E94" s="104">
        <f t="shared" si="19"/>
        <v>0</v>
      </c>
      <c r="F94" s="110">
        <v>17718</v>
      </c>
      <c r="G94" s="111">
        <v>0</v>
      </c>
      <c r="H94" s="10">
        <f>IFERROR(E94/G94,0)</f>
        <v>0</v>
      </c>
      <c r="I94" s="104">
        <v>245625.5</v>
      </c>
      <c r="J94" s="106">
        <f t="shared" si="21"/>
        <v>141</v>
      </c>
      <c r="K94" s="110">
        <v>17731</v>
      </c>
      <c r="L94" s="107">
        <f t="shared" si="22"/>
        <v>13</v>
      </c>
      <c r="M94" s="111">
        <v>187</v>
      </c>
      <c r="N94" s="28">
        <f t="shared" si="23"/>
        <v>0.75401069518716579</v>
      </c>
      <c r="O94" s="84">
        <f t="shared" si="24"/>
        <v>141</v>
      </c>
      <c r="P94" s="79">
        <f t="shared" si="25"/>
        <v>187</v>
      </c>
      <c r="Q94" s="34">
        <f t="shared" si="26"/>
        <v>0.75401069518716579</v>
      </c>
      <c r="R94" s="1">
        <v>23</v>
      </c>
    </row>
    <row r="95" spans="1:18" ht="24" customHeight="1">
      <c r="A95" s="81">
        <v>45</v>
      </c>
      <c r="B95" s="31" t="s">
        <v>91</v>
      </c>
      <c r="C95" s="104">
        <v>254153.9</v>
      </c>
      <c r="D95" s="104">
        <v>254153.9</v>
      </c>
      <c r="E95" s="104">
        <f t="shared" si="19"/>
        <v>0</v>
      </c>
      <c r="F95" s="110">
        <v>17731</v>
      </c>
      <c r="G95" s="111">
        <v>0</v>
      </c>
      <c r="H95" s="10">
        <f t="shared" si="20"/>
        <v>0</v>
      </c>
      <c r="I95" s="104">
        <v>254153.9</v>
      </c>
      <c r="J95" s="106">
        <f t="shared" si="21"/>
        <v>0</v>
      </c>
      <c r="K95" s="110">
        <v>17731</v>
      </c>
      <c r="L95" s="107">
        <f t="shared" si="22"/>
        <v>0</v>
      </c>
      <c r="M95" s="111">
        <v>0</v>
      </c>
      <c r="N95" s="28">
        <f t="shared" si="23"/>
        <v>0</v>
      </c>
      <c r="O95" s="84">
        <f t="shared" si="24"/>
        <v>0</v>
      </c>
      <c r="P95" s="79">
        <f t="shared" si="25"/>
        <v>0</v>
      </c>
      <c r="Q95" s="34">
        <f t="shared" si="26"/>
        <v>0</v>
      </c>
      <c r="R95" s="1">
        <v>0</v>
      </c>
    </row>
    <row r="96" spans="1:18" ht="24" customHeight="1">
      <c r="A96" s="81">
        <v>46</v>
      </c>
      <c r="B96" s="31" t="s">
        <v>92</v>
      </c>
      <c r="C96" s="35">
        <v>239956</v>
      </c>
      <c r="D96" s="35">
        <v>239956</v>
      </c>
      <c r="E96" s="104">
        <f>D96-C96</f>
        <v>0</v>
      </c>
      <c r="F96" s="110">
        <v>17390</v>
      </c>
      <c r="G96" s="111">
        <v>0</v>
      </c>
      <c r="H96" s="10">
        <f t="shared" si="20"/>
        <v>0</v>
      </c>
      <c r="I96" s="35">
        <v>240114.9</v>
      </c>
      <c r="J96" s="106">
        <f>I96-D96</f>
        <v>158.89999999999418</v>
      </c>
      <c r="K96" s="110">
        <v>17404</v>
      </c>
      <c r="L96" s="107">
        <f t="shared" si="22"/>
        <v>14</v>
      </c>
      <c r="M96" s="111">
        <v>223</v>
      </c>
      <c r="N96" s="28">
        <f t="shared" si="23"/>
        <v>0.71255605381163312</v>
      </c>
      <c r="O96" s="84">
        <f t="shared" si="24"/>
        <v>158.89999999999418</v>
      </c>
      <c r="P96" s="79">
        <f>G96+M96</f>
        <v>223</v>
      </c>
      <c r="Q96" s="34">
        <f t="shared" si="26"/>
        <v>0.71255605381163312</v>
      </c>
      <c r="R96" s="1">
        <v>28</v>
      </c>
    </row>
    <row r="97" spans="1:19" ht="24" customHeight="1">
      <c r="A97" s="81">
        <v>47</v>
      </c>
      <c r="B97" s="31" t="s">
        <v>93</v>
      </c>
      <c r="C97" s="104">
        <v>248336.6</v>
      </c>
      <c r="D97" s="104">
        <v>248336.6</v>
      </c>
      <c r="E97" s="104">
        <f>D97-C97</f>
        <v>0</v>
      </c>
      <c r="F97" s="110">
        <v>16840</v>
      </c>
      <c r="G97" s="111">
        <v>0</v>
      </c>
      <c r="H97" s="10">
        <f t="shared" si="20"/>
        <v>0</v>
      </c>
      <c r="I97" s="104">
        <v>248498.2</v>
      </c>
      <c r="J97" s="106">
        <f>I97-D97</f>
        <v>161.60000000000582</v>
      </c>
      <c r="K97" s="110">
        <v>16853</v>
      </c>
      <c r="L97" s="107">
        <f t="shared" si="22"/>
        <v>13</v>
      </c>
      <c r="M97" s="111">
        <v>243.4</v>
      </c>
      <c r="N97" s="28">
        <f t="shared" si="23"/>
        <v>0.66392769104357363</v>
      </c>
      <c r="O97" s="84">
        <f t="shared" si="24"/>
        <v>161.60000000000582</v>
      </c>
      <c r="P97" s="79">
        <f t="shared" si="25"/>
        <v>243.4</v>
      </c>
      <c r="Q97" s="34">
        <f t="shared" si="26"/>
        <v>0.66392769104357363</v>
      </c>
      <c r="R97" s="1">
        <v>34</v>
      </c>
      <c r="S97" t="s">
        <v>94</v>
      </c>
    </row>
    <row r="98" spans="1:19" ht="24" customHeight="1">
      <c r="A98" s="81">
        <v>48</v>
      </c>
      <c r="B98" s="31" t="s">
        <v>95</v>
      </c>
      <c r="C98" s="104">
        <v>245330.2</v>
      </c>
      <c r="D98" s="104">
        <v>245330.2</v>
      </c>
      <c r="E98" s="104">
        <f t="shared" si="19"/>
        <v>0</v>
      </c>
      <c r="F98" s="110">
        <v>18282</v>
      </c>
      <c r="G98" s="111">
        <v>0</v>
      </c>
      <c r="H98" s="10">
        <f t="shared" si="20"/>
        <v>0</v>
      </c>
      <c r="I98" s="104">
        <v>245448.3</v>
      </c>
      <c r="J98" s="106">
        <f t="shared" si="21"/>
        <v>118.09999999997672</v>
      </c>
      <c r="K98" s="110">
        <v>18292</v>
      </c>
      <c r="L98" s="107">
        <f t="shared" si="22"/>
        <v>10</v>
      </c>
      <c r="M98" s="111">
        <v>163</v>
      </c>
      <c r="N98" s="28">
        <f t="shared" si="23"/>
        <v>0.72453987730047065</v>
      </c>
      <c r="O98" s="84">
        <f t="shared" si="24"/>
        <v>118.09999999997672</v>
      </c>
      <c r="P98" s="79">
        <f t="shared" si="25"/>
        <v>163</v>
      </c>
      <c r="Q98" s="34">
        <f t="shared" si="26"/>
        <v>0.72453987730047065</v>
      </c>
      <c r="R98" s="1">
        <v>21</v>
      </c>
    </row>
    <row r="99" spans="1:19" ht="24" customHeight="1">
      <c r="A99" s="81">
        <v>49</v>
      </c>
      <c r="B99" s="31" t="s">
        <v>96</v>
      </c>
      <c r="C99" s="35">
        <v>249866</v>
      </c>
      <c r="D99" s="35">
        <v>249866</v>
      </c>
      <c r="E99" s="104">
        <f t="shared" si="19"/>
        <v>0</v>
      </c>
      <c r="F99" s="110">
        <v>17965</v>
      </c>
      <c r="G99" s="111">
        <v>0</v>
      </c>
      <c r="H99" s="10">
        <f>IFERROR(E99/G99,0)</f>
        <v>0</v>
      </c>
      <c r="I99" s="35">
        <v>249980.9</v>
      </c>
      <c r="J99" s="106">
        <f t="shared" si="21"/>
        <v>114.89999999999418</v>
      </c>
      <c r="K99" s="110">
        <v>17975</v>
      </c>
      <c r="L99" s="107">
        <f t="shared" si="22"/>
        <v>10</v>
      </c>
      <c r="M99" s="111">
        <v>154</v>
      </c>
      <c r="N99" s="28">
        <f t="shared" si="23"/>
        <v>0.7461038961038583</v>
      </c>
      <c r="O99" s="84">
        <f t="shared" si="24"/>
        <v>114.89999999999418</v>
      </c>
      <c r="P99" s="79">
        <f t="shared" si="25"/>
        <v>154</v>
      </c>
      <c r="Q99" s="34">
        <f t="shared" si="26"/>
        <v>0.7461038961038583</v>
      </c>
      <c r="R99" s="1">
        <v>25</v>
      </c>
    </row>
    <row r="100" spans="1:19" ht="24" customHeight="1">
      <c r="A100" s="81">
        <v>50</v>
      </c>
      <c r="B100" s="31" t="s">
        <v>97</v>
      </c>
      <c r="C100" s="104">
        <v>238610.5</v>
      </c>
      <c r="D100" s="104">
        <v>238610.5</v>
      </c>
      <c r="E100" s="104">
        <f t="shared" si="19"/>
        <v>0</v>
      </c>
      <c r="F100" s="110">
        <v>16480</v>
      </c>
      <c r="G100" s="111">
        <v>0</v>
      </c>
      <c r="H100" s="10">
        <f t="shared" si="20"/>
        <v>0</v>
      </c>
      <c r="I100" s="104">
        <v>238762</v>
      </c>
      <c r="J100" s="106">
        <f t="shared" si="21"/>
        <v>151.5</v>
      </c>
      <c r="K100" s="110">
        <v>16491</v>
      </c>
      <c r="L100" s="107">
        <f t="shared" si="22"/>
        <v>11</v>
      </c>
      <c r="M100" s="111">
        <v>206</v>
      </c>
      <c r="N100" s="28">
        <f t="shared" si="23"/>
        <v>0.7354368932038835</v>
      </c>
      <c r="O100" s="84">
        <f t="shared" si="24"/>
        <v>151.5</v>
      </c>
      <c r="P100" s="79">
        <f t="shared" si="25"/>
        <v>206</v>
      </c>
      <c r="Q100" s="34">
        <f t="shared" si="26"/>
        <v>0.7354368932038835</v>
      </c>
      <c r="R100" s="1">
        <v>32</v>
      </c>
    </row>
    <row r="101" spans="1:19" ht="24" customHeight="1">
      <c r="A101" s="81">
        <v>51</v>
      </c>
      <c r="B101" s="121" t="s">
        <v>166</v>
      </c>
      <c r="C101" s="104">
        <v>206285</v>
      </c>
      <c r="D101" s="104">
        <v>206285</v>
      </c>
      <c r="E101" s="118">
        <f t="shared" si="19"/>
        <v>0</v>
      </c>
      <c r="F101" s="110">
        <v>17567</v>
      </c>
      <c r="G101" s="111">
        <v>0</v>
      </c>
      <c r="H101" s="55">
        <f t="shared" si="20"/>
        <v>0</v>
      </c>
      <c r="I101" s="104">
        <v>206450</v>
      </c>
      <c r="J101" s="119">
        <f t="shared" si="21"/>
        <v>165</v>
      </c>
      <c r="K101" s="110">
        <v>17580</v>
      </c>
      <c r="L101" s="120">
        <f t="shared" si="22"/>
        <v>13</v>
      </c>
      <c r="M101" s="111">
        <v>216</v>
      </c>
      <c r="N101" s="28">
        <f t="shared" si="23"/>
        <v>0.76388888888888884</v>
      </c>
      <c r="O101" s="58">
        <f t="shared" si="24"/>
        <v>165</v>
      </c>
      <c r="P101" s="79">
        <f t="shared" si="25"/>
        <v>216</v>
      </c>
      <c r="Q101" s="34">
        <f t="shared" si="26"/>
        <v>0.76388888888888884</v>
      </c>
      <c r="R101" s="1">
        <v>27</v>
      </c>
    </row>
    <row r="102" spans="1:19" ht="24" customHeight="1">
      <c r="A102" s="81">
        <v>52</v>
      </c>
      <c r="B102" s="121" t="s">
        <v>167</v>
      </c>
      <c r="C102" s="104">
        <v>186406</v>
      </c>
      <c r="D102" s="104">
        <v>186406</v>
      </c>
      <c r="E102" s="118">
        <f t="shared" si="19"/>
        <v>0</v>
      </c>
      <c r="F102" s="110">
        <v>16317</v>
      </c>
      <c r="G102" s="111">
        <v>0</v>
      </c>
      <c r="H102" s="55">
        <f t="shared" si="20"/>
        <v>0</v>
      </c>
      <c r="I102" s="104">
        <v>186406</v>
      </c>
      <c r="J102" s="119">
        <f t="shared" si="21"/>
        <v>0</v>
      </c>
      <c r="K102" s="110">
        <v>16317</v>
      </c>
      <c r="L102" s="120">
        <f t="shared" si="22"/>
        <v>0</v>
      </c>
      <c r="M102" s="111">
        <v>0</v>
      </c>
      <c r="N102" s="28">
        <f t="shared" si="23"/>
        <v>0</v>
      </c>
      <c r="O102" s="58">
        <f t="shared" si="24"/>
        <v>0</v>
      </c>
      <c r="P102" s="79">
        <f t="shared" si="25"/>
        <v>0</v>
      </c>
      <c r="Q102" s="34">
        <f t="shared" si="26"/>
        <v>0</v>
      </c>
      <c r="R102" s="1">
        <v>0</v>
      </c>
    </row>
    <row r="103" spans="1:19" ht="24" customHeight="1">
      <c r="A103" s="81">
        <v>53</v>
      </c>
      <c r="B103" s="121" t="s">
        <v>168</v>
      </c>
      <c r="C103" s="104">
        <v>193379</v>
      </c>
      <c r="D103" s="104">
        <v>193379</v>
      </c>
      <c r="E103" s="118">
        <f t="shared" si="19"/>
        <v>0</v>
      </c>
      <c r="F103" s="110">
        <v>17251</v>
      </c>
      <c r="G103" s="111">
        <v>0</v>
      </c>
      <c r="H103" s="55">
        <f t="shared" si="20"/>
        <v>0</v>
      </c>
      <c r="I103" s="104">
        <v>193528</v>
      </c>
      <c r="J103" s="119">
        <f t="shared" si="21"/>
        <v>149</v>
      </c>
      <c r="K103" s="110">
        <v>17261</v>
      </c>
      <c r="L103" s="120">
        <f t="shared" si="22"/>
        <v>10</v>
      </c>
      <c r="M103" s="111">
        <v>206</v>
      </c>
      <c r="N103" s="28">
        <f t="shared" si="23"/>
        <v>0.72330097087378642</v>
      </c>
      <c r="O103" s="58">
        <f t="shared" si="24"/>
        <v>149</v>
      </c>
      <c r="P103" s="79">
        <f t="shared" si="25"/>
        <v>206</v>
      </c>
      <c r="Q103" s="34">
        <f t="shared" si="26"/>
        <v>0.72330097087378642</v>
      </c>
      <c r="R103" s="1">
        <v>33</v>
      </c>
    </row>
    <row r="104" spans="1:19" ht="24" customHeight="1">
      <c r="A104" s="81">
        <v>54</v>
      </c>
      <c r="B104" s="121" t="s">
        <v>169</v>
      </c>
      <c r="C104" s="104">
        <v>197422</v>
      </c>
      <c r="D104" s="104">
        <v>197422</v>
      </c>
      <c r="E104" s="118">
        <f t="shared" si="19"/>
        <v>0</v>
      </c>
      <c r="F104" s="110">
        <v>16734</v>
      </c>
      <c r="G104" s="111">
        <v>0</v>
      </c>
      <c r="H104" s="55">
        <f t="shared" si="20"/>
        <v>0</v>
      </c>
      <c r="I104" s="104">
        <v>197546</v>
      </c>
      <c r="J104" s="119">
        <f t="shared" si="21"/>
        <v>124</v>
      </c>
      <c r="K104" s="110">
        <v>16746</v>
      </c>
      <c r="L104" s="120">
        <f t="shared" si="22"/>
        <v>12</v>
      </c>
      <c r="M104" s="111">
        <v>205</v>
      </c>
      <c r="N104" s="28">
        <f t="shared" si="23"/>
        <v>0.60487804878048779</v>
      </c>
      <c r="O104" s="58">
        <f t="shared" si="24"/>
        <v>124</v>
      </c>
      <c r="P104" s="79">
        <f t="shared" si="25"/>
        <v>205</v>
      </c>
      <c r="Q104" s="34">
        <f t="shared" si="26"/>
        <v>0.60487804878048779</v>
      </c>
      <c r="R104" s="1">
        <v>26</v>
      </c>
    </row>
    <row r="105" spans="1:19" ht="24" customHeight="1">
      <c r="A105" s="81">
        <v>55</v>
      </c>
      <c r="B105" s="121" t="s">
        <v>104</v>
      </c>
      <c r="C105" s="104">
        <v>72523</v>
      </c>
      <c r="D105" s="104">
        <v>72523</v>
      </c>
      <c r="E105" s="118">
        <f t="shared" si="19"/>
        <v>0</v>
      </c>
      <c r="F105" s="110">
        <v>4901</v>
      </c>
      <c r="G105" s="111">
        <v>0</v>
      </c>
      <c r="H105" s="78">
        <f t="shared" si="20"/>
        <v>0</v>
      </c>
      <c r="I105" s="104">
        <v>72707.899999999994</v>
      </c>
      <c r="J105" s="112">
        <f t="shared" si="21"/>
        <v>184.89999999999418</v>
      </c>
      <c r="K105" s="110">
        <v>4915</v>
      </c>
      <c r="L105" s="107">
        <f t="shared" si="22"/>
        <v>14</v>
      </c>
      <c r="M105" s="111">
        <v>269</v>
      </c>
      <c r="N105" s="28">
        <f t="shared" si="23"/>
        <v>0.68736059479551737</v>
      </c>
      <c r="O105" s="58">
        <f t="shared" si="24"/>
        <v>184.89999999999418</v>
      </c>
      <c r="P105" s="79">
        <f t="shared" si="25"/>
        <v>269</v>
      </c>
      <c r="Q105" s="34">
        <f t="shared" si="26"/>
        <v>0.68736059479551737</v>
      </c>
      <c r="R105" s="1">
        <v>34</v>
      </c>
    </row>
    <row r="106" spans="1:19" ht="24" customHeight="1">
      <c r="A106" s="81">
        <v>56</v>
      </c>
      <c r="B106" s="121" t="s">
        <v>105</v>
      </c>
      <c r="C106" s="35">
        <v>71377.5</v>
      </c>
      <c r="D106" s="35">
        <v>71377.5</v>
      </c>
      <c r="E106" s="122">
        <f t="shared" si="19"/>
        <v>0</v>
      </c>
      <c r="F106" s="110">
        <v>4922</v>
      </c>
      <c r="G106" s="111">
        <v>0</v>
      </c>
      <c r="H106" s="78">
        <f t="shared" si="20"/>
        <v>0</v>
      </c>
      <c r="I106" s="35">
        <v>71513</v>
      </c>
      <c r="J106" s="112">
        <f t="shared" si="21"/>
        <v>135.5</v>
      </c>
      <c r="K106" s="110">
        <v>4932</v>
      </c>
      <c r="L106" s="107">
        <f t="shared" si="22"/>
        <v>10</v>
      </c>
      <c r="M106" s="111">
        <v>196</v>
      </c>
      <c r="N106" s="28">
        <f t="shared" si="23"/>
        <v>0.69132653061224492</v>
      </c>
      <c r="O106" s="58">
        <f t="shared" si="24"/>
        <v>135.5</v>
      </c>
      <c r="P106" s="79">
        <f t="shared" si="25"/>
        <v>196</v>
      </c>
      <c r="Q106" s="34">
        <f t="shared" si="26"/>
        <v>0.69132653061224492</v>
      </c>
      <c r="R106" s="1">
        <v>33</v>
      </c>
    </row>
    <row r="107" spans="1:19" ht="24" customHeight="1">
      <c r="A107" s="81">
        <v>57</v>
      </c>
      <c r="B107" s="121" t="s">
        <v>106</v>
      </c>
      <c r="C107" s="104">
        <v>69256.899999999994</v>
      </c>
      <c r="D107" s="104">
        <v>69256.899999999994</v>
      </c>
      <c r="E107" s="122">
        <f t="shared" si="19"/>
        <v>0</v>
      </c>
      <c r="F107" s="110">
        <v>4944</v>
      </c>
      <c r="G107" s="111">
        <v>0</v>
      </c>
      <c r="H107" s="78">
        <f t="shared" si="20"/>
        <v>0</v>
      </c>
      <c r="I107" s="104">
        <v>69396.899999999994</v>
      </c>
      <c r="J107" s="112">
        <f t="shared" si="21"/>
        <v>140</v>
      </c>
      <c r="K107" s="110">
        <v>4954</v>
      </c>
      <c r="L107" s="107">
        <f t="shared" si="22"/>
        <v>10</v>
      </c>
      <c r="M107" s="111">
        <v>188</v>
      </c>
      <c r="N107" s="28">
        <f t="shared" si="23"/>
        <v>0.74468085106382975</v>
      </c>
      <c r="O107" s="58">
        <f t="shared" si="24"/>
        <v>140</v>
      </c>
      <c r="P107" s="79">
        <f t="shared" si="25"/>
        <v>188</v>
      </c>
      <c r="Q107" s="34">
        <f t="shared" si="26"/>
        <v>0.74468085106382975</v>
      </c>
      <c r="R107" s="1">
        <v>30</v>
      </c>
    </row>
    <row r="108" spans="1:19" ht="24" customHeight="1">
      <c r="A108" s="81">
        <v>58</v>
      </c>
      <c r="B108" s="121" t="s">
        <v>107</v>
      </c>
      <c r="C108" s="104">
        <v>71484.5</v>
      </c>
      <c r="D108" s="104">
        <v>71484.5</v>
      </c>
      <c r="E108" s="122">
        <f t="shared" si="19"/>
        <v>0</v>
      </c>
      <c r="F108" s="110">
        <v>4945</v>
      </c>
      <c r="G108" s="111">
        <v>0</v>
      </c>
      <c r="H108" s="78">
        <f t="shared" si="20"/>
        <v>0</v>
      </c>
      <c r="I108" s="104">
        <v>71640</v>
      </c>
      <c r="J108" s="112">
        <f t="shared" si="21"/>
        <v>155.5</v>
      </c>
      <c r="K108" s="110">
        <v>4955</v>
      </c>
      <c r="L108" s="107">
        <f t="shared" si="22"/>
        <v>10</v>
      </c>
      <c r="M108" s="111">
        <v>204</v>
      </c>
      <c r="N108" s="28">
        <f t="shared" si="23"/>
        <v>0.76225490196078427</v>
      </c>
      <c r="O108" s="58">
        <f t="shared" si="24"/>
        <v>155.5</v>
      </c>
      <c r="P108" s="79">
        <f t="shared" si="25"/>
        <v>204</v>
      </c>
      <c r="Q108" s="34">
        <f t="shared" si="26"/>
        <v>0.76225490196078427</v>
      </c>
      <c r="R108" s="1">
        <v>30</v>
      </c>
    </row>
    <row r="109" spans="1:19" ht="24" customHeight="1">
      <c r="A109" s="81">
        <v>59</v>
      </c>
      <c r="B109" s="121" t="s">
        <v>108</v>
      </c>
      <c r="C109" s="104">
        <v>70617.7</v>
      </c>
      <c r="D109" s="104">
        <v>70617.7</v>
      </c>
      <c r="E109" s="122">
        <f t="shared" si="19"/>
        <v>0</v>
      </c>
      <c r="F109" s="110">
        <v>4913</v>
      </c>
      <c r="G109" s="111">
        <v>0</v>
      </c>
      <c r="H109" s="78">
        <f t="shared" si="20"/>
        <v>0</v>
      </c>
      <c r="I109" s="104">
        <v>70767.899999999994</v>
      </c>
      <c r="J109" s="112">
        <f t="shared" si="21"/>
        <v>150.19999999999709</v>
      </c>
      <c r="K109" s="110">
        <v>4923</v>
      </c>
      <c r="L109" s="107">
        <f t="shared" si="22"/>
        <v>10</v>
      </c>
      <c r="M109" s="111">
        <v>216</v>
      </c>
      <c r="N109" s="28">
        <f t="shared" si="23"/>
        <v>0.69537037037035687</v>
      </c>
      <c r="O109" s="58">
        <f t="shared" si="24"/>
        <v>150.19999999999709</v>
      </c>
      <c r="P109" s="79">
        <f t="shared" si="25"/>
        <v>216</v>
      </c>
      <c r="Q109" s="34">
        <f t="shared" si="26"/>
        <v>0.69537037037035687</v>
      </c>
      <c r="R109" s="1">
        <v>30</v>
      </c>
    </row>
    <row r="110" spans="1:19" ht="24" customHeight="1">
      <c r="A110" s="81">
        <v>60</v>
      </c>
      <c r="B110" s="121" t="s">
        <v>109</v>
      </c>
      <c r="C110" s="104">
        <v>72523.399999999994</v>
      </c>
      <c r="D110" s="104">
        <v>72523.399999999994</v>
      </c>
      <c r="E110" s="118">
        <f t="shared" si="19"/>
        <v>0</v>
      </c>
      <c r="F110" s="110">
        <v>5005</v>
      </c>
      <c r="G110" s="111">
        <v>0</v>
      </c>
      <c r="H110" s="55">
        <f t="shared" si="20"/>
        <v>0</v>
      </c>
      <c r="I110" s="104">
        <v>72680.5</v>
      </c>
      <c r="J110" s="119">
        <f t="shared" si="21"/>
        <v>157.10000000000582</v>
      </c>
      <c r="K110" s="110">
        <v>5014</v>
      </c>
      <c r="L110" s="120">
        <f t="shared" si="22"/>
        <v>9</v>
      </c>
      <c r="M110" s="111">
        <v>205</v>
      </c>
      <c r="N110" s="28">
        <f t="shared" si="23"/>
        <v>0.76634146341466258</v>
      </c>
      <c r="O110" s="58">
        <f t="shared" si="24"/>
        <v>157.10000000000582</v>
      </c>
      <c r="P110" s="79">
        <f t="shared" si="25"/>
        <v>205</v>
      </c>
      <c r="Q110" s="34">
        <f t="shared" si="26"/>
        <v>0.76634146341466258</v>
      </c>
      <c r="R110" s="1">
        <v>32</v>
      </c>
    </row>
    <row r="111" spans="1:19" ht="24" customHeight="1">
      <c r="A111" s="81">
        <v>61</v>
      </c>
      <c r="B111" s="121" t="s">
        <v>176</v>
      </c>
      <c r="C111" s="104">
        <v>54032.5</v>
      </c>
      <c r="D111" s="104">
        <v>54032.5</v>
      </c>
      <c r="E111" s="118">
        <f t="shared" si="19"/>
        <v>0</v>
      </c>
      <c r="F111" s="110">
        <v>4358</v>
      </c>
      <c r="G111" s="111">
        <v>0</v>
      </c>
      <c r="H111" s="55">
        <f t="shared" si="20"/>
        <v>0</v>
      </c>
      <c r="I111" s="104">
        <v>54180.1</v>
      </c>
      <c r="J111" s="119">
        <f t="shared" si="21"/>
        <v>147.59999999999854</v>
      </c>
      <c r="K111" s="110">
        <v>4368</v>
      </c>
      <c r="L111" s="120">
        <f t="shared" si="22"/>
        <v>10</v>
      </c>
      <c r="M111" s="111">
        <v>201</v>
      </c>
      <c r="N111" s="28">
        <f t="shared" si="23"/>
        <v>0.73432835820894793</v>
      </c>
      <c r="O111" s="58">
        <f t="shared" si="24"/>
        <v>147.59999999999854</v>
      </c>
      <c r="P111" s="79">
        <f t="shared" si="25"/>
        <v>201</v>
      </c>
      <c r="Q111" s="34">
        <f t="shared" si="26"/>
        <v>0.73432835820894793</v>
      </c>
      <c r="R111" s="1">
        <v>20</v>
      </c>
    </row>
    <row r="112" spans="1:19" ht="24" customHeight="1">
      <c r="A112" s="81">
        <v>62</v>
      </c>
      <c r="B112" s="121" t="s">
        <v>177</v>
      </c>
      <c r="C112" s="104">
        <v>53265.1</v>
      </c>
      <c r="D112" s="104">
        <v>53265.1</v>
      </c>
      <c r="E112" s="118">
        <f t="shared" si="19"/>
        <v>0</v>
      </c>
      <c r="F112" s="110">
        <v>4404</v>
      </c>
      <c r="G112" s="111">
        <v>0</v>
      </c>
      <c r="H112" s="55">
        <f t="shared" si="20"/>
        <v>0</v>
      </c>
      <c r="I112" s="104">
        <v>53404</v>
      </c>
      <c r="J112" s="119">
        <f t="shared" si="21"/>
        <v>138.90000000000146</v>
      </c>
      <c r="K112" s="110">
        <v>4414</v>
      </c>
      <c r="L112" s="120">
        <f t="shared" si="22"/>
        <v>10</v>
      </c>
      <c r="M112" s="111">
        <v>190</v>
      </c>
      <c r="N112" s="28">
        <f t="shared" si="23"/>
        <v>0.73105263157895506</v>
      </c>
      <c r="O112" s="58">
        <f t="shared" si="24"/>
        <v>138.90000000000146</v>
      </c>
      <c r="P112" s="79">
        <f t="shared" si="25"/>
        <v>190</v>
      </c>
      <c r="Q112" s="34">
        <f t="shared" si="26"/>
        <v>0.73105263157895506</v>
      </c>
      <c r="R112" s="1">
        <v>33</v>
      </c>
    </row>
    <row r="113" spans="1:18" ht="24" customHeight="1">
      <c r="A113" s="81">
        <v>63</v>
      </c>
      <c r="B113" s="121" t="s">
        <v>178</v>
      </c>
      <c r="C113" s="104">
        <v>51818.400000000001</v>
      </c>
      <c r="D113" s="104">
        <v>51818.400000000001</v>
      </c>
      <c r="E113" s="118">
        <f t="shared" si="19"/>
        <v>0</v>
      </c>
      <c r="F113" s="110">
        <v>4147</v>
      </c>
      <c r="G113" s="111">
        <v>0</v>
      </c>
      <c r="H113" s="55">
        <f t="shared" si="20"/>
        <v>0</v>
      </c>
      <c r="I113" s="104">
        <v>51964.5</v>
      </c>
      <c r="J113" s="119">
        <f t="shared" si="21"/>
        <v>146.09999999999854</v>
      </c>
      <c r="K113" s="110">
        <v>4156</v>
      </c>
      <c r="L113" s="120">
        <f t="shared" si="22"/>
        <v>9</v>
      </c>
      <c r="M113" s="111">
        <v>193</v>
      </c>
      <c r="N113" s="28">
        <f t="shared" si="23"/>
        <v>0.75699481865284224</v>
      </c>
      <c r="O113" s="58">
        <f t="shared" si="24"/>
        <v>146.09999999999854</v>
      </c>
      <c r="P113" s="79">
        <f t="shared" si="25"/>
        <v>193</v>
      </c>
      <c r="Q113" s="34">
        <f t="shared" si="26"/>
        <v>0.75699481865284224</v>
      </c>
      <c r="R113" s="1">
        <v>32</v>
      </c>
    </row>
    <row r="114" spans="1:18" ht="24" customHeight="1">
      <c r="A114" s="81">
        <v>64</v>
      </c>
      <c r="B114" s="121" t="s">
        <v>179</v>
      </c>
      <c r="C114" s="104">
        <v>52712</v>
      </c>
      <c r="D114" s="104">
        <v>52712</v>
      </c>
      <c r="E114" s="118">
        <f t="shared" si="19"/>
        <v>0</v>
      </c>
      <c r="F114" s="110">
        <v>4314</v>
      </c>
      <c r="G114" s="111">
        <v>0</v>
      </c>
      <c r="H114" s="55">
        <f t="shared" si="20"/>
        <v>0</v>
      </c>
      <c r="I114" s="104">
        <v>52850.400000000001</v>
      </c>
      <c r="J114" s="119">
        <f t="shared" si="21"/>
        <v>138.40000000000146</v>
      </c>
      <c r="K114" s="110">
        <v>4324</v>
      </c>
      <c r="L114" s="120">
        <f t="shared" si="22"/>
        <v>10</v>
      </c>
      <c r="M114" s="111">
        <v>218</v>
      </c>
      <c r="N114" s="28">
        <f t="shared" si="23"/>
        <v>0.63486238532110761</v>
      </c>
      <c r="O114" s="58">
        <f t="shared" si="24"/>
        <v>138.40000000000146</v>
      </c>
      <c r="P114" s="79">
        <f t="shared" si="25"/>
        <v>218</v>
      </c>
      <c r="Q114" s="34">
        <f t="shared" si="26"/>
        <v>0.63486238532110761</v>
      </c>
      <c r="R114" s="1">
        <v>27</v>
      </c>
    </row>
    <row r="115" spans="1:18" ht="24" customHeight="1">
      <c r="A115" s="81">
        <v>65</v>
      </c>
      <c r="B115" s="121" t="s">
        <v>180</v>
      </c>
      <c r="C115" s="104">
        <v>52982.7</v>
      </c>
      <c r="D115" s="104">
        <v>52982.7</v>
      </c>
      <c r="E115" s="118">
        <f t="shared" si="19"/>
        <v>0</v>
      </c>
      <c r="F115" s="110">
        <v>4255</v>
      </c>
      <c r="G115" s="111">
        <v>0</v>
      </c>
      <c r="H115" s="55">
        <f t="shared" si="20"/>
        <v>0</v>
      </c>
      <c r="I115" s="104">
        <v>53129.4</v>
      </c>
      <c r="J115" s="119">
        <f t="shared" si="21"/>
        <v>146.70000000000437</v>
      </c>
      <c r="K115" s="110">
        <v>4264</v>
      </c>
      <c r="L115" s="120">
        <f t="shared" si="22"/>
        <v>9</v>
      </c>
      <c r="M115" s="111">
        <v>199</v>
      </c>
      <c r="N115" s="28">
        <f t="shared" si="23"/>
        <v>0.73718592964826313</v>
      </c>
      <c r="O115" s="58">
        <f t="shared" si="24"/>
        <v>146.70000000000437</v>
      </c>
      <c r="P115" s="79">
        <f t="shared" si="25"/>
        <v>199</v>
      </c>
      <c r="Q115" s="34">
        <f t="shared" si="26"/>
        <v>0.73718592964826313</v>
      </c>
      <c r="R115" s="1">
        <v>34</v>
      </c>
    </row>
    <row r="116" spans="1:18" ht="24" customHeight="1">
      <c r="A116" s="81">
        <v>66</v>
      </c>
      <c r="B116" s="121" t="s">
        <v>110</v>
      </c>
      <c r="C116" s="104">
        <v>36269.699999999997</v>
      </c>
      <c r="D116" s="104">
        <v>36269.699999999997</v>
      </c>
      <c r="E116" s="118">
        <f t="shared" si="19"/>
        <v>0</v>
      </c>
      <c r="F116" s="110">
        <v>2915</v>
      </c>
      <c r="G116" s="111">
        <v>0</v>
      </c>
      <c r="H116" s="55">
        <f t="shared" si="20"/>
        <v>0</v>
      </c>
      <c r="I116" s="104">
        <v>36419</v>
      </c>
      <c r="J116" s="119">
        <f t="shared" si="21"/>
        <v>149.30000000000291</v>
      </c>
      <c r="K116" s="110">
        <v>2924</v>
      </c>
      <c r="L116" s="120">
        <f t="shared" si="22"/>
        <v>9</v>
      </c>
      <c r="M116" s="111">
        <v>192</v>
      </c>
      <c r="N116" s="28">
        <f t="shared" si="23"/>
        <v>0.77760416666668186</v>
      </c>
      <c r="O116" s="58">
        <f t="shared" si="24"/>
        <v>149.30000000000291</v>
      </c>
      <c r="P116" s="79">
        <f t="shared" si="25"/>
        <v>192</v>
      </c>
      <c r="Q116" s="34">
        <f t="shared" si="26"/>
        <v>0.77760416666668186</v>
      </c>
      <c r="R116" s="1">
        <v>32</v>
      </c>
    </row>
    <row r="117" spans="1:18" ht="22.2" customHeight="1">
      <c r="A117" s="123" t="s">
        <v>28</v>
      </c>
      <c r="B117" s="123"/>
      <c r="C117" s="40"/>
      <c r="D117" s="123"/>
      <c r="E117" s="124">
        <f>SUM(E51:E116)</f>
        <v>228</v>
      </c>
      <c r="F117" s="125"/>
      <c r="G117" s="126">
        <f>SUM(G51:G116)</f>
        <v>294</v>
      </c>
      <c r="H117" s="39"/>
      <c r="I117" s="40"/>
      <c r="J117" s="40">
        <f>SUM(J51:J116)</f>
        <v>7706.4999999999345</v>
      </c>
      <c r="K117" s="127"/>
      <c r="L117" s="128">
        <f>SUM(L51:L116)</f>
        <v>657.81000000000495</v>
      </c>
      <c r="M117" s="128">
        <f>SUM(M51:M116)</f>
        <v>11275.189999999999</v>
      </c>
      <c r="N117" s="28">
        <f>IFERROR(J117/M117,0)</f>
        <v>0.68349180812030086</v>
      </c>
      <c r="O117" s="129">
        <f>SUM(O51:O116)</f>
        <v>7934.4999999999345</v>
      </c>
      <c r="P117" s="79">
        <f>G117+M117</f>
        <v>11569.189999999999</v>
      </c>
      <c r="Q117" s="34">
        <f>IFERROR(O117/P117,0)</f>
        <v>0.68583020937506733</v>
      </c>
      <c r="R117" s="130">
        <f>SUM(R51:R116)</f>
        <v>1669</v>
      </c>
    </row>
    <row r="118" spans="1:18" ht="22.2" customHeight="1" thickBot="1">
      <c r="A118" s="206" t="s">
        <v>111</v>
      </c>
      <c r="B118" s="207"/>
      <c r="C118" s="207"/>
      <c r="D118" s="207"/>
      <c r="E118" s="207"/>
      <c r="F118" s="207"/>
      <c r="G118" s="207"/>
      <c r="H118" s="207"/>
      <c r="I118" s="207"/>
      <c r="J118" s="207"/>
      <c r="K118" s="207"/>
      <c r="L118" s="208"/>
      <c r="M118" s="131"/>
      <c r="N118" s="132"/>
      <c r="O118" s="133"/>
    </row>
    <row r="119" spans="1:18" ht="22.2" customHeight="1">
      <c r="A119" s="209" t="s">
        <v>3</v>
      </c>
      <c r="B119" s="211" t="s">
        <v>4</v>
      </c>
      <c r="C119" s="213" t="s">
        <v>5</v>
      </c>
      <c r="D119" s="214"/>
      <c r="E119" s="214"/>
      <c r="F119" s="214"/>
      <c r="G119" s="215"/>
      <c r="H119" s="216" t="s">
        <v>6</v>
      </c>
      <c r="I119" s="217"/>
      <c r="J119" s="217"/>
      <c r="K119" s="218"/>
      <c r="L119" s="48"/>
      <c r="M119" s="219" t="s">
        <v>7</v>
      </c>
      <c r="N119" s="194" t="s">
        <v>8</v>
      </c>
      <c r="O119" s="37"/>
    </row>
    <row r="120" spans="1:18" ht="27.6" customHeight="1" thickBot="1">
      <c r="A120" s="210"/>
      <c r="B120" s="212"/>
      <c r="C120" s="49" t="s">
        <v>11</v>
      </c>
      <c r="D120" s="49" t="s">
        <v>12</v>
      </c>
      <c r="E120" s="49" t="s">
        <v>13</v>
      </c>
      <c r="F120" s="6" t="s">
        <v>14</v>
      </c>
      <c r="G120" s="6" t="s">
        <v>8</v>
      </c>
      <c r="H120" s="49" t="s">
        <v>12</v>
      </c>
      <c r="I120" s="49" t="s">
        <v>13</v>
      </c>
      <c r="J120" s="49" t="s">
        <v>14</v>
      </c>
      <c r="K120" s="7" t="s">
        <v>8</v>
      </c>
      <c r="L120" s="50" t="s">
        <v>15</v>
      </c>
      <c r="M120" s="220"/>
      <c r="N120" s="195"/>
      <c r="O120" s="37"/>
    </row>
    <row r="121" spans="1:18" ht="22.2" customHeight="1">
      <c r="A121" s="76">
        <v>1</v>
      </c>
      <c r="B121" s="31" t="s">
        <v>112</v>
      </c>
      <c r="C121" s="35">
        <v>122082</v>
      </c>
      <c r="D121" s="35">
        <v>122082</v>
      </c>
      <c r="E121" s="17">
        <f>D121-C121</f>
        <v>0</v>
      </c>
      <c r="F121" s="33">
        <v>0</v>
      </c>
      <c r="G121" s="10">
        <f>IFERROR(F121/E121,0)</f>
        <v>0</v>
      </c>
      <c r="H121" s="35">
        <v>122082</v>
      </c>
      <c r="I121" s="19">
        <f>H121-D121</f>
        <v>0</v>
      </c>
      <c r="J121" s="33">
        <v>0</v>
      </c>
      <c r="K121" s="28">
        <f t="shared" ref="K121:K141" si="27">IFERROR(J121/I121,0)</f>
        <v>0</v>
      </c>
      <c r="L121" s="18">
        <f t="shared" ref="L121:M141" si="28">E121+I121</f>
        <v>0</v>
      </c>
      <c r="M121" s="22">
        <f>F121+J121</f>
        <v>0</v>
      </c>
      <c r="N121" s="71">
        <f>IFERROR(L121/M121,0)</f>
        <v>0</v>
      </c>
      <c r="O121" s="37"/>
    </row>
    <row r="122" spans="1:18" ht="22.2" customHeight="1">
      <c r="A122" s="76">
        <v>2</v>
      </c>
      <c r="B122" s="31" t="s">
        <v>113</v>
      </c>
      <c r="C122" s="35">
        <v>4298.33</v>
      </c>
      <c r="D122" s="35">
        <v>4298.33</v>
      </c>
      <c r="E122" s="17">
        <f t="shared" ref="E122:E141" si="29">D122-C122</f>
        <v>0</v>
      </c>
      <c r="F122" s="33">
        <v>0</v>
      </c>
      <c r="G122" s="10">
        <f t="shared" ref="G122:G141" si="30">IFERROR(F122/E122,0)</f>
        <v>0</v>
      </c>
      <c r="H122" s="35">
        <v>4298.33</v>
      </c>
      <c r="I122" s="19">
        <f>H122-D122</f>
        <v>0</v>
      </c>
      <c r="J122" s="33">
        <v>0</v>
      </c>
      <c r="K122" s="28">
        <f t="shared" si="27"/>
        <v>0</v>
      </c>
      <c r="L122" s="18">
        <f t="shared" si="28"/>
        <v>0</v>
      </c>
      <c r="M122" s="22">
        <f t="shared" si="28"/>
        <v>0</v>
      </c>
      <c r="N122" s="71">
        <f t="shared" ref="N122:N141" si="31">IFERROR(L122/M122,0)</f>
        <v>0</v>
      </c>
      <c r="O122" s="134"/>
    </row>
    <row r="123" spans="1:18" ht="22.2" customHeight="1">
      <c r="A123" s="76">
        <v>3</v>
      </c>
      <c r="B123" s="31" t="s">
        <v>114</v>
      </c>
      <c r="C123" s="35">
        <v>180.5</v>
      </c>
      <c r="D123" s="35">
        <v>180.5</v>
      </c>
      <c r="E123" s="17">
        <f t="shared" si="29"/>
        <v>0</v>
      </c>
      <c r="F123" s="33">
        <v>0</v>
      </c>
      <c r="G123" s="10">
        <f t="shared" si="30"/>
        <v>0</v>
      </c>
      <c r="H123" s="35">
        <v>180.5</v>
      </c>
      <c r="I123" s="19">
        <f t="shared" ref="I123:I141" si="32">H123-D123</f>
        <v>0</v>
      </c>
      <c r="J123" s="33">
        <v>0</v>
      </c>
      <c r="K123" s="28">
        <f t="shared" si="27"/>
        <v>0</v>
      </c>
      <c r="L123" s="18">
        <f t="shared" si="28"/>
        <v>0</v>
      </c>
      <c r="M123" s="22">
        <f t="shared" si="28"/>
        <v>0</v>
      </c>
      <c r="N123" s="71">
        <f t="shared" si="31"/>
        <v>0</v>
      </c>
      <c r="O123" s="37"/>
    </row>
    <row r="124" spans="1:18" ht="22.2" customHeight="1">
      <c r="A124" s="76">
        <v>4</v>
      </c>
      <c r="B124" s="31" t="s">
        <v>115</v>
      </c>
      <c r="C124" s="136">
        <v>141080</v>
      </c>
      <c r="D124" s="136">
        <v>141545</v>
      </c>
      <c r="E124" s="17">
        <f t="shared" si="29"/>
        <v>465</v>
      </c>
      <c r="F124" s="33">
        <v>44</v>
      </c>
      <c r="G124" s="10">
        <f t="shared" si="30"/>
        <v>9.4623655913978491E-2</v>
      </c>
      <c r="H124" s="136">
        <v>141545</v>
      </c>
      <c r="I124" s="19">
        <f t="shared" si="32"/>
        <v>0</v>
      </c>
      <c r="J124" s="33">
        <v>0</v>
      </c>
      <c r="K124" s="28">
        <f t="shared" si="27"/>
        <v>0</v>
      </c>
      <c r="L124" s="18">
        <f t="shared" si="28"/>
        <v>465</v>
      </c>
      <c r="M124" s="22">
        <f t="shared" si="28"/>
        <v>44</v>
      </c>
      <c r="N124" s="71">
        <f t="shared" si="31"/>
        <v>10.568181818181818</v>
      </c>
      <c r="O124" s="137"/>
    </row>
    <row r="125" spans="1:18" ht="22.2" customHeight="1">
      <c r="A125" s="76">
        <v>5</v>
      </c>
      <c r="B125" s="31" t="s">
        <v>116</v>
      </c>
      <c r="C125" s="35">
        <v>44558.9</v>
      </c>
      <c r="D125" s="35">
        <v>44558.9</v>
      </c>
      <c r="E125" s="17">
        <f t="shared" si="29"/>
        <v>0</v>
      </c>
      <c r="F125" s="33">
        <v>0</v>
      </c>
      <c r="G125" s="10">
        <f t="shared" si="30"/>
        <v>0</v>
      </c>
      <c r="H125" s="35">
        <v>44558.9</v>
      </c>
      <c r="I125" s="19">
        <f t="shared" si="32"/>
        <v>0</v>
      </c>
      <c r="J125" s="33">
        <v>0</v>
      </c>
      <c r="K125" s="28">
        <f t="shared" si="27"/>
        <v>0</v>
      </c>
      <c r="L125" s="18">
        <f t="shared" si="28"/>
        <v>0</v>
      </c>
      <c r="M125" s="22">
        <f t="shared" si="28"/>
        <v>0</v>
      </c>
      <c r="N125" s="71">
        <f t="shared" si="31"/>
        <v>0</v>
      </c>
      <c r="O125" s="77"/>
    </row>
    <row r="126" spans="1:18" ht="22.2" customHeight="1">
      <c r="A126" s="76">
        <v>6</v>
      </c>
      <c r="B126" s="31" t="s">
        <v>117</v>
      </c>
      <c r="C126" s="35">
        <v>100820</v>
      </c>
      <c r="D126" s="35">
        <v>100820</v>
      </c>
      <c r="E126" s="17">
        <f t="shared" si="29"/>
        <v>0</v>
      </c>
      <c r="F126" s="33">
        <v>0</v>
      </c>
      <c r="G126" s="10">
        <f t="shared" si="30"/>
        <v>0</v>
      </c>
      <c r="H126" s="35">
        <v>100820</v>
      </c>
      <c r="I126" s="19">
        <f t="shared" si="32"/>
        <v>0</v>
      </c>
      <c r="J126" s="33">
        <v>0</v>
      </c>
      <c r="K126" s="28">
        <f t="shared" si="27"/>
        <v>0</v>
      </c>
      <c r="L126" s="18">
        <f t="shared" si="28"/>
        <v>0</v>
      </c>
      <c r="M126" s="22">
        <f t="shared" si="28"/>
        <v>0</v>
      </c>
      <c r="N126" s="71">
        <f t="shared" si="31"/>
        <v>0</v>
      </c>
      <c r="O126" s="37"/>
    </row>
    <row r="127" spans="1:18" ht="22.2" customHeight="1">
      <c r="A127" s="76">
        <v>7</v>
      </c>
      <c r="B127" s="31" t="s">
        <v>118</v>
      </c>
      <c r="C127" s="35">
        <v>152282.79999999999</v>
      </c>
      <c r="D127" s="35">
        <v>152282.79999999999</v>
      </c>
      <c r="E127" s="17">
        <f t="shared" si="29"/>
        <v>0</v>
      </c>
      <c r="F127" s="33">
        <v>0</v>
      </c>
      <c r="G127" s="10">
        <f t="shared" si="30"/>
        <v>0</v>
      </c>
      <c r="H127" s="35">
        <v>152282.79999999999</v>
      </c>
      <c r="I127" s="19">
        <f t="shared" si="32"/>
        <v>0</v>
      </c>
      <c r="J127" s="33">
        <v>0</v>
      </c>
      <c r="K127" s="28">
        <f t="shared" si="27"/>
        <v>0</v>
      </c>
      <c r="L127" s="18">
        <f t="shared" si="28"/>
        <v>0</v>
      </c>
      <c r="M127" s="22">
        <f>F127+J127</f>
        <v>0</v>
      </c>
      <c r="N127" s="71">
        <f t="shared" si="31"/>
        <v>0</v>
      </c>
      <c r="O127" s="37"/>
    </row>
    <row r="128" spans="1:18" ht="22.2" customHeight="1">
      <c r="A128" s="76">
        <v>8</v>
      </c>
      <c r="B128" s="138" t="s">
        <v>119</v>
      </c>
      <c r="C128" s="136">
        <v>40766.5</v>
      </c>
      <c r="D128" s="136">
        <v>40766.5</v>
      </c>
      <c r="E128" s="17">
        <f t="shared" si="29"/>
        <v>0</v>
      </c>
      <c r="F128" s="33">
        <v>0</v>
      </c>
      <c r="G128" s="10">
        <f t="shared" si="30"/>
        <v>0</v>
      </c>
      <c r="H128" s="136">
        <v>40766.5</v>
      </c>
      <c r="I128" s="19">
        <f t="shared" si="32"/>
        <v>0</v>
      </c>
      <c r="J128" s="33">
        <v>0</v>
      </c>
      <c r="K128" s="28">
        <f t="shared" si="27"/>
        <v>0</v>
      </c>
      <c r="L128" s="18">
        <f t="shared" si="28"/>
        <v>0</v>
      </c>
      <c r="M128" s="22">
        <f>F128+J128</f>
        <v>0</v>
      </c>
      <c r="N128" s="71">
        <f t="shared" si="31"/>
        <v>0</v>
      </c>
      <c r="O128" s="37"/>
    </row>
    <row r="129" spans="1:17" ht="22.2" customHeight="1">
      <c r="A129" s="76">
        <v>9</v>
      </c>
      <c r="B129" s="138" t="s">
        <v>120</v>
      </c>
      <c r="C129" s="35">
        <v>33988</v>
      </c>
      <c r="D129" s="35">
        <v>33988</v>
      </c>
      <c r="E129" s="17">
        <f t="shared" si="29"/>
        <v>0</v>
      </c>
      <c r="F129" s="33">
        <v>0</v>
      </c>
      <c r="G129" s="10">
        <f t="shared" si="30"/>
        <v>0</v>
      </c>
      <c r="H129" s="35">
        <v>33988</v>
      </c>
      <c r="I129" s="19">
        <f t="shared" si="32"/>
        <v>0</v>
      </c>
      <c r="J129" s="33">
        <v>0</v>
      </c>
      <c r="K129" s="28">
        <f t="shared" si="27"/>
        <v>0</v>
      </c>
      <c r="L129" s="18">
        <f t="shared" si="28"/>
        <v>0</v>
      </c>
      <c r="M129" s="22">
        <f t="shared" si="28"/>
        <v>0</v>
      </c>
      <c r="N129" s="71">
        <f t="shared" si="31"/>
        <v>0</v>
      </c>
      <c r="O129" s="37"/>
    </row>
    <row r="130" spans="1:17" ht="22.2" customHeight="1">
      <c r="A130" s="76">
        <v>10</v>
      </c>
      <c r="B130" s="31" t="s">
        <v>121</v>
      </c>
      <c r="C130" s="35">
        <v>156086</v>
      </c>
      <c r="D130" s="35">
        <v>156086</v>
      </c>
      <c r="E130" s="17">
        <f t="shared" si="29"/>
        <v>0</v>
      </c>
      <c r="F130" s="33">
        <v>0</v>
      </c>
      <c r="G130" s="10">
        <f t="shared" si="30"/>
        <v>0</v>
      </c>
      <c r="H130" s="35">
        <v>156564</v>
      </c>
      <c r="I130" s="19">
        <f t="shared" si="32"/>
        <v>478</v>
      </c>
      <c r="J130" s="33">
        <f>20+33.07</f>
        <v>53.07</v>
      </c>
      <c r="K130" s="28">
        <f t="shared" si="27"/>
        <v>0.11102510460251046</v>
      </c>
      <c r="L130" s="18">
        <f t="shared" si="28"/>
        <v>478</v>
      </c>
      <c r="M130" s="22">
        <f t="shared" si="28"/>
        <v>53.07</v>
      </c>
      <c r="N130" s="71">
        <f t="shared" si="31"/>
        <v>9.0069719238741293</v>
      </c>
      <c r="O130" s="137"/>
    </row>
    <row r="131" spans="1:17" ht="23.4" customHeight="1">
      <c r="A131" s="76">
        <v>11</v>
      </c>
      <c r="B131" s="138" t="s">
        <v>122</v>
      </c>
      <c r="C131" s="35">
        <v>36866</v>
      </c>
      <c r="D131" s="35">
        <v>36866</v>
      </c>
      <c r="E131" s="17">
        <f t="shared" si="29"/>
        <v>0</v>
      </c>
      <c r="F131" s="33">
        <v>0</v>
      </c>
      <c r="G131" s="10">
        <f t="shared" si="30"/>
        <v>0</v>
      </c>
      <c r="H131" s="35">
        <v>36866</v>
      </c>
      <c r="I131" s="19">
        <f t="shared" si="32"/>
        <v>0</v>
      </c>
      <c r="J131" s="33">
        <v>0</v>
      </c>
      <c r="K131" s="28">
        <f t="shared" si="27"/>
        <v>0</v>
      </c>
      <c r="L131" s="18">
        <f t="shared" si="28"/>
        <v>0</v>
      </c>
      <c r="M131" s="22">
        <f t="shared" si="28"/>
        <v>0</v>
      </c>
      <c r="N131" s="71">
        <f t="shared" si="31"/>
        <v>0</v>
      </c>
      <c r="O131" s="37"/>
      <c r="Q131" s="38"/>
    </row>
    <row r="132" spans="1:17" ht="22.2" customHeight="1">
      <c r="A132" s="76">
        <v>12</v>
      </c>
      <c r="B132" s="138" t="s">
        <v>123</v>
      </c>
      <c r="C132" s="35">
        <v>16649</v>
      </c>
      <c r="D132" s="35">
        <v>16649</v>
      </c>
      <c r="E132" s="17">
        <f t="shared" si="29"/>
        <v>0</v>
      </c>
      <c r="F132" s="33">
        <v>0</v>
      </c>
      <c r="G132" s="78">
        <f t="shared" si="30"/>
        <v>0</v>
      </c>
      <c r="H132" s="35">
        <v>16649</v>
      </c>
      <c r="I132" s="19">
        <f t="shared" si="32"/>
        <v>0</v>
      </c>
      <c r="J132" s="33">
        <v>0</v>
      </c>
      <c r="K132" s="28">
        <f t="shared" si="27"/>
        <v>0</v>
      </c>
      <c r="L132" s="18">
        <f t="shared" si="28"/>
        <v>0</v>
      </c>
      <c r="M132" s="79">
        <f t="shared" si="28"/>
        <v>0</v>
      </c>
      <c r="N132" s="71">
        <f t="shared" si="31"/>
        <v>0</v>
      </c>
      <c r="O132" s="37"/>
      <c r="Q132" s="45"/>
    </row>
    <row r="133" spans="1:17" ht="21.6" customHeight="1">
      <c r="A133" s="76">
        <v>13</v>
      </c>
      <c r="B133" s="171" t="s">
        <v>124</v>
      </c>
      <c r="C133" s="35">
        <v>890.2</v>
      </c>
      <c r="D133" s="35">
        <v>890.2</v>
      </c>
      <c r="E133" s="17">
        <f t="shared" si="29"/>
        <v>0</v>
      </c>
      <c r="F133" s="35">
        <v>0</v>
      </c>
      <c r="G133" s="78">
        <f t="shared" si="30"/>
        <v>0</v>
      </c>
      <c r="H133" s="35">
        <v>890.2</v>
      </c>
      <c r="I133" s="19">
        <f t="shared" si="32"/>
        <v>0</v>
      </c>
      <c r="J133" s="35">
        <v>0</v>
      </c>
      <c r="K133" s="28">
        <f t="shared" si="27"/>
        <v>0</v>
      </c>
      <c r="L133" s="18">
        <f t="shared" si="28"/>
        <v>0</v>
      </c>
      <c r="M133" s="79">
        <f t="shared" si="28"/>
        <v>0</v>
      </c>
      <c r="N133" s="71">
        <f t="shared" si="31"/>
        <v>0</v>
      </c>
      <c r="O133" s="37"/>
      <c r="Q133" s="45"/>
    </row>
    <row r="134" spans="1:17" ht="21.6" customHeight="1">
      <c r="A134" s="76">
        <v>14</v>
      </c>
      <c r="B134" s="171" t="s">
        <v>174</v>
      </c>
      <c r="C134" s="35">
        <v>3066</v>
      </c>
      <c r="D134" s="35">
        <v>3066</v>
      </c>
      <c r="E134" s="17">
        <f t="shared" si="29"/>
        <v>0</v>
      </c>
      <c r="F134" s="35">
        <v>0</v>
      </c>
      <c r="G134" s="78">
        <f t="shared" si="30"/>
        <v>0</v>
      </c>
      <c r="H134" s="35">
        <v>3066</v>
      </c>
      <c r="I134" s="19">
        <f t="shared" si="32"/>
        <v>0</v>
      </c>
      <c r="J134" s="141">
        <v>0</v>
      </c>
      <c r="K134" s="28">
        <f t="shared" si="27"/>
        <v>0</v>
      </c>
      <c r="L134" s="18">
        <f t="shared" si="28"/>
        <v>0</v>
      </c>
      <c r="M134" s="79">
        <f t="shared" si="28"/>
        <v>0</v>
      </c>
      <c r="N134" s="71">
        <f t="shared" si="31"/>
        <v>0</v>
      </c>
      <c r="O134" s="37"/>
      <c r="Q134" s="45"/>
    </row>
    <row r="135" spans="1:17" ht="25.2" customHeight="1">
      <c r="A135" s="76">
        <v>15</v>
      </c>
      <c r="B135" s="138" t="s">
        <v>127</v>
      </c>
      <c r="C135" s="35">
        <v>0</v>
      </c>
      <c r="D135" s="35">
        <v>0</v>
      </c>
      <c r="E135" s="17">
        <f t="shared" si="29"/>
        <v>0</v>
      </c>
      <c r="F135" s="33">
        <v>0</v>
      </c>
      <c r="G135" s="78">
        <f t="shared" si="30"/>
        <v>0</v>
      </c>
      <c r="H135" s="35">
        <v>0</v>
      </c>
      <c r="I135" s="19">
        <f t="shared" si="32"/>
        <v>0</v>
      </c>
      <c r="J135" s="33">
        <v>0</v>
      </c>
      <c r="K135" s="28">
        <f t="shared" si="27"/>
        <v>0</v>
      </c>
      <c r="L135" s="18">
        <f t="shared" si="28"/>
        <v>0</v>
      </c>
      <c r="M135" s="79">
        <f t="shared" si="28"/>
        <v>0</v>
      </c>
      <c r="N135" s="71">
        <f t="shared" si="31"/>
        <v>0</v>
      </c>
      <c r="O135" s="77"/>
      <c r="Q135" s="45"/>
    </row>
    <row r="136" spans="1:17" ht="25.2" customHeight="1">
      <c r="A136" s="76">
        <v>16</v>
      </c>
      <c r="B136" s="138" t="s">
        <v>183</v>
      </c>
      <c r="C136" s="35">
        <v>295805</v>
      </c>
      <c r="D136" s="35">
        <v>295805</v>
      </c>
      <c r="E136" s="17">
        <f t="shared" si="29"/>
        <v>0</v>
      </c>
      <c r="F136" s="33">
        <v>0</v>
      </c>
      <c r="G136" s="78">
        <f t="shared" si="30"/>
        <v>0</v>
      </c>
      <c r="H136" s="35">
        <v>295805</v>
      </c>
      <c r="I136" s="19">
        <f t="shared" si="32"/>
        <v>0</v>
      </c>
      <c r="J136" s="33">
        <v>0</v>
      </c>
      <c r="K136" s="28">
        <f t="shared" si="27"/>
        <v>0</v>
      </c>
      <c r="L136" s="18">
        <f t="shared" si="28"/>
        <v>0</v>
      </c>
      <c r="M136" s="79">
        <f t="shared" si="28"/>
        <v>0</v>
      </c>
      <c r="N136" s="71">
        <f t="shared" si="31"/>
        <v>0</v>
      </c>
      <c r="O136" s="77"/>
      <c r="Q136" s="45"/>
    </row>
    <row r="137" spans="1:17" ht="25.2" customHeight="1">
      <c r="A137" s="76">
        <v>17</v>
      </c>
      <c r="B137" s="138" t="s">
        <v>184</v>
      </c>
      <c r="C137" s="35">
        <v>77139.3</v>
      </c>
      <c r="D137" s="35">
        <v>77139.3</v>
      </c>
      <c r="E137" s="17">
        <f t="shared" si="29"/>
        <v>0</v>
      </c>
      <c r="F137" s="33">
        <v>0</v>
      </c>
      <c r="G137" s="78">
        <f t="shared" si="30"/>
        <v>0</v>
      </c>
      <c r="H137" s="35">
        <v>77139.3</v>
      </c>
      <c r="I137" s="19">
        <f t="shared" si="32"/>
        <v>0</v>
      </c>
      <c r="J137" s="33">
        <v>0</v>
      </c>
      <c r="K137" s="28">
        <f t="shared" si="27"/>
        <v>0</v>
      </c>
      <c r="L137" s="18">
        <f t="shared" si="28"/>
        <v>0</v>
      </c>
      <c r="M137" s="79">
        <f t="shared" si="28"/>
        <v>0</v>
      </c>
      <c r="N137" s="71">
        <f t="shared" si="31"/>
        <v>0</v>
      </c>
      <c r="O137" s="77"/>
      <c r="Q137" s="45"/>
    </row>
    <row r="138" spans="1:17" ht="25.2" customHeight="1">
      <c r="A138" s="76">
        <v>18</v>
      </c>
      <c r="B138" s="138" t="s">
        <v>185</v>
      </c>
      <c r="C138" s="35">
        <v>113495.8</v>
      </c>
      <c r="D138" s="35">
        <v>113495.8</v>
      </c>
      <c r="E138" s="17">
        <f t="shared" si="29"/>
        <v>0</v>
      </c>
      <c r="F138" s="33">
        <v>0</v>
      </c>
      <c r="G138" s="78">
        <f t="shared" si="30"/>
        <v>0</v>
      </c>
      <c r="H138" s="35">
        <v>113495.8</v>
      </c>
      <c r="I138" s="19">
        <f t="shared" si="32"/>
        <v>0</v>
      </c>
      <c r="J138" s="33">
        <v>0</v>
      </c>
      <c r="K138" s="28">
        <f t="shared" si="27"/>
        <v>0</v>
      </c>
      <c r="L138" s="18">
        <f t="shared" si="28"/>
        <v>0</v>
      </c>
      <c r="M138" s="79">
        <f t="shared" si="28"/>
        <v>0</v>
      </c>
      <c r="N138" s="71">
        <f t="shared" si="31"/>
        <v>0</v>
      </c>
      <c r="O138" s="77"/>
      <c r="Q138" s="45"/>
    </row>
    <row r="139" spans="1:17" ht="25.2" customHeight="1">
      <c r="A139" s="76">
        <v>19</v>
      </c>
      <c r="B139" s="138" t="s">
        <v>187</v>
      </c>
      <c r="C139" s="35">
        <v>59801.4</v>
      </c>
      <c r="D139" s="35">
        <v>59801.4</v>
      </c>
      <c r="E139" s="35">
        <f t="shared" si="29"/>
        <v>0</v>
      </c>
      <c r="F139" s="33">
        <v>0</v>
      </c>
      <c r="G139" s="78">
        <f t="shared" si="30"/>
        <v>0</v>
      </c>
      <c r="H139" s="35">
        <v>59801.4</v>
      </c>
      <c r="I139" s="56">
        <f t="shared" si="32"/>
        <v>0</v>
      </c>
      <c r="J139" s="33">
        <v>0</v>
      </c>
      <c r="K139" s="28">
        <f t="shared" si="27"/>
        <v>0</v>
      </c>
      <c r="L139" s="84">
        <f t="shared" si="28"/>
        <v>0</v>
      </c>
      <c r="M139" s="79">
        <f t="shared" si="28"/>
        <v>0</v>
      </c>
      <c r="N139" s="34">
        <f t="shared" si="31"/>
        <v>0</v>
      </c>
      <c r="O139" s="77"/>
      <c r="Q139" s="45"/>
    </row>
    <row r="140" spans="1:17" ht="25.2" customHeight="1">
      <c r="A140" s="76">
        <v>20</v>
      </c>
      <c r="B140" s="138" t="s">
        <v>188</v>
      </c>
      <c r="C140" s="35">
        <v>485627</v>
      </c>
      <c r="D140" s="35">
        <v>485627</v>
      </c>
      <c r="E140" s="35">
        <f t="shared" si="29"/>
        <v>0</v>
      </c>
      <c r="F140" s="33">
        <v>0</v>
      </c>
      <c r="G140" s="78">
        <f t="shared" si="30"/>
        <v>0</v>
      </c>
      <c r="H140" s="35">
        <v>485627</v>
      </c>
      <c r="I140" s="56">
        <f t="shared" si="32"/>
        <v>0</v>
      </c>
      <c r="J140" s="33">
        <v>0</v>
      </c>
      <c r="K140" s="28">
        <f t="shared" si="27"/>
        <v>0</v>
      </c>
      <c r="L140" s="84">
        <f t="shared" si="28"/>
        <v>0</v>
      </c>
      <c r="M140" s="79">
        <f t="shared" si="28"/>
        <v>0</v>
      </c>
      <c r="N140" s="34">
        <f t="shared" si="31"/>
        <v>0</v>
      </c>
      <c r="O140" s="77"/>
      <c r="Q140" s="45"/>
    </row>
    <row r="141" spans="1:17" ht="25.2" customHeight="1">
      <c r="A141" s="76">
        <v>21</v>
      </c>
      <c r="B141" s="138" t="s">
        <v>189</v>
      </c>
      <c r="C141" s="35">
        <v>46458.2</v>
      </c>
      <c r="D141" s="35">
        <v>46458.2</v>
      </c>
      <c r="E141" s="35">
        <f t="shared" si="29"/>
        <v>0</v>
      </c>
      <c r="F141" s="33">
        <v>0</v>
      </c>
      <c r="G141" s="78">
        <f t="shared" si="30"/>
        <v>0</v>
      </c>
      <c r="H141" s="35">
        <v>46458.2</v>
      </c>
      <c r="I141" s="56">
        <f t="shared" si="32"/>
        <v>0</v>
      </c>
      <c r="J141" s="33">
        <v>0</v>
      </c>
      <c r="K141" s="28">
        <f t="shared" si="27"/>
        <v>0</v>
      </c>
      <c r="L141" s="84">
        <f t="shared" si="28"/>
        <v>0</v>
      </c>
      <c r="M141" s="79">
        <f t="shared" si="28"/>
        <v>0</v>
      </c>
      <c r="N141" s="34">
        <f t="shared" si="31"/>
        <v>0</v>
      </c>
      <c r="O141" s="77"/>
      <c r="Q141" s="45"/>
    </row>
    <row r="142" spans="1:17" ht="18">
      <c r="A142" s="196" t="s">
        <v>28</v>
      </c>
      <c r="B142" s="197"/>
      <c r="C142" s="123"/>
      <c r="D142" s="123"/>
      <c r="E142" s="40">
        <f>SUM(E121:E141)</f>
        <v>465</v>
      </c>
      <c r="F142" s="40">
        <f>SUM(F121:F141)</f>
        <v>44</v>
      </c>
      <c r="G142" s="39"/>
      <c r="H142" s="39"/>
      <c r="I142" s="40">
        <f>SUM(I121:I141)</f>
        <v>478</v>
      </c>
      <c r="J142" s="40">
        <f>SUM(J121:J141)</f>
        <v>53.07</v>
      </c>
      <c r="K142" s="145"/>
      <c r="L142" s="146">
        <f>SUM(L121:L141)</f>
        <v>943</v>
      </c>
      <c r="M142" s="147">
        <f>SUM(M121:M141)</f>
        <v>97.07</v>
      </c>
      <c r="N142" s="34"/>
      <c r="O142" s="37"/>
      <c r="P142" s="72"/>
    </row>
    <row r="143" spans="1:17" ht="21.6" thickBot="1">
      <c r="A143" s="148"/>
      <c r="B143" s="149"/>
      <c r="C143" s="149"/>
      <c r="D143" s="149"/>
      <c r="E143" s="149" t="s">
        <v>139</v>
      </c>
      <c r="F143" s="150">
        <f>F19+F25+F34+F40+F47+G117+F142</f>
        <v>1696</v>
      </c>
      <c r="G143" s="149"/>
      <c r="H143" s="149"/>
      <c r="I143" s="151" t="s">
        <v>140</v>
      </c>
      <c r="J143" s="150">
        <f>J19+J25+J34+J40+J47+M117+J142</f>
        <v>16602.439999999999</v>
      </c>
      <c r="K143" s="198" t="s">
        <v>141</v>
      </c>
      <c r="L143" s="198"/>
      <c r="M143" s="198"/>
      <c r="N143" s="198"/>
      <c r="O143" s="152"/>
    </row>
    <row r="144" spans="1:17" ht="15">
      <c r="B144" s="153"/>
      <c r="C144" s="152"/>
      <c r="D144" s="152"/>
      <c r="E144" s="152"/>
      <c r="F144" s="152"/>
      <c r="G144" s="152"/>
      <c r="H144" s="152"/>
      <c r="I144" s="152"/>
      <c r="J144" s="154"/>
      <c r="K144" s="155" t="s">
        <v>142</v>
      </c>
      <c r="L144" s="199">
        <f>N2</f>
        <v>46222</v>
      </c>
      <c r="M144" s="200"/>
      <c r="N144" s="156"/>
      <c r="O144" s="157">
        <f>M142-N150</f>
        <v>97.07</v>
      </c>
    </row>
    <row r="145" spans="1:16" ht="18">
      <c r="B145" s="158" t="s">
        <v>143</v>
      </c>
      <c r="C145" s="159">
        <f>F143</f>
        <v>1696</v>
      </c>
      <c r="D145" s="160"/>
      <c r="E145" s="160"/>
      <c r="F145" s="159"/>
      <c r="G145" s="160"/>
      <c r="H145" s="160"/>
      <c r="I145" s="160"/>
      <c r="J145" s="45"/>
      <c r="K145" s="188" t="s">
        <v>144</v>
      </c>
      <c r="L145" s="189"/>
      <c r="M145" s="190"/>
      <c r="N145" s="161">
        <f>P117</f>
        <v>11569.189999999999</v>
      </c>
      <c r="O145" s="152"/>
    </row>
    <row r="146" spans="1:16" ht="18">
      <c r="B146" s="158" t="s">
        <v>145</v>
      </c>
      <c r="C146" s="159">
        <f>J143</f>
        <v>16602.439999999999</v>
      </c>
      <c r="D146" s="160"/>
      <c r="E146" s="160"/>
      <c r="F146" s="159"/>
      <c r="G146" s="159"/>
      <c r="H146" s="160"/>
      <c r="I146" s="160"/>
      <c r="J146" s="45"/>
      <c r="K146" s="188" t="s">
        <v>146</v>
      </c>
      <c r="L146" s="189"/>
      <c r="M146" s="190"/>
      <c r="N146" s="161">
        <f>M19</f>
        <v>3621.19</v>
      </c>
      <c r="O146" s="152"/>
    </row>
    <row r="147" spans="1:16" ht="18">
      <c r="B147" s="158" t="s">
        <v>28</v>
      </c>
      <c r="C147" s="159">
        <f>C145+C146</f>
        <v>18298.439999999999</v>
      </c>
      <c r="D147" s="160"/>
      <c r="E147" s="160"/>
      <c r="F147" s="160"/>
      <c r="G147" s="159"/>
      <c r="H147" s="160"/>
      <c r="I147" s="160"/>
      <c r="K147" s="188" t="s">
        <v>147</v>
      </c>
      <c r="L147" s="189"/>
      <c r="M147" s="190"/>
      <c r="N147" s="161">
        <f>M34</f>
        <v>1568.07</v>
      </c>
    </row>
    <row r="148" spans="1:16" ht="18">
      <c r="C148" s="45"/>
      <c r="D148" s="45"/>
      <c r="E148" s="45"/>
      <c r="F148" s="45"/>
      <c r="G148" s="45"/>
      <c r="H148" s="160" t="s">
        <v>94</v>
      </c>
      <c r="I148" s="45"/>
      <c r="K148" s="188" t="s">
        <v>148</v>
      </c>
      <c r="L148" s="189"/>
      <c r="M148" s="190"/>
      <c r="N148" s="161">
        <f>M40</f>
        <v>434.28</v>
      </c>
    </row>
    <row r="149" spans="1:16" ht="25.2" customHeight="1">
      <c r="B149" s="162" t="s">
        <v>149</v>
      </c>
      <c r="C149" s="193"/>
      <c r="D149" s="193"/>
      <c r="E149" s="193"/>
      <c r="F149" s="193"/>
      <c r="G149" s="193"/>
      <c r="H149" s="193"/>
      <c r="I149" s="193"/>
      <c r="J149" s="193"/>
      <c r="K149" s="188" t="s">
        <v>150</v>
      </c>
      <c r="L149" s="189"/>
      <c r="M149" s="190"/>
      <c r="N149" s="161">
        <f>M47</f>
        <v>731.63999999999987</v>
      </c>
    </row>
    <row r="150" spans="1:16" ht="18">
      <c r="C150" s="45"/>
      <c r="D150" s="45"/>
      <c r="E150" s="26"/>
      <c r="F150" s="26"/>
      <c r="G150" s="45"/>
      <c r="H150" s="160"/>
      <c r="I150" s="45"/>
      <c r="K150" s="188" t="s">
        <v>151</v>
      </c>
      <c r="L150" s="189"/>
      <c r="M150" s="190"/>
      <c r="N150" s="161">
        <f>M125+M126+M127+M128</f>
        <v>0</v>
      </c>
    </row>
    <row r="151" spans="1:16" ht="18">
      <c r="E151" s="38"/>
      <c r="F151" s="45"/>
      <c r="G151" s="45"/>
      <c r="H151" s="160"/>
      <c r="I151" s="45"/>
      <c r="K151" s="188" t="s">
        <v>152</v>
      </c>
      <c r="L151" s="189"/>
      <c r="M151" s="190"/>
      <c r="N151" s="161">
        <f>O144</f>
        <v>97.07</v>
      </c>
    </row>
    <row r="152" spans="1:16" ht="18.600000000000001" thickBot="1">
      <c r="C152" s="38"/>
      <c r="D152" s="38"/>
      <c r="G152" s="163"/>
      <c r="H152" s="160"/>
      <c r="K152" s="188" t="s">
        <v>153</v>
      </c>
      <c r="L152" s="189"/>
      <c r="M152" s="190"/>
      <c r="N152" s="164">
        <f>M25</f>
        <v>277</v>
      </c>
      <c r="P152" s="38"/>
    </row>
    <row r="153" spans="1:16" ht="16.8" thickBot="1">
      <c r="C153" s="38"/>
      <c r="D153" s="38"/>
      <c r="E153" s="38"/>
      <c r="F153" s="38"/>
      <c r="H153" s="38"/>
      <c r="K153" s="191" t="s">
        <v>154</v>
      </c>
      <c r="L153" s="192"/>
      <c r="M153" s="192"/>
      <c r="N153" s="165">
        <f>SUM(N145:N152)</f>
        <v>18298.439999999999</v>
      </c>
    </row>
    <row r="154" spans="1:16">
      <c r="C154" s="38"/>
      <c r="D154" s="38"/>
      <c r="E154" s="159"/>
      <c r="F154" s="159"/>
      <c r="H154" s="38"/>
      <c r="I154" s="38"/>
    </row>
    <row r="155" spans="1:16">
      <c r="C155" s="38"/>
      <c r="D155" s="38"/>
      <c r="E155" s="38"/>
      <c r="F155" s="38"/>
      <c r="H155" s="160"/>
    </row>
    <row r="156" spans="1:16">
      <c r="A156" s="159"/>
      <c r="B156" s="159"/>
      <c r="C156" s="159"/>
      <c r="D156" s="159"/>
      <c r="E156" s="159"/>
      <c r="F156" s="159"/>
      <c r="G156" s="38"/>
      <c r="H156" s="38"/>
      <c r="N156" s="45"/>
    </row>
    <row r="157" spans="1:16">
      <c r="A157" s="159"/>
    </row>
  </sheetData>
  <mergeCells count="72">
    <mergeCell ref="A1:N1"/>
    <mergeCell ref="A2:L2"/>
    <mergeCell ref="A3:A4"/>
    <mergeCell ref="B3:B4"/>
    <mergeCell ref="C3:G3"/>
    <mergeCell ref="H3:L3"/>
    <mergeCell ref="M3:M4"/>
    <mergeCell ref="N3:N4"/>
    <mergeCell ref="O3:O4"/>
    <mergeCell ref="P3:P4"/>
    <mergeCell ref="A19:B19"/>
    <mergeCell ref="A20:L20"/>
    <mergeCell ref="A21:A22"/>
    <mergeCell ref="B21:B22"/>
    <mergeCell ref="C21:G21"/>
    <mergeCell ref="H21:K21"/>
    <mergeCell ref="M21:M22"/>
    <mergeCell ref="N21:N22"/>
    <mergeCell ref="A25:B25"/>
    <mergeCell ref="A26:L26"/>
    <mergeCell ref="A27:A28"/>
    <mergeCell ref="B27:B28"/>
    <mergeCell ref="C27:G27"/>
    <mergeCell ref="H27:K27"/>
    <mergeCell ref="M27:M28"/>
    <mergeCell ref="N27:N28"/>
    <mergeCell ref="A34:B34"/>
    <mergeCell ref="A35:L35"/>
    <mergeCell ref="A36:A37"/>
    <mergeCell ref="B36:B37"/>
    <mergeCell ref="C36:G36"/>
    <mergeCell ref="H36:K36"/>
    <mergeCell ref="M36:M37"/>
    <mergeCell ref="N36:N37"/>
    <mergeCell ref="A40:B40"/>
    <mergeCell ref="A41:L41"/>
    <mergeCell ref="A42:A43"/>
    <mergeCell ref="B42:B43"/>
    <mergeCell ref="C42:G42"/>
    <mergeCell ref="H42:K42"/>
    <mergeCell ref="M42:M43"/>
    <mergeCell ref="N42:N43"/>
    <mergeCell ref="A47:B47"/>
    <mergeCell ref="A48:L48"/>
    <mergeCell ref="A49:A50"/>
    <mergeCell ref="B49:B50"/>
    <mergeCell ref="C49:H49"/>
    <mergeCell ref="I49:N49"/>
    <mergeCell ref="K146:M146"/>
    <mergeCell ref="O49:O50"/>
    <mergeCell ref="P49:P50"/>
    <mergeCell ref="Q49:Q50"/>
    <mergeCell ref="R49:R50"/>
    <mergeCell ref="A118:L118"/>
    <mergeCell ref="A119:A120"/>
    <mergeCell ref="B119:B120"/>
    <mergeCell ref="C119:G119"/>
    <mergeCell ref="H119:K119"/>
    <mergeCell ref="M119:M120"/>
    <mergeCell ref="N119:N120"/>
    <mergeCell ref="A142:B142"/>
    <mergeCell ref="K143:N143"/>
    <mergeCell ref="L144:M144"/>
    <mergeCell ref="K145:M145"/>
    <mergeCell ref="K152:M152"/>
    <mergeCell ref="K153:M153"/>
    <mergeCell ref="K147:M147"/>
    <mergeCell ref="K148:M148"/>
    <mergeCell ref="C149:J149"/>
    <mergeCell ref="K149:M149"/>
    <mergeCell ref="K150:M150"/>
    <mergeCell ref="K151:M151"/>
  </mergeCells>
  <conditionalFormatting sqref="N7:N20 N23:N24 N29:N33 N38:N39 N44:N46">
    <cfRule type="cellIs" dxfId="15" priority="2" operator="greaterThan">
      <formula>40</formula>
    </cfRule>
  </conditionalFormatting>
  <conditionalFormatting sqref="Q51:Q117">
    <cfRule type="cellIs" dxfId="14" priority="1" operator="lessThan">
      <formula>0.5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4E3C3-F1EF-4EF7-BAA0-D0545E0EB1C6}">
  <dimension ref="A1:AD158"/>
  <sheetViews>
    <sheetView zoomScale="74" zoomScaleNormal="74" workbookViewId="0">
      <pane ySplit="1" topLeftCell="A23" activePane="bottomLeft" state="frozen"/>
      <selection pane="bottomLeft" activeCell="H104" sqref="H104"/>
    </sheetView>
  </sheetViews>
  <sheetFormatPr defaultColWidth="9" defaultRowHeight="14.4"/>
  <cols>
    <col min="1" max="1" width="8.5546875" customWidth="1"/>
    <col min="2" max="2" width="29.44140625" bestFit="1" customWidth="1"/>
    <col min="3" max="3" width="18.88671875" customWidth="1"/>
    <col min="4" max="4" width="17.109375" customWidth="1"/>
    <col min="5" max="5" width="18.88671875" customWidth="1"/>
    <col min="6" max="6" width="11.6640625" customWidth="1"/>
    <col min="7" max="7" width="11.21875" customWidth="1"/>
    <col min="8" max="8" width="9.77734375" customWidth="1"/>
    <col min="9" max="9" width="13.6640625" customWidth="1"/>
    <col min="10" max="10" width="10" customWidth="1"/>
    <col min="11" max="11" width="9.77734375" customWidth="1"/>
    <col min="12" max="12" width="12.77734375" bestFit="1" customWidth="1"/>
    <col min="13" max="13" width="10.6640625" bestFit="1" customWidth="1"/>
    <col min="14" max="14" width="15.77734375" customWidth="1"/>
    <col min="15" max="15" width="10.77734375" customWidth="1"/>
    <col min="16" max="16" width="12.5546875" customWidth="1"/>
    <col min="17" max="17" width="17.88671875" customWidth="1"/>
    <col min="18" max="18" width="13.44140625" customWidth="1"/>
    <col min="19" max="19" width="17" customWidth="1"/>
    <col min="20" max="20" width="11.109375" bestFit="1" customWidth="1"/>
    <col min="22" max="22" width="9.21875" bestFit="1" customWidth="1"/>
    <col min="23" max="23" width="8.21875" bestFit="1" customWidth="1"/>
    <col min="24" max="25" width="11.21875" customWidth="1"/>
  </cols>
  <sheetData>
    <row r="1" spans="1:25" ht="18.600000000000001" thickBot="1">
      <c r="A1" s="249" t="s">
        <v>0</v>
      </c>
      <c r="B1" s="249"/>
      <c r="C1" s="249"/>
      <c r="D1" s="249"/>
      <c r="E1" s="249"/>
      <c r="F1" s="249"/>
      <c r="G1" s="249"/>
      <c r="H1" s="249"/>
      <c r="I1" s="249"/>
      <c r="J1" s="249"/>
      <c r="K1" s="249"/>
      <c r="L1" s="249"/>
      <c r="M1" s="249"/>
      <c r="N1" s="249"/>
      <c r="O1" s="249"/>
      <c r="P1" s="249"/>
      <c r="Q1" s="249"/>
      <c r="R1" s="1"/>
      <c r="Y1" s="2"/>
    </row>
    <row r="2" spans="1:25" ht="19.8" customHeight="1" thickBot="1">
      <c r="A2" s="250" t="s">
        <v>1</v>
      </c>
      <c r="B2" s="251"/>
      <c r="C2" s="252"/>
      <c r="D2" s="252"/>
      <c r="E2" s="252"/>
      <c r="F2" s="252"/>
      <c r="G2" s="252"/>
      <c r="H2" s="252"/>
      <c r="I2" s="252"/>
      <c r="J2" s="252"/>
      <c r="K2" s="252"/>
      <c r="L2" s="252"/>
      <c r="M2" s="252"/>
      <c r="N2" s="252"/>
      <c r="O2" s="251"/>
      <c r="P2" s="3" t="s">
        <v>2</v>
      </c>
      <c r="Q2" s="4">
        <v>46223</v>
      </c>
      <c r="R2" s="1"/>
    </row>
    <row r="3" spans="1:25" ht="18" customHeight="1">
      <c r="A3" s="209" t="s">
        <v>3</v>
      </c>
      <c r="B3" s="211" t="s">
        <v>4</v>
      </c>
      <c r="C3" s="174"/>
      <c r="D3" s="174"/>
      <c r="E3" s="174"/>
      <c r="F3" s="213" t="s">
        <v>5</v>
      </c>
      <c r="G3" s="214"/>
      <c r="H3" s="214"/>
      <c r="I3" s="214"/>
      <c r="J3" s="215"/>
      <c r="K3" s="253" t="s">
        <v>6</v>
      </c>
      <c r="L3" s="254"/>
      <c r="M3" s="254"/>
      <c r="N3" s="254"/>
      <c r="O3" s="255"/>
      <c r="P3" s="219" t="s">
        <v>7</v>
      </c>
      <c r="Q3" s="194" t="s">
        <v>8</v>
      </c>
      <c r="R3" s="243" t="s">
        <v>9</v>
      </c>
      <c r="S3" s="222" t="s">
        <v>10</v>
      </c>
    </row>
    <row r="4" spans="1:25" ht="22.8" customHeight="1">
      <c r="A4" s="247"/>
      <c r="B4" s="248"/>
      <c r="C4" s="183" t="s">
        <v>190</v>
      </c>
      <c r="D4" s="183" t="s">
        <v>191</v>
      </c>
      <c r="E4" s="183" t="s">
        <v>192</v>
      </c>
      <c r="F4" s="6" t="s">
        <v>11</v>
      </c>
      <c r="G4" s="6" t="s">
        <v>12</v>
      </c>
      <c r="H4" s="6" t="s">
        <v>13</v>
      </c>
      <c r="I4" s="6" t="s">
        <v>14</v>
      </c>
      <c r="J4" s="6" t="s">
        <v>8</v>
      </c>
      <c r="K4" s="6" t="s">
        <v>12</v>
      </c>
      <c r="L4" s="6" t="s">
        <v>13</v>
      </c>
      <c r="M4" s="6" t="s">
        <v>14</v>
      </c>
      <c r="N4" s="7" t="s">
        <v>8</v>
      </c>
      <c r="O4" s="8" t="s">
        <v>15</v>
      </c>
      <c r="P4" s="236"/>
      <c r="Q4" s="237"/>
      <c r="R4" s="248"/>
      <c r="S4" s="243"/>
    </row>
    <row r="5" spans="1:25" ht="22.8" customHeight="1">
      <c r="A5" s="5">
        <v>1</v>
      </c>
      <c r="B5" s="9" t="s">
        <v>175</v>
      </c>
      <c r="C5" s="9" t="s">
        <v>193</v>
      </c>
      <c r="D5" s="9" t="s">
        <v>194</v>
      </c>
      <c r="E5" s="9" t="s">
        <v>214</v>
      </c>
      <c r="F5" s="2">
        <v>32114.799999999999</v>
      </c>
      <c r="G5" s="2">
        <v>32126.5</v>
      </c>
      <c r="H5" s="2">
        <f>G5-F5</f>
        <v>11.700000000000728</v>
      </c>
      <c r="I5" s="2">
        <v>328.21</v>
      </c>
      <c r="J5" s="10">
        <f>IFERROR(I5/H5,0)</f>
        <v>28.052136752135006</v>
      </c>
      <c r="K5" s="2">
        <v>32132.1</v>
      </c>
      <c r="L5" s="167">
        <f>K5-G5</f>
        <v>5.5999999999985448</v>
      </c>
      <c r="M5" s="2">
        <v>185.68</v>
      </c>
      <c r="N5" s="11">
        <f>IFERROR(M5/L5,0)</f>
        <v>33.157142857151477</v>
      </c>
      <c r="O5" s="12">
        <f t="shared" ref="O5:P17" si="0">H5+L5</f>
        <v>17.299999999999272</v>
      </c>
      <c r="P5" s="13">
        <f t="shared" si="0"/>
        <v>513.89</v>
      </c>
      <c r="Q5" s="14">
        <f>IFERROR(P5/O5,0)</f>
        <v>29.704624277457896</v>
      </c>
      <c r="R5" s="2">
        <v>125</v>
      </c>
      <c r="S5" s="5"/>
    </row>
    <row r="6" spans="1:25" ht="22.8" customHeight="1">
      <c r="A6" s="81">
        <v>2</v>
      </c>
      <c r="B6" s="16" t="s">
        <v>170</v>
      </c>
      <c r="C6" s="9" t="s">
        <v>193</v>
      </c>
      <c r="D6" s="9" t="s">
        <v>194</v>
      </c>
      <c r="E6" s="9" t="s">
        <v>214</v>
      </c>
      <c r="F6" s="49">
        <v>33920.1</v>
      </c>
      <c r="G6" s="49">
        <v>33931.699999999997</v>
      </c>
      <c r="H6" s="2">
        <f>G6-F6</f>
        <v>11.599999999998545</v>
      </c>
      <c r="I6" s="49">
        <v>316.58</v>
      </c>
      <c r="J6" s="10">
        <f>IFERROR(I6/H6,0)</f>
        <v>27.291379310348251</v>
      </c>
      <c r="K6" s="49">
        <v>33931.699999999997</v>
      </c>
      <c r="L6" s="167">
        <f>K6-G6</f>
        <v>0</v>
      </c>
      <c r="M6" s="49">
        <v>0</v>
      </c>
      <c r="N6" s="11">
        <f>IFERROR(M6/L6,0)</f>
        <v>0</v>
      </c>
      <c r="O6" s="12">
        <f t="shared" si="0"/>
        <v>11.599999999998545</v>
      </c>
      <c r="P6" s="13">
        <f t="shared" si="0"/>
        <v>316.58</v>
      </c>
      <c r="Q6" s="14">
        <f>IFERROR(P6/O6,0)</f>
        <v>27.291379310348251</v>
      </c>
      <c r="R6" s="49">
        <v>124</v>
      </c>
      <c r="S6" s="81"/>
    </row>
    <row r="7" spans="1:25" ht="24" customHeight="1">
      <c r="A7" s="5">
        <v>3</v>
      </c>
      <c r="B7" s="16" t="s">
        <v>17</v>
      </c>
      <c r="C7" s="9" t="s">
        <v>193</v>
      </c>
      <c r="D7" s="9" t="s">
        <v>194</v>
      </c>
      <c r="E7" s="9" t="s">
        <v>214</v>
      </c>
      <c r="F7" s="17">
        <v>32493.3</v>
      </c>
      <c r="G7" s="17">
        <v>32493.3</v>
      </c>
      <c r="H7" s="17">
        <f t="shared" ref="H7:H18" si="1">G7-F7</f>
        <v>0</v>
      </c>
      <c r="I7" s="18">
        <v>0</v>
      </c>
      <c r="J7" s="10">
        <f>IFERROR(I7/H7,0)</f>
        <v>0</v>
      </c>
      <c r="K7" s="17">
        <v>32493.3</v>
      </c>
      <c r="L7" s="19">
        <f t="shared" ref="L7:L14" si="2">K7-G7</f>
        <v>0</v>
      </c>
      <c r="M7" s="20">
        <v>0</v>
      </c>
      <c r="N7" s="21">
        <f>IFERROR(M7/L7,0)</f>
        <v>0</v>
      </c>
      <c r="O7" s="18">
        <f t="shared" si="0"/>
        <v>0</v>
      </c>
      <c r="P7" s="22">
        <f t="shared" si="0"/>
        <v>0</v>
      </c>
      <c r="Q7" s="23">
        <f>IFERROR(P7/O7,0)</f>
        <v>0</v>
      </c>
      <c r="R7" s="24">
        <v>0</v>
      </c>
      <c r="S7" s="25"/>
      <c r="T7" s="26"/>
    </row>
    <row r="8" spans="1:25" ht="25.8" customHeight="1">
      <c r="A8" s="81">
        <v>4</v>
      </c>
      <c r="B8" s="16" t="s">
        <v>18</v>
      </c>
      <c r="C8" s="9" t="s">
        <v>193</v>
      </c>
      <c r="D8" s="9" t="s">
        <v>194</v>
      </c>
      <c r="E8" s="9" t="s">
        <v>214</v>
      </c>
      <c r="F8" s="17">
        <v>24781.9</v>
      </c>
      <c r="G8" s="17">
        <v>24792.3</v>
      </c>
      <c r="H8" s="17">
        <f t="shared" si="1"/>
        <v>10.399999999997817</v>
      </c>
      <c r="I8" s="18">
        <v>327.95</v>
      </c>
      <c r="J8" s="10">
        <f t="shared" ref="J8:J13" si="3">IFERROR(I8/H8,0)</f>
        <v>31.533653846160462</v>
      </c>
      <c r="K8" s="17">
        <v>24795.7</v>
      </c>
      <c r="L8" s="19">
        <f t="shared" si="2"/>
        <v>3.4000000000014552</v>
      </c>
      <c r="M8" s="20">
        <v>117.36</v>
      </c>
      <c r="N8" s="28">
        <f t="shared" ref="N8:N14" si="4">IFERROR(M8/L8,0)</f>
        <v>34.517647058808755</v>
      </c>
      <c r="O8" s="18">
        <f t="shared" si="0"/>
        <v>13.799999999999272</v>
      </c>
      <c r="P8" s="22">
        <f t="shared" si="0"/>
        <v>445.31</v>
      </c>
      <c r="Q8" s="23">
        <f t="shared" ref="Q8:Q18" si="5">IFERROR(P8/O8,0)</f>
        <v>32.268840579711849</v>
      </c>
      <c r="R8" s="29">
        <v>149</v>
      </c>
      <c r="S8" s="30"/>
      <c r="T8" s="26"/>
      <c r="V8" s="26"/>
    </row>
    <row r="9" spans="1:25" ht="25.8" customHeight="1">
      <c r="A9" s="5">
        <v>5</v>
      </c>
      <c r="B9" s="31" t="s">
        <v>19</v>
      </c>
      <c r="C9" s="9" t="s">
        <v>193</v>
      </c>
      <c r="D9" s="9" t="s">
        <v>194</v>
      </c>
      <c r="E9" s="9" t="s">
        <v>214</v>
      </c>
      <c r="F9" s="17">
        <v>32691.599999999999</v>
      </c>
      <c r="G9" s="17">
        <v>32702.9</v>
      </c>
      <c r="H9" s="17">
        <f t="shared" si="1"/>
        <v>11.30000000000291</v>
      </c>
      <c r="I9" s="32">
        <v>330.47</v>
      </c>
      <c r="J9" s="10">
        <f t="shared" si="3"/>
        <v>29.245132743355303</v>
      </c>
      <c r="K9" s="17">
        <v>32708.3</v>
      </c>
      <c r="L9" s="19">
        <f t="shared" si="2"/>
        <v>5.3999999999978172</v>
      </c>
      <c r="M9" s="33">
        <v>179.27</v>
      </c>
      <c r="N9" s="28">
        <f t="shared" si="4"/>
        <v>33.198148148161572</v>
      </c>
      <c r="O9" s="18">
        <f t="shared" si="0"/>
        <v>16.700000000000728</v>
      </c>
      <c r="P9" s="22">
        <f t="shared" si="0"/>
        <v>509.74</v>
      </c>
      <c r="Q9" s="23">
        <f t="shared" si="5"/>
        <v>30.523353293411844</v>
      </c>
      <c r="R9" s="29">
        <v>170</v>
      </c>
      <c r="S9" s="30"/>
      <c r="T9" s="26"/>
      <c r="V9" s="26"/>
    </row>
    <row r="10" spans="1:25" ht="25.8" customHeight="1">
      <c r="A10" s="81">
        <v>6</v>
      </c>
      <c r="B10" s="16" t="s">
        <v>20</v>
      </c>
      <c r="C10" s="9" t="s">
        <v>193</v>
      </c>
      <c r="D10" s="9" t="s">
        <v>195</v>
      </c>
      <c r="E10" s="184" t="s">
        <v>215</v>
      </c>
      <c r="F10" s="17">
        <v>33636.699999999997</v>
      </c>
      <c r="G10" s="17">
        <v>33642.400000000001</v>
      </c>
      <c r="H10" s="17">
        <f>G10-F10</f>
        <v>5.7000000000043656</v>
      </c>
      <c r="I10" s="34">
        <v>271.2</v>
      </c>
      <c r="J10" s="10">
        <f>IFERROR(I10/H10,0)</f>
        <v>47.578947368384611</v>
      </c>
      <c r="K10" s="17">
        <v>33642.400000000001</v>
      </c>
      <c r="L10" s="19">
        <f>K10-G10</f>
        <v>0</v>
      </c>
      <c r="M10" s="33">
        <v>0</v>
      </c>
      <c r="N10" s="28">
        <f>IFERROR(M10/L10,0)</f>
        <v>0</v>
      </c>
      <c r="O10" s="18">
        <f>H10+L10</f>
        <v>5.7000000000043656</v>
      </c>
      <c r="P10" s="22">
        <f>I10+M10</f>
        <v>271.2</v>
      </c>
      <c r="Q10" s="23">
        <f>IFERROR(P10/O10,0)</f>
        <v>47.578947368384611</v>
      </c>
      <c r="R10" s="29">
        <v>103</v>
      </c>
      <c r="S10" s="30"/>
      <c r="T10" s="26"/>
      <c r="V10" s="26"/>
    </row>
    <row r="11" spans="1:25" ht="22.8" customHeight="1">
      <c r="A11" s="5">
        <v>7</v>
      </c>
      <c r="B11" s="16" t="s">
        <v>21</v>
      </c>
      <c r="C11" s="9" t="s">
        <v>193</v>
      </c>
      <c r="D11" s="16" t="s">
        <v>194</v>
      </c>
      <c r="E11" s="16" t="s">
        <v>214</v>
      </c>
      <c r="F11" s="17">
        <v>28173.3</v>
      </c>
      <c r="G11" s="17">
        <v>28183.4</v>
      </c>
      <c r="H11" s="17">
        <f t="shared" si="1"/>
        <v>10.100000000002183</v>
      </c>
      <c r="I11" s="32">
        <v>268.02</v>
      </c>
      <c r="J11" s="10">
        <f t="shared" si="3"/>
        <v>26.5366336633606</v>
      </c>
      <c r="K11" s="17">
        <v>28183.4</v>
      </c>
      <c r="L11" s="19">
        <f t="shared" si="2"/>
        <v>0</v>
      </c>
      <c r="M11" s="20">
        <v>0</v>
      </c>
      <c r="N11" s="28">
        <f t="shared" si="4"/>
        <v>0</v>
      </c>
      <c r="O11" s="18">
        <f t="shared" si="0"/>
        <v>10.100000000002183</v>
      </c>
      <c r="P11" s="22">
        <f t="shared" si="0"/>
        <v>268.02</v>
      </c>
      <c r="Q11" s="23">
        <f t="shared" si="5"/>
        <v>26.5366336633606</v>
      </c>
      <c r="R11" s="29">
        <v>94</v>
      </c>
      <c r="S11" s="30"/>
      <c r="T11" s="26"/>
      <c r="V11" s="26"/>
    </row>
    <row r="12" spans="1:25" ht="22.8" customHeight="1">
      <c r="A12" s="81">
        <v>8</v>
      </c>
      <c r="B12" s="31" t="s">
        <v>22</v>
      </c>
      <c r="C12" s="9" t="s">
        <v>193</v>
      </c>
      <c r="D12" s="31" t="s">
        <v>194</v>
      </c>
      <c r="E12" s="31" t="s">
        <v>214</v>
      </c>
      <c r="F12" s="35">
        <v>27557.4</v>
      </c>
      <c r="G12" s="35">
        <v>27568.799999999999</v>
      </c>
      <c r="H12" s="17">
        <f t="shared" si="1"/>
        <v>11.399999999997817</v>
      </c>
      <c r="I12" s="32">
        <v>298.67</v>
      </c>
      <c r="J12" s="10">
        <f t="shared" si="3"/>
        <v>26.199122807022562</v>
      </c>
      <c r="K12" s="35">
        <v>27568.799999999999</v>
      </c>
      <c r="L12" s="19">
        <f t="shared" si="2"/>
        <v>0</v>
      </c>
      <c r="M12" s="33">
        <v>0</v>
      </c>
      <c r="N12" s="28">
        <f t="shared" si="4"/>
        <v>0</v>
      </c>
      <c r="O12" s="18">
        <f t="shared" si="0"/>
        <v>11.399999999997817</v>
      </c>
      <c r="P12" s="22">
        <f t="shared" si="0"/>
        <v>298.67</v>
      </c>
      <c r="Q12" s="23">
        <f t="shared" si="5"/>
        <v>26.199122807022562</v>
      </c>
      <c r="R12" s="29">
        <v>68</v>
      </c>
      <c r="S12" s="30"/>
      <c r="T12" s="26"/>
      <c r="V12" s="26"/>
    </row>
    <row r="13" spans="1:25" ht="24" customHeight="1">
      <c r="A13" s="5">
        <v>9</v>
      </c>
      <c r="B13" s="31" t="s">
        <v>23</v>
      </c>
      <c r="C13" s="9" t="s">
        <v>193</v>
      </c>
      <c r="D13" s="16" t="s">
        <v>196</v>
      </c>
      <c r="E13" s="16" t="s">
        <v>216</v>
      </c>
      <c r="F13" s="17">
        <v>22694.27</v>
      </c>
      <c r="G13" s="17">
        <v>22704.84</v>
      </c>
      <c r="H13" s="17">
        <f t="shared" si="1"/>
        <v>10.569999999999709</v>
      </c>
      <c r="I13" s="34">
        <v>369.02</v>
      </c>
      <c r="J13" s="10">
        <f t="shared" si="3"/>
        <v>34.912015137181662</v>
      </c>
      <c r="K13" s="17">
        <v>22709.11</v>
      </c>
      <c r="L13" s="19">
        <f t="shared" si="2"/>
        <v>4.2700000000004366</v>
      </c>
      <c r="M13" s="20">
        <v>156.81</v>
      </c>
      <c r="N13" s="28">
        <f t="shared" si="4"/>
        <v>36.723653395780786</v>
      </c>
      <c r="O13" s="18">
        <f t="shared" si="0"/>
        <v>14.840000000000146</v>
      </c>
      <c r="P13" s="22">
        <f t="shared" si="0"/>
        <v>525.82999999999993</v>
      </c>
      <c r="Q13" s="23">
        <f t="shared" si="5"/>
        <v>35.433288409703152</v>
      </c>
      <c r="R13" s="29">
        <v>131</v>
      </c>
      <c r="S13" s="36"/>
      <c r="T13" s="26"/>
      <c r="V13" s="26"/>
    </row>
    <row r="14" spans="1:25" ht="24" customHeight="1">
      <c r="A14" s="81">
        <v>10</v>
      </c>
      <c r="B14" s="31" t="s">
        <v>24</v>
      </c>
      <c r="C14" s="9" t="s">
        <v>193</v>
      </c>
      <c r="D14" s="16" t="s">
        <v>196</v>
      </c>
      <c r="E14" s="16" t="s">
        <v>216</v>
      </c>
      <c r="F14" s="17">
        <v>22653.4</v>
      </c>
      <c r="G14" s="17">
        <v>22662.65</v>
      </c>
      <c r="H14" s="17">
        <f t="shared" si="1"/>
        <v>9.25</v>
      </c>
      <c r="I14" s="32">
        <v>313.02999999999997</v>
      </c>
      <c r="J14" s="10">
        <f>IFERROR(I14/H14,0)</f>
        <v>33.841081081081079</v>
      </c>
      <c r="K14" s="17">
        <v>22665.24</v>
      </c>
      <c r="L14" s="19">
        <f t="shared" si="2"/>
        <v>2.5900000000001455</v>
      </c>
      <c r="M14" s="20">
        <v>111.61</v>
      </c>
      <c r="N14" s="28">
        <f t="shared" si="4"/>
        <v>43.092664092661671</v>
      </c>
      <c r="O14" s="18">
        <f t="shared" si="0"/>
        <v>11.840000000000146</v>
      </c>
      <c r="P14" s="22">
        <f t="shared" si="0"/>
        <v>424.64</v>
      </c>
      <c r="Q14" s="23">
        <f t="shared" si="5"/>
        <v>35.864864864864423</v>
      </c>
      <c r="R14" s="29">
        <v>81</v>
      </c>
      <c r="S14" s="37"/>
      <c r="T14" s="26"/>
      <c r="V14" s="26"/>
    </row>
    <row r="15" spans="1:25" ht="24" customHeight="1">
      <c r="A15" s="5">
        <v>11</v>
      </c>
      <c r="B15" s="31" t="s">
        <v>25</v>
      </c>
      <c r="C15" s="9" t="s">
        <v>193</v>
      </c>
      <c r="D15" s="16" t="s">
        <v>196</v>
      </c>
      <c r="E15" s="16" t="s">
        <v>216</v>
      </c>
      <c r="F15" s="17">
        <v>20153.150000000001</v>
      </c>
      <c r="G15" s="17">
        <v>20153.150000000001</v>
      </c>
      <c r="H15" s="17">
        <f t="shared" si="1"/>
        <v>0</v>
      </c>
      <c r="I15" s="32">
        <v>0</v>
      </c>
      <c r="J15" s="10">
        <f>IFERROR(I15/H15,0)</f>
        <v>0</v>
      </c>
      <c r="K15" s="17">
        <v>20153.150000000001</v>
      </c>
      <c r="L15" s="19">
        <f>K15-G15</f>
        <v>0</v>
      </c>
      <c r="M15" s="20">
        <v>0</v>
      </c>
      <c r="N15" s="28">
        <f>IFERROR(M15/L15,0)</f>
        <v>0</v>
      </c>
      <c r="O15" s="18">
        <f>H15+L15</f>
        <v>0</v>
      </c>
      <c r="P15" s="22">
        <f t="shared" si="0"/>
        <v>0</v>
      </c>
      <c r="Q15" s="23">
        <f t="shared" si="5"/>
        <v>0</v>
      </c>
      <c r="R15" s="29">
        <v>0</v>
      </c>
      <c r="S15" s="37"/>
      <c r="T15" s="26"/>
      <c r="V15" s="26"/>
      <c r="W15" s="38"/>
    </row>
    <row r="16" spans="1:25" ht="24" customHeight="1">
      <c r="A16" s="81">
        <v>12</v>
      </c>
      <c r="B16" s="31" t="s">
        <v>181</v>
      </c>
      <c r="C16" s="9" t="s">
        <v>193</v>
      </c>
      <c r="D16" s="16" t="s">
        <v>196</v>
      </c>
      <c r="E16" s="16" t="s">
        <v>217</v>
      </c>
      <c r="F16" s="17">
        <v>10192</v>
      </c>
      <c r="G16" s="17">
        <v>10192</v>
      </c>
      <c r="H16" s="17">
        <f t="shared" si="1"/>
        <v>0</v>
      </c>
      <c r="I16" s="32">
        <v>0</v>
      </c>
      <c r="J16" s="10">
        <f>IFERROR(I16/H16,0)</f>
        <v>0</v>
      </c>
      <c r="K16" s="17">
        <v>10196.35</v>
      </c>
      <c r="L16" s="19">
        <f>K16-G16</f>
        <v>4.3500000000003638</v>
      </c>
      <c r="M16" s="20">
        <v>103.36</v>
      </c>
      <c r="N16" s="28">
        <f>IFERROR(M16/L16,0)</f>
        <v>23.760919540227899</v>
      </c>
      <c r="O16" s="18">
        <f>H16+L16</f>
        <v>4.3500000000003638</v>
      </c>
      <c r="P16" s="22">
        <f t="shared" si="0"/>
        <v>103.36</v>
      </c>
      <c r="Q16" s="23">
        <f t="shared" si="5"/>
        <v>23.760919540227899</v>
      </c>
      <c r="R16" s="29">
        <v>42</v>
      </c>
      <c r="S16" s="37"/>
      <c r="T16" s="26"/>
      <c r="V16" s="26"/>
      <c r="W16" s="38"/>
    </row>
    <row r="17" spans="1:23" ht="24" customHeight="1">
      <c r="A17" s="5">
        <v>13</v>
      </c>
      <c r="B17" s="31" t="s">
        <v>27</v>
      </c>
      <c r="C17" s="9" t="s">
        <v>193</v>
      </c>
      <c r="D17" s="16" t="s">
        <v>197</v>
      </c>
      <c r="E17" s="16" t="s">
        <v>218</v>
      </c>
      <c r="F17" s="17">
        <v>18290.599999999999</v>
      </c>
      <c r="G17" s="17">
        <v>18305.7</v>
      </c>
      <c r="H17" s="17">
        <f t="shared" si="1"/>
        <v>15.100000000002183</v>
      </c>
      <c r="I17" s="18">
        <v>157</v>
      </c>
      <c r="J17" s="10">
        <f>IFERROR(I17/H17,0)</f>
        <v>10.39735099337598</v>
      </c>
      <c r="K17" s="17">
        <v>18305.7</v>
      </c>
      <c r="L17" s="19">
        <f t="shared" ref="L17" si="6">K17-G17</f>
        <v>0</v>
      </c>
      <c r="M17" s="20">
        <v>0</v>
      </c>
      <c r="N17" s="28">
        <f t="shared" ref="N17" si="7">IFERROR(M17/L17,0)</f>
        <v>0</v>
      </c>
      <c r="O17" s="18">
        <f t="shared" ref="O17" si="8">H17+L17</f>
        <v>15.100000000002183</v>
      </c>
      <c r="P17" s="22">
        <f t="shared" si="0"/>
        <v>157</v>
      </c>
      <c r="Q17" s="23">
        <f t="shared" si="5"/>
        <v>10.39735099337598</v>
      </c>
      <c r="R17" s="29">
        <v>0</v>
      </c>
      <c r="S17" s="172"/>
      <c r="T17" s="26"/>
      <c r="V17" s="26"/>
      <c r="W17" s="38"/>
    </row>
    <row r="18" spans="1:23" ht="24" customHeight="1">
      <c r="A18" s="81">
        <v>14</v>
      </c>
      <c r="B18" s="31" t="s">
        <v>26</v>
      </c>
      <c r="C18" s="9" t="s">
        <v>193</v>
      </c>
      <c r="D18" s="185" t="s">
        <v>198</v>
      </c>
      <c r="E18" s="178" t="s">
        <v>199</v>
      </c>
      <c r="F18" s="17">
        <v>15234.3</v>
      </c>
      <c r="G18" s="17">
        <v>15234.3</v>
      </c>
      <c r="H18" s="17">
        <f t="shared" si="1"/>
        <v>0</v>
      </c>
      <c r="I18" s="32">
        <v>0</v>
      </c>
      <c r="J18" s="10">
        <f>IFERROR(I18/H18,0)</f>
        <v>0</v>
      </c>
      <c r="K18" s="17">
        <v>15234.3</v>
      </c>
      <c r="L18" s="19">
        <f>K18-G18</f>
        <v>0</v>
      </c>
      <c r="M18" s="20">
        <v>0</v>
      </c>
      <c r="N18" s="28">
        <f>IFERROR(M18/L18,0)</f>
        <v>0</v>
      </c>
      <c r="O18" s="18">
        <f>H18+L18</f>
        <v>0</v>
      </c>
      <c r="P18" s="22">
        <f>I18+M18</f>
        <v>0</v>
      </c>
      <c r="Q18" s="23">
        <f t="shared" si="5"/>
        <v>0</v>
      </c>
      <c r="R18" s="29">
        <v>0</v>
      </c>
      <c r="S18" s="37"/>
      <c r="T18" s="26"/>
      <c r="V18" s="26"/>
      <c r="W18" s="38"/>
    </row>
    <row r="19" spans="1:23" ht="24" customHeight="1">
      <c r="A19" s="196" t="s">
        <v>28</v>
      </c>
      <c r="B19" s="197"/>
      <c r="C19" s="175"/>
      <c r="D19" s="175"/>
      <c r="E19" s="175"/>
      <c r="F19" s="39"/>
      <c r="G19" s="39"/>
      <c r="H19" s="40">
        <f>SUM(H7:H18)</f>
        <v>83.820000000006985</v>
      </c>
      <c r="I19" s="41">
        <f>SUM(I5:I18)</f>
        <v>2980.1499999999996</v>
      </c>
      <c r="J19" s="39"/>
      <c r="K19" s="39"/>
      <c r="L19" s="40">
        <f>SUM(L7:L18)</f>
        <v>20.010000000000218</v>
      </c>
      <c r="M19" s="41">
        <f>SUM(M5:M18)</f>
        <v>854.09000000000015</v>
      </c>
      <c r="N19" s="28">
        <f>IFERROR(M19/L19,0)</f>
        <v>42.683158420789148</v>
      </c>
      <c r="O19" s="42">
        <f>SUM(O7:O18)</f>
        <v>103.8300000000072</v>
      </c>
      <c r="P19" s="43">
        <f>SUM(P5:P18)</f>
        <v>3834.24</v>
      </c>
      <c r="Q19" s="23">
        <f>IFERROR(P19/O19,0)</f>
        <v>36.92805547529359</v>
      </c>
      <c r="R19" s="44">
        <f>SUM(R5:R18)</f>
        <v>1087</v>
      </c>
      <c r="S19" s="45"/>
      <c r="V19" s="26"/>
    </row>
    <row r="20" spans="1:23" ht="18" customHeight="1" thickBot="1">
      <c r="A20" s="206" t="s">
        <v>29</v>
      </c>
      <c r="B20" s="207"/>
      <c r="C20" s="207"/>
      <c r="D20" s="207"/>
      <c r="E20" s="207"/>
      <c r="F20" s="207"/>
      <c r="G20" s="207"/>
      <c r="H20" s="207"/>
      <c r="I20" s="207"/>
      <c r="J20" s="207"/>
      <c r="K20" s="207"/>
      <c r="L20" s="207"/>
      <c r="M20" s="207"/>
      <c r="N20" s="207"/>
      <c r="O20" s="208"/>
      <c r="P20" s="46"/>
      <c r="Q20" s="47"/>
      <c r="R20" s="37"/>
    </row>
    <row r="21" spans="1:23" ht="22.8" customHeight="1">
      <c r="A21" s="209" t="s">
        <v>3</v>
      </c>
      <c r="B21" s="211" t="s">
        <v>4</v>
      </c>
      <c r="C21" s="173"/>
      <c r="D21" s="173"/>
      <c r="E21" s="173"/>
      <c r="F21" s="234" t="s">
        <v>5</v>
      </c>
      <c r="G21" s="234"/>
      <c r="H21" s="234"/>
      <c r="I21" s="234"/>
      <c r="J21" s="234"/>
      <c r="K21" s="235" t="s">
        <v>6</v>
      </c>
      <c r="L21" s="235"/>
      <c r="M21" s="235"/>
      <c r="N21" s="235"/>
      <c r="O21" s="48"/>
      <c r="P21" s="219" t="s">
        <v>7</v>
      </c>
      <c r="Q21" s="194" t="s">
        <v>8</v>
      </c>
      <c r="R21" s="37"/>
    </row>
    <row r="22" spans="1:23" s="51" customFormat="1" ht="24" customHeight="1" thickBot="1">
      <c r="A22" s="210"/>
      <c r="B22" s="212"/>
      <c r="C22" s="183" t="s">
        <v>190</v>
      </c>
      <c r="D22" s="183" t="s">
        <v>191</v>
      </c>
      <c r="E22" s="183" t="s">
        <v>192</v>
      </c>
      <c r="F22" s="49" t="s">
        <v>11</v>
      </c>
      <c r="G22" s="49" t="s">
        <v>12</v>
      </c>
      <c r="H22" s="49" t="s">
        <v>13</v>
      </c>
      <c r="I22" s="2" t="s">
        <v>14</v>
      </c>
      <c r="J22" s="2" t="s">
        <v>8</v>
      </c>
      <c r="K22" s="49" t="s">
        <v>12</v>
      </c>
      <c r="L22" s="49" t="s">
        <v>13</v>
      </c>
      <c r="M22" s="49" t="s">
        <v>14</v>
      </c>
      <c r="N22" s="7" t="s">
        <v>8</v>
      </c>
      <c r="O22" s="50" t="s">
        <v>15</v>
      </c>
      <c r="P22" s="220"/>
      <c r="Q22" s="195"/>
      <c r="R22" s="37"/>
      <c r="T22"/>
      <c r="U22"/>
      <c r="V22"/>
      <c r="W22"/>
    </row>
    <row r="23" spans="1:23" s="51" customFormat="1" ht="24" customHeight="1">
      <c r="A23" s="27">
        <v>1</v>
      </c>
      <c r="B23" s="52" t="s">
        <v>30</v>
      </c>
      <c r="C23" s="179" t="s">
        <v>200</v>
      </c>
      <c r="D23" s="179" t="s">
        <v>197</v>
      </c>
      <c r="E23" s="179" t="s">
        <v>201</v>
      </c>
      <c r="F23" s="6">
        <v>18929.099999999999</v>
      </c>
      <c r="G23" s="6">
        <v>18942.3</v>
      </c>
      <c r="H23" s="53">
        <f>G23-F23</f>
        <v>13.200000000000728</v>
      </c>
      <c r="I23" s="54">
        <v>177.4</v>
      </c>
      <c r="J23" s="55">
        <f>IFERROR(I23/H23,0)</f>
        <v>13.439393939393199</v>
      </c>
      <c r="K23" s="6">
        <v>18948.599999999999</v>
      </c>
      <c r="L23" s="56">
        <f>K23-G23</f>
        <v>6.2999999999992724</v>
      </c>
      <c r="M23" s="54">
        <v>79.89</v>
      </c>
      <c r="N23" s="57">
        <f>IFERROR(M23/L23,0)</f>
        <v>12.680952380953846</v>
      </c>
      <c r="O23" s="58">
        <f>H23+L23</f>
        <v>19.5</v>
      </c>
      <c r="P23" s="59">
        <f t="shared" ref="P23:P24" si="9">I23+M23</f>
        <v>257.29000000000002</v>
      </c>
      <c r="Q23" s="60">
        <f>IFERROR(P23/O23,0)</f>
        <v>13.194358974358975</v>
      </c>
      <c r="R23" s="61"/>
      <c r="T23"/>
      <c r="U23"/>
      <c r="V23"/>
      <c r="W23"/>
    </row>
    <row r="24" spans="1:23" ht="24" customHeight="1">
      <c r="A24" s="62">
        <v>2</v>
      </c>
      <c r="B24" s="52" t="s">
        <v>31</v>
      </c>
      <c r="C24" s="52" t="s">
        <v>200</v>
      </c>
      <c r="D24" s="52" t="s">
        <v>197</v>
      </c>
      <c r="E24" s="52" t="s">
        <v>201</v>
      </c>
      <c r="F24" s="63">
        <v>11310.9</v>
      </c>
      <c r="G24" s="63">
        <v>11318.9</v>
      </c>
      <c r="H24" s="53">
        <f>G24-F24</f>
        <v>8</v>
      </c>
      <c r="I24" s="54">
        <v>137.77000000000001</v>
      </c>
      <c r="J24" s="55">
        <f>IFERROR(I24/H24,0)</f>
        <v>17.221250000000001</v>
      </c>
      <c r="K24" s="63">
        <v>11321.6</v>
      </c>
      <c r="L24" s="64">
        <f>K24-G24</f>
        <v>2.7000000000007276</v>
      </c>
      <c r="M24" s="54">
        <v>51</v>
      </c>
      <c r="N24" s="57">
        <f>IFERROR(M24/L24,0)</f>
        <v>18.888888888883798</v>
      </c>
      <c r="O24" s="58">
        <f>H24+L24</f>
        <v>10.700000000000728</v>
      </c>
      <c r="P24" s="59">
        <f t="shared" si="9"/>
        <v>188.77</v>
      </c>
      <c r="Q24" s="60">
        <f>IFERROR(P24/O24,0)</f>
        <v>17.642056074765158</v>
      </c>
      <c r="R24" s="65"/>
    </row>
    <row r="25" spans="1:23" ht="24" customHeight="1" thickBot="1">
      <c r="A25" s="238" t="s">
        <v>28</v>
      </c>
      <c r="B25" s="239"/>
      <c r="C25" s="180"/>
      <c r="D25" s="180"/>
      <c r="E25" s="180"/>
      <c r="F25" s="66"/>
      <c r="G25" s="66"/>
      <c r="H25" s="67">
        <f>SUM(H23:H24)</f>
        <v>21.200000000000728</v>
      </c>
      <c r="I25" s="67">
        <f>SUM(I23:I24)</f>
        <v>315.17</v>
      </c>
      <c r="J25" s="68"/>
      <c r="K25" s="68"/>
      <c r="L25" s="67">
        <f>SUM(L23:L24)</f>
        <v>9</v>
      </c>
      <c r="M25" s="67">
        <f>SUM(M23:M24)</f>
        <v>130.88999999999999</v>
      </c>
      <c r="N25" s="69">
        <f>SUM(N23:N24)</f>
        <v>31.569841269837646</v>
      </c>
      <c r="O25" s="70">
        <f>SUM(O23:O24)</f>
        <v>30.200000000000728</v>
      </c>
      <c r="P25" s="43">
        <f>SUM(P23:P24)</f>
        <v>446.06000000000006</v>
      </c>
      <c r="Q25" s="71"/>
      <c r="R25" s="37"/>
      <c r="S25" s="72"/>
    </row>
    <row r="26" spans="1:23" ht="18" customHeight="1" thickBot="1">
      <c r="A26" s="245" t="s">
        <v>32</v>
      </c>
      <c r="B26" s="246"/>
      <c r="C26" s="226"/>
      <c r="D26" s="226"/>
      <c r="E26" s="226"/>
      <c r="F26" s="226"/>
      <c r="G26" s="226"/>
      <c r="H26" s="226"/>
      <c r="I26" s="226"/>
      <c r="J26" s="226"/>
      <c r="K26" s="226"/>
      <c r="L26" s="226"/>
      <c r="M26" s="226"/>
      <c r="N26" s="226"/>
      <c r="O26" s="246"/>
      <c r="P26" s="46"/>
      <c r="Q26" s="47"/>
      <c r="R26" s="37"/>
    </row>
    <row r="27" spans="1:23" ht="22.8" customHeight="1">
      <c r="A27" s="209" t="s">
        <v>3</v>
      </c>
      <c r="B27" s="211" t="s">
        <v>4</v>
      </c>
      <c r="C27" s="173"/>
      <c r="D27" s="173"/>
      <c r="E27" s="173"/>
      <c r="F27" s="234" t="s">
        <v>5</v>
      </c>
      <c r="G27" s="234"/>
      <c r="H27" s="234"/>
      <c r="I27" s="234"/>
      <c r="J27" s="234"/>
      <c r="K27" s="235" t="s">
        <v>6</v>
      </c>
      <c r="L27" s="235"/>
      <c r="M27" s="235"/>
      <c r="N27" s="235"/>
      <c r="O27" s="48"/>
      <c r="P27" s="219" t="s">
        <v>7</v>
      </c>
      <c r="Q27" s="194" t="s">
        <v>8</v>
      </c>
      <c r="R27" s="37"/>
      <c r="V27" s="51"/>
    </row>
    <row r="28" spans="1:23" ht="24" customHeight="1">
      <c r="A28" s="247"/>
      <c r="B28" s="248"/>
      <c r="C28" s="183" t="s">
        <v>190</v>
      </c>
      <c r="D28" s="183" t="s">
        <v>191</v>
      </c>
      <c r="E28" s="183" t="s">
        <v>192</v>
      </c>
      <c r="F28" s="6" t="s">
        <v>11</v>
      </c>
      <c r="G28" s="6" t="s">
        <v>12</v>
      </c>
      <c r="H28" s="6" t="s">
        <v>13</v>
      </c>
      <c r="I28" s="6" t="s">
        <v>14</v>
      </c>
      <c r="J28" s="6" t="s">
        <v>8</v>
      </c>
      <c r="K28" s="6" t="s">
        <v>12</v>
      </c>
      <c r="L28" s="6" t="s">
        <v>13</v>
      </c>
      <c r="M28" s="6" t="s">
        <v>14</v>
      </c>
      <c r="N28" s="7" t="s">
        <v>8</v>
      </c>
      <c r="O28" s="73" t="s">
        <v>15</v>
      </c>
      <c r="P28" s="236"/>
      <c r="Q28" s="237"/>
      <c r="R28" s="61"/>
      <c r="S28" s="74"/>
      <c r="V28" s="51"/>
      <c r="W28" s="75"/>
    </row>
    <row r="29" spans="1:23" ht="24" customHeight="1">
      <c r="A29" s="76">
        <v>1</v>
      </c>
      <c r="B29" s="31" t="s">
        <v>33</v>
      </c>
      <c r="C29" s="31" t="s">
        <v>202</v>
      </c>
      <c r="D29" s="31" t="s">
        <v>203</v>
      </c>
      <c r="E29" s="31" t="s">
        <v>219</v>
      </c>
      <c r="F29" s="35">
        <v>21754.5</v>
      </c>
      <c r="G29" s="35">
        <v>21769.8</v>
      </c>
      <c r="H29" s="35">
        <f>G29-F29</f>
        <v>15.299999999999272</v>
      </c>
      <c r="I29" s="33">
        <v>251.89</v>
      </c>
      <c r="J29" s="10">
        <f t="shared" ref="J29:J33" si="10">IFERROR(I29/H29,0)</f>
        <v>16.463398692811239</v>
      </c>
      <c r="K29" s="35">
        <v>21776.3</v>
      </c>
      <c r="L29" s="56">
        <f>K29-G29</f>
        <v>6.5</v>
      </c>
      <c r="M29" s="33">
        <v>152.83000000000001</v>
      </c>
      <c r="N29" s="28">
        <f t="shared" ref="N29:N33" si="11">IFERROR(M29/L29,0)</f>
        <v>23.512307692307694</v>
      </c>
      <c r="O29" s="84">
        <f t="shared" ref="O29:P33" si="12">H29+L29</f>
        <v>21.799999999999272</v>
      </c>
      <c r="P29" s="79">
        <f t="shared" si="12"/>
        <v>404.72</v>
      </c>
      <c r="Q29" s="34">
        <f>IFERROR(P29/O29,0)</f>
        <v>18.565137614679522</v>
      </c>
      <c r="R29" s="37"/>
    </row>
    <row r="30" spans="1:23" ht="24" customHeight="1">
      <c r="A30" s="76">
        <v>2</v>
      </c>
      <c r="B30" s="31" t="s">
        <v>34</v>
      </c>
      <c r="C30" s="31" t="s">
        <v>202</v>
      </c>
      <c r="D30" s="31" t="s">
        <v>203</v>
      </c>
      <c r="E30" s="31" t="s">
        <v>219</v>
      </c>
      <c r="F30" s="35">
        <v>21207.200000000001</v>
      </c>
      <c r="G30" s="35">
        <v>21207.200000000001</v>
      </c>
      <c r="H30" s="35">
        <f>G30-F30</f>
        <v>0</v>
      </c>
      <c r="I30" s="33">
        <v>0</v>
      </c>
      <c r="J30" s="10">
        <f t="shared" si="10"/>
        <v>0</v>
      </c>
      <c r="K30" s="35">
        <v>21207.200000000001</v>
      </c>
      <c r="L30" s="56">
        <f>K30-G30</f>
        <v>0</v>
      </c>
      <c r="M30" s="33">
        <v>0</v>
      </c>
      <c r="N30" s="28">
        <f>IFERROR(M30/L30,0)</f>
        <v>0</v>
      </c>
      <c r="O30" s="18">
        <f t="shared" si="12"/>
        <v>0</v>
      </c>
      <c r="P30" s="22">
        <f t="shared" si="12"/>
        <v>0</v>
      </c>
      <c r="Q30" s="23">
        <f>IFERROR(P30/O30,0)</f>
        <v>0</v>
      </c>
      <c r="R30" s="37"/>
    </row>
    <row r="31" spans="1:23" ht="24" customHeight="1">
      <c r="A31" s="76">
        <v>3</v>
      </c>
      <c r="B31" s="31" t="s">
        <v>35</v>
      </c>
      <c r="C31" s="31" t="s">
        <v>202</v>
      </c>
      <c r="D31" s="31" t="s">
        <v>197</v>
      </c>
      <c r="E31" s="31" t="s">
        <v>220</v>
      </c>
      <c r="F31" s="35">
        <v>8989.9</v>
      </c>
      <c r="G31" s="35">
        <v>8993.7000000000007</v>
      </c>
      <c r="H31" s="17">
        <f t="shared" ref="H31:H33" si="13">G31-F31</f>
        <v>3.8000000000010914</v>
      </c>
      <c r="I31" s="33">
        <v>71.81</v>
      </c>
      <c r="J31" s="10">
        <f t="shared" si="10"/>
        <v>18.897368421047204</v>
      </c>
      <c r="K31" s="35">
        <v>8994.7000000000007</v>
      </c>
      <c r="L31" s="19">
        <f>K31-G31</f>
        <v>1</v>
      </c>
      <c r="M31" s="33">
        <v>25.07</v>
      </c>
      <c r="N31" s="28">
        <f t="shared" si="11"/>
        <v>25.07</v>
      </c>
      <c r="O31" s="18">
        <f t="shared" si="12"/>
        <v>4.8000000000010914</v>
      </c>
      <c r="P31" s="22">
        <f t="shared" si="12"/>
        <v>96.88</v>
      </c>
      <c r="Q31" s="23">
        <f>IFERROR(P31/O31,0)</f>
        <v>20.183333333328743</v>
      </c>
      <c r="R31" s="77"/>
    </row>
    <row r="32" spans="1:23" ht="24.6" customHeight="1">
      <c r="A32" s="76">
        <v>4</v>
      </c>
      <c r="B32" s="31" t="s">
        <v>36</v>
      </c>
      <c r="C32" s="31" t="s">
        <v>202</v>
      </c>
      <c r="D32" s="31" t="s">
        <v>203</v>
      </c>
      <c r="E32" s="31" t="s">
        <v>219</v>
      </c>
      <c r="F32" s="35">
        <v>3491.2</v>
      </c>
      <c r="G32" s="35">
        <v>3501.3</v>
      </c>
      <c r="H32" s="17">
        <f t="shared" si="13"/>
        <v>10.100000000000364</v>
      </c>
      <c r="I32" s="33">
        <v>241.9</v>
      </c>
      <c r="J32" s="78">
        <f t="shared" si="10"/>
        <v>23.950495049504088</v>
      </c>
      <c r="K32" s="35">
        <v>3505.8</v>
      </c>
      <c r="L32" s="19">
        <f t="shared" ref="L32:L33" si="14">K32-G32</f>
        <v>4.5</v>
      </c>
      <c r="M32" s="33">
        <v>121.61</v>
      </c>
      <c r="N32" s="28">
        <f t="shared" si="11"/>
        <v>27.024444444444445</v>
      </c>
      <c r="O32" s="18">
        <f t="shared" si="12"/>
        <v>14.600000000000364</v>
      </c>
      <c r="P32" s="79">
        <f t="shared" si="12"/>
        <v>363.51</v>
      </c>
      <c r="Q32" s="23">
        <f>IFERROR(P32/O32,0)</f>
        <v>24.89794520547883</v>
      </c>
      <c r="R32" s="80"/>
    </row>
    <row r="33" spans="1:22" ht="24.6" customHeight="1">
      <c r="A33" s="76">
        <v>5</v>
      </c>
      <c r="B33" s="31" t="s">
        <v>37</v>
      </c>
      <c r="C33" s="31" t="s">
        <v>202</v>
      </c>
      <c r="D33" s="31" t="s">
        <v>203</v>
      </c>
      <c r="E33" s="31" t="s">
        <v>221</v>
      </c>
      <c r="F33" s="35">
        <v>823.2</v>
      </c>
      <c r="G33" s="35">
        <v>835.5</v>
      </c>
      <c r="H33" s="17">
        <f t="shared" si="13"/>
        <v>12.299999999999955</v>
      </c>
      <c r="I33" s="33">
        <v>310</v>
      </c>
      <c r="J33" s="78">
        <f t="shared" si="10"/>
        <v>25.203252032520417</v>
      </c>
      <c r="K33" s="35">
        <v>841.1</v>
      </c>
      <c r="L33" s="19">
        <f t="shared" si="14"/>
        <v>5.6000000000000227</v>
      </c>
      <c r="M33" s="33">
        <v>155.43</v>
      </c>
      <c r="N33" s="28">
        <f t="shared" si="11"/>
        <v>27.755357142857033</v>
      </c>
      <c r="O33" s="18">
        <f t="shared" si="12"/>
        <v>17.899999999999977</v>
      </c>
      <c r="P33" s="79">
        <f t="shared" si="12"/>
        <v>465.43</v>
      </c>
      <c r="Q33" s="23">
        <f>IFERROR(P33/O33,0)</f>
        <v>26.001675977653665</v>
      </c>
      <c r="R33" s="80"/>
    </row>
    <row r="34" spans="1:22" ht="22.8" customHeight="1" thickBot="1">
      <c r="A34" s="238" t="s">
        <v>28</v>
      </c>
      <c r="B34" s="239"/>
      <c r="C34" s="180"/>
      <c r="D34" s="180"/>
      <c r="E34" s="180"/>
      <c r="F34" s="66"/>
      <c r="G34" s="66"/>
      <c r="H34" s="67">
        <f>SUM(H29:H33)</f>
        <v>41.500000000000682</v>
      </c>
      <c r="I34" s="67">
        <f>SUM(I29:I33)</f>
        <v>875.6</v>
      </c>
      <c r="J34" s="68"/>
      <c r="K34" s="68"/>
      <c r="L34" s="67">
        <f>SUM(L29:L33)</f>
        <v>17.600000000000023</v>
      </c>
      <c r="M34" s="67">
        <f>SUM(M29:M33)</f>
        <v>454.94</v>
      </c>
      <c r="N34" s="69">
        <f>SUM(N29:N33)</f>
        <v>103.36210927960917</v>
      </c>
      <c r="O34" s="70">
        <f>SUM(O29:O33)</f>
        <v>59.100000000000705</v>
      </c>
      <c r="P34" s="43">
        <f>SUM(P29:P33)</f>
        <v>1330.54</v>
      </c>
      <c r="Q34" s="71">
        <f>IFERROR(P34/N34,0)</f>
        <v>12.872608824193984</v>
      </c>
      <c r="R34" s="37"/>
      <c r="S34" s="72"/>
      <c r="V34" s="51"/>
    </row>
    <row r="35" spans="1:22" ht="24" customHeight="1">
      <c r="A35" s="240" t="s">
        <v>38</v>
      </c>
      <c r="B35" s="241"/>
      <c r="C35" s="241"/>
      <c r="D35" s="241"/>
      <c r="E35" s="241"/>
      <c r="F35" s="241"/>
      <c r="G35" s="241"/>
      <c r="H35" s="241"/>
      <c r="I35" s="241"/>
      <c r="J35" s="241"/>
      <c r="K35" s="241"/>
      <c r="L35" s="241"/>
      <c r="M35" s="241"/>
      <c r="N35" s="241"/>
      <c r="O35" s="242"/>
      <c r="P35" s="46"/>
      <c r="Q35" s="47"/>
      <c r="R35" s="61"/>
      <c r="V35" s="51"/>
    </row>
    <row r="36" spans="1:22" ht="24" customHeight="1">
      <c r="A36" s="243" t="s">
        <v>3</v>
      </c>
      <c r="B36" s="243" t="s">
        <v>4</v>
      </c>
      <c r="C36" s="181"/>
      <c r="D36" s="181"/>
      <c r="E36" s="181"/>
      <c r="F36" s="213" t="s">
        <v>5</v>
      </c>
      <c r="G36" s="214"/>
      <c r="H36" s="214"/>
      <c r="I36" s="214"/>
      <c r="J36" s="215"/>
      <c r="K36" s="216" t="s">
        <v>6</v>
      </c>
      <c r="L36" s="217"/>
      <c r="M36" s="217"/>
      <c r="N36" s="218"/>
      <c r="O36" s="5"/>
      <c r="P36" s="221" t="s">
        <v>7</v>
      </c>
      <c r="Q36" s="222" t="s">
        <v>8</v>
      </c>
      <c r="R36" s="37"/>
    </row>
    <row r="37" spans="1:22" ht="24" customHeight="1">
      <c r="A37" s="244"/>
      <c r="B37" s="244"/>
      <c r="C37" s="183" t="s">
        <v>190</v>
      </c>
      <c r="D37" s="183" t="s">
        <v>191</v>
      </c>
      <c r="E37" s="183" t="s">
        <v>192</v>
      </c>
      <c r="F37" s="2" t="s">
        <v>11</v>
      </c>
      <c r="G37" s="2" t="s">
        <v>12</v>
      </c>
      <c r="H37" s="2" t="s">
        <v>13</v>
      </c>
      <c r="I37" s="2" t="s">
        <v>14</v>
      </c>
      <c r="J37" s="2" t="s">
        <v>8</v>
      </c>
      <c r="K37" s="2" t="s">
        <v>12</v>
      </c>
      <c r="L37" s="2" t="s">
        <v>13</v>
      </c>
      <c r="M37" s="2" t="s">
        <v>14</v>
      </c>
      <c r="N37" s="82" t="s">
        <v>8</v>
      </c>
      <c r="O37" s="12" t="s">
        <v>15</v>
      </c>
      <c r="P37" s="221"/>
      <c r="Q37" s="222"/>
      <c r="R37" s="37"/>
    </row>
    <row r="38" spans="1:22" ht="24" customHeight="1">
      <c r="A38" s="76">
        <v>1</v>
      </c>
      <c r="B38" s="31" t="s">
        <v>39</v>
      </c>
      <c r="C38" s="31" t="s">
        <v>204</v>
      </c>
      <c r="D38" s="31" t="s">
        <v>205</v>
      </c>
      <c r="E38" s="31" t="s">
        <v>206</v>
      </c>
      <c r="F38" s="83">
        <v>16662.7</v>
      </c>
      <c r="G38" s="83">
        <v>16663.599999999999</v>
      </c>
      <c r="H38" s="35">
        <f>G38-F38</f>
        <v>0.89999999999781721</v>
      </c>
      <c r="I38" s="33">
        <v>20</v>
      </c>
      <c r="J38" s="78">
        <f t="shared" ref="J38:J39" si="15">IFERROR(I38/H38,0)</f>
        <v>22.22222222227612</v>
      </c>
      <c r="K38" s="83">
        <v>16663.599999999999</v>
      </c>
      <c r="L38" s="56">
        <f>K38-G38</f>
        <v>0</v>
      </c>
      <c r="M38" s="33">
        <v>0</v>
      </c>
      <c r="N38" s="28">
        <f>IFERROR(M38/L38,0)</f>
        <v>0</v>
      </c>
      <c r="O38" s="84">
        <f t="shared" ref="O38:O39" si="16">H38+L38</f>
        <v>0.89999999999781721</v>
      </c>
      <c r="P38" s="79">
        <f>I38+M38</f>
        <v>20</v>
      </c>
      <c r="Q38" s="34">
        <f>IFERROR(P38/O38,0)</f>
        <v>22.22222222227612</v>
      </c>
      <c r="R38" s="37"/>
    </row>
    <row r="39" spans="1:22" ht="27" customHeight="1">
      <c r="A39" s="76">
        <v>2</v>
      </c>
      <c r="B39" s="31" t="s">
        <v>40</v>
      </c>
      <c r="C39" s="31" t="s">
        <v>204</v>
      </c>
      <c r="D39" s="31" t="s">
        <v>197</v>
      </c>
      <c r="E39" s="31" t="s">
        <v>207</v>
      </c>
      <c r="F39" s="35">
        <v>4534.2</v>
      </c>
      <c r="G39" s="35">
        <v>4542.8999999999996</v>
      </c>
      <c r="H39" s="17">
        <f>G39-F39</f>
        <v>8.6999999999998181</v>
      </c>
      <c r="I39" s="33">
        <v>164</v>
      </c>
      <c r="J39" s="10">
        <f t="shared" si="15"/>
        <v>18.850574712644072</v>
      </c>
      <c r="K39" s="35">
        <v>4550.8</v>
      </c>
      <c r="L39" s="19">
        <f>K39-G39</f>
        <v>7.9000000000005457</v>
      </c>
      <c r="M39" s="33">
        <v>171</v>
      </c>
      <c r="N39" s="28">
        <f>IFERROR(M39/L39,0)</f>
        <v>21.645569620251671</v>
      </c>
      <c r="O39" s="18">
        <f t="shared" si="16"/>
        <v>16.600000000000364</v>
      </c>
      <c r="P39" s="22">
        <f>I39+M39</f>
        <v>335</v>
      </c>
      <c r="Q39" s="23">
        <f>IFERROR(P39/O39,0)</f>
        <v>20.180722891565821</v>
      </c>
      <c r="R39" s="37"/>
      <c r="V39" s="51"/>
    </row>
    <row r="40" spans="1:22" ht="22.8" customHeight="1" thickBot="1">
      <c r="A40" s="196" t="s">
        <v>28</v>
      </c>
      <c r="B40" s="233"/>
      <c r="C40" s="176"/>
      <c r="D40" s="176"/>
      <c r="E40" s="176"/>
      <c r="F40" s="68"/>
      <c r="G40" s="66"/>
      <c r="H40" s="67">
        <f>SUM(H38:H39)</f>
        <v>9.5999999999976353</v>
      </c>
      <c r="I40" s="67">
        <f>SUM(I38:I39:I39)</f>
        <v>184</v>
      </c>
      <c r="J40" s="68"/>
      <c r="K40" s="68"/>
      <c r="L40" s="67">
        <f>SUM(L38:L39)</f>
        <v>7.9000000000005457</v>
      </c>
      <c r="M40" s="67">
        <f>SUM(M38:M39)</f>
        <v>171</v>
      </c>
      <c r="N40" s="69">
        <f>SUM(N38:N39)</f>
        <v>21.645569620251671</v>
      </c>
      <c r="O40" s="70">
        <f>SUM(O38:O39)</f>
        <v>17.499999999998181</v>
      </c>
      <c r="P40" s="43">
        <f>SUM(P38:P39)</f>
        <v>355</v>
      </c>
      <c r="Q40" s="71">
        <f>IFERROR(P40/N40,0)</f>
        <v>16.400584795322768</v>
      </c>
      <c r="R40" s="37"/>
      <c r="S40" s="72"/>
      <c r="V40" s="51"/>
    </row>
    <row r="41" spans="1:22" ht="24" customHeight="1">
      <c r="A41" s="225" t="s">
        <v>41</v>
      </c>
      <c r="B41" s="226"/>
      <c r="C41" s="226"/>
      <c r="D41" s="226"/>
      <c r="E41" s="226"/>
      <c r="F41" s="226"/>
      <c r="G41" s="226"/>
      <c r="H41" s="226"/>
      <c r="I41" s="226"/>
      <c r="J41" s="226"/>
      <c r="K41" s="226"/>
      <c r="L41" s="226"/>
      <c r="M41" s="226"/>
      <c r="N41" s="226"/>
      <c r="O41" s="226"/>
      <c r="P41" s="46"/>
      <c r="Q41" s="47"/>
      <c r="R41" s="61"/>
    </row>
    <row r="42" spans="1:22" ht="24" customHeight="1">
      <c r="A42" s="222" t="s">
        <v>3</v>
      </c>
      <c r="B42" s="222" t="s">
        <v>4</v>
      </c>
      <c r="C42" s="5"/>
      <c r="D42" s="5"/>
      <c r="E42" s="5"/>
      <c r="F42" s="234" t="s">
        <v>5</v>
      </c>
      <c r="G42" s="234"/>
      <c r="H42" s="234"/>
      <c r="I42" s="234"/>
      <c r="J42" s="234"/>
      <c r="K42" s="235" t="s">
        <v>6</v>
      </c>
      <c r="L42" s="235"/>
      <c r="M42" s="235"/>
      <c r="N42" s="235"/>
      <c r="O42" s="5"/>
      <c r="P42" s="221" t="s">
        <v>7</v>
      </c>
      <c r="Q42" s="222" t="s">
        <v>8</v>
      </c>
      <c r="R42" s="37"/>
    </row>
    <row r="43" spans="1:22" ht="25.8" customHeight="1">
      <c r="A43" s="222"/>
      <c r="B43" s="222"/>
      <c r="C43" s="183" t="s">
        <v>190</v>
      </c>
      <c r="D43" s="183" t="s">
        <v>191</v>
      </c>
      <c r="E43" s="183" t="s">
        <v>192</v>
      </c>
      <c r="F43" s="2" t="s">
        <v>11</v>
      </c>
      <c r="G43" s="2" t="s">
        <v>12</v>
      </c>
      <c r="H43" s="2" t="s">
        <v>13</v>
      </c>
      <c r="I43" s="2" t="s">
        <v>14</v>
      </c>
      <c r="J43" s="2" t="s">
        <v>8</v>
      </c>
      <c r="K43" s="2" t="s">
        <v>12</v>
      </c>
      <c r="L43" s="2" t="s">
        <v>13</v>
      </c>
      <c r="M43" s="2" t="s">
        <v>14</v>
      </c>
      <c r="N43" s="82" t="s">
        <v>8</v>
      </c>
      <c r="O43" s="12" t="s">
        <v>15</v>
      </c>
      <c r="P43" s="221"/>
      <c r="Q43" s="222"/>
      <c r="R43" s="37"/>
    </row>
    <row r="44" spans="1:22" ht="25.8" customHeight="1">
      <c r="A44" s="5">
        <v>1</v>
      </c>
      <c r="B44" s="85" t="s">
        <v>186</v>
      </c>
      <c r="C44" s="85" t="s">
        <v>208</v>
      </c>
      <c r="D44" s="85" t="s">
        <v>197</v>
      </c>
      <c r="E44" s="178" t="s">
        <v>209</v>
      </c>
      <c r="F44" s="2">
        <v>0</v>
      </c>
      <c r="G44" s="2">
        <v>0</v>
      </c>
      <c r="H44" s="20">
        <f>G44-F44</f>
        <v>0</v>
      </c>
      <c r="I44" s="2">
        <v>0</v>
      </c>
      <c r="J44" s="10">
        <f t="shared" ref="J44:J46" si="17">IFERROR(I44/H44,0)</f>
        <v>0</v>
      </c>
      <c r="K44" s="2">
        <v>0</v>
      </c>
      <c r="L44" s="86">
        <f>K44-G44</f>
        <v>0</v>
      </c>
      <c r="M44" s="2">
        <v>0</v>
      </c>
      <c r="N44" s="28">
        <f>IFERROR(M44/L44,0)</f>
        <v>0</v>
      </c>
      <c r="O44" s="18">
        <f>H44+L44</f>
        <v>0</v>
      </c>
      <c r="P44" s="22">
        <f>I44+M44</f>
        <v>0</v>
      </c>
      <c r="Q44" s="23">
        <f>IFERROR(P44/O44,0)</f>
        <v>0</v>
      </c>
      <c r="R44" s="37"/>
    </row>
    <row r="45" spans="1:22" ht="24.6" customHeight="1">
      <c r="A45" s="76">
        <v>2</v>
      </c>
      <c r="B45" s="85" t="s">
        <v>42</v>
      </c>
      <c r="C45" s="85" t="s">
        <v>208</v>
      </c>
      <c r="D45" s="85" t="s">
        <v>197</v>
      </c>
      <c r="E45" s="178" t="s">
        <v>209</v>
      </c>
      <c r="F45" s="33">
        <v>8726.9</v>
      </c>
      <c r="G45" s="33">
        <v>8726.9</v>
      </c>
      <c r="H45" s="20">
        <f>G45-F45</f>
        <v>0</v>
      </c>
      <c r="I45" s="33">
        <v>0</v>
      </c>
      <c r="J45" s="10">
        <f t="shared" si="17"/>
        <v>0</v>
      </c>
      <c r="K45" s="33">
        <v>8726.9</v>
      </c>
      <c r="L45" s="86">
        <f>K45-G45</f>
        <v>0</v>
      </c>
      <c r="M45" s="2">
        <v>0</v>
      </c>
      <c r="N45" s="28">
        <f>IFERROR(M45/L45,0)</f>
        <v>0</v>
      </c>
      <c r="O45" s="18">
        <f>H45+L45</f>
        <v>0</v>
      </c>
      <c r="P45" s="22">
        <f>I45+M45</f>
        <v>0</v>
      </c>
      <c r="Q45" s="23">
        <f>IFERROR(P45/O45,0)</f>
        <v>0</v>
      </c>
      <c r="R45" s="87"/>
      <c r="V45" s="51"/>
    </row>
    <row r="46" spans="1:22" ht="22.8" customHeight="1">
      <c r="A46" s="76">
        <v>3</v>
      </c>
      <c r="B46" s="85" t="s">
        <v>43</v>
      </c>
      <c r="C46" s="85" t="s">
        <v>208</v>
      </c>
      <c r="D46" s="85" t="s">
        <v>197</v>
      </c>
      <c r="E46" s="178" t="s">
        <v>209</v>
      </c>
      <c r="F46" s="33">
        <v>1686</v>
      </c>
      <c r="G46" s="33">
        <v>1686</v>
      </c>
      <c r="H46" s="20">
        <f>G46-F46</f>
        <v>0</v>
      </c>
      <c r="I46" s="33">
        <v>0</v>
      </c>
      <c r="J46" s="10">
        <f t="shared" si="17"/>
        <v>0</v>
      </c>
      <c r="K46" s="33">
        <v>1686</v>
      </c>
      <c r="L46" s="86">
        <f>K46-G46</f>
        <v>0</v>
      </c>
      <c r="M46" s="2">
        <v>0</v>
      </c>
      <c r="N46" s="28">
        <f>IFERROR(M46/L46,0)</f>
        <v>0</v>
      </c>
      <c r="O46" s="18">
        <f>H46+L46</f>
        <v>0</v>
      </c>
      <c r="P46" s="22">
        <f t="shared" ref="P46" si="18">I46+M46</f>
        <v>0</v>
      </c>
      <c r="Q46" s="23">
        <f>IFERROR(P46/O46,0)</f>
        <v>0</v>
      </c>
      <c r="R46" s="87"/>
      <c r="S46" s="88"/>
      <c r="T46" s="89"/>
    </row>
    <row r="47" spans="1:22" ht="24" customHeight="1" thickBot="1">
      <c r="A47" s="223" t="s">
        <v>28</v>
      </c>
      <c r="B47" s="224"/>
      <c r="C47" s="177"/>
      <c r="D47" s="177"/>
      <c r="E47" s="177"/>
      <c r="F47" s="90"/>
      <c r="G47" s="90"/>
      <c r="H47" s="91">
        <f>SUM(H45:H46)</f>
        <v>0</v>
      </c>
      <c r="I47" s="91">
        <f>SUM(I45:I46)</f>
        <v>0</v>
      </c>
      <c r="J47" s="92"/>
      <c r="K47" s="92"/>
      <c r="L47" s="91">
        <f>SUM(L44:L46)</f>
        <v>0</v>
      </c>
      <c r="M47" s="91">
        <f>SUM(M44:M46)</f>
        <v>0</v>
      </c>
      <c r="N47" s="93">
        <f>SUM(N44:N46)</f>
        <v>0</v>
      </c>
      <c r="O47" s="94">
        <f>SUM(O44:O46)</f>
        <v>0</v>
      </c>
      <c r="P47" s="95">
        <f>SUM(P44:P46)</f>
        <v>0</v>
      </c>
      <c r="Q47" s="96" t="e">
        <f>P47/O47</f>
        <v>#DIV/0!</v>
      </c>
      <c r="R47" s="37"/>
      <c r="S47" s="97"/>
      <c r="T47" s="89"/>
    </row>
    <row r="48" spans="1:22" ht="24" customHeight="1">
      <c r="A48" s="225" t="s">
        <v>44</v>
      </c>
      <c r="B48" s="226"/>
      <c r="C48" s="226"/>
      <c r="D48" s="226"/>
      <c r="E48" s="226"/>
      <c r="F48" s="226"/>
      <c r="G48" s="226"/>
      <c r="H48" s="226"/>
      <c r="I48" s="226"/>
      <c r="J48" s="226"/>
      <c r="K48" s="226"/>
      <c r="L48" s="226"/>
      <c r="M48" s="226"/>
      <c r="N48" s="226"/>
      <c r="O48" s="226"/>
      <c r="P48" s="98"/>
      <c r="Q48" s="99"/>
      <c r="R48" s="37"/>
      <c r="S48" s="100"/>
      <c r="T48" s="100"/>
    </row>
    <row r="49" spans="1:30" ht="24" customHeight="1">
      <c r="A49" s="222" t="s">
        <v>3</v>
      </c>
      <c r="B49" s="222" t="s">
        <v>4</v>
      </c>
      <c r="C49" s="182"/>
      <c r="D49" s="182"/>
      <c r="E49" s="182"/>
      <c r="F49" s="227" t="s">
        <v>5</v>
      </c>
      <c r="G49" s="228"/>
      <c r="H49" s="228"/>
      <c r="I49" s="228"/>
      <c r="J49" s="228"/>
      <c r="K49" s="229"/>
      <c r="L49" s="230" t="s">
        <v>6</v>
      </c>
      <c r="M49" s="231"/>
      <c r="N49" s="231"/>
      <c r="O49" s="231"/>
      <c r="P49" s="231"/>
      <c r="Q49" s="232"/>
      <c r="R49" s="201" t="s">
        <v>45</v>
      </c>
      <c r="S49" s="203" t="s">
        <v>46</v>
      </c>
      <c r="T49" s="203" t="s">
        <v>47</v>
      </c>
      <c r="U49" s="205" t="s">
        <v>48</v>
      </c>
      <c r="AC49" s="101"/>
    </row>
    <row r="50" spans="1:30" ht="33" customHeight="1">
      <c r="A50" s="222"/>
      <c r="B50" s="222"/>
      <c r="C50" s="183" t="s">
        <v>190</v>
      </c>
      <c r="D50" s="183" t="s">
        <v>191</v>
      </c>
      <c r="E50" s="183" t="s">
        <v>192</v>
      </c>
      <c r="F50" s="2" t="s">
        <v>49</v>
      </c>
      <c r="G50" s="2" t="s">
        <v>50</v>
      </c>
      <c r="H50" s="2" t="s">
        <v>51</v>
      </c>
      <c r="I50" s="102" t="s">
        <v>11</v>
      </c>
      <c r="J50" s="2" t="s">
        <v>14</v>
      </c>
      <c r="K50" s="2" t="s">
        <v>8</v>
      </c>
      <c r="L50" s="2" t="s">
        <v>50</v>
      </c>
      <c r="M50" s="2" t="s">
        <v>45</v>
      </c>
      <c r="N50" s="102" t="s">
        <v>12</v>
      </c>
      <c r="O50" s="102" t="s">
        <v>15</v>
      </c>
      <c r="P50" s="2" t="s">
        <v>14</v>
      </c>
      <c r="Q50" s="82" t="s">
        <v>8</v>
      </c>
      <c r="R50" s="202"/>
      <c r="S50" s="204"/>
      <c r="T50" s="204"/>
      <c r="U50" s="205"/>
    </row>
    <row r="51" spans="1:30" ht="21" customHeight="1">
      <c r="A51" s="81">
        <v>1</v>
      </c>
      <c r="B51" s="103" t="s">
        <v>52</v>
      </c>
      <c r="C51" s="103" t="s">
        <v>210</v>
      </c>
      <c r="D51" s="103" t="s">
        <v>194</v>
      </c>
      <c r="E51" s="178" t="s">
        <v>211</v>
      </c>
      <c r="F51" s="2">
        <v>279975.59999999998</v>
      </c>
      <c r="G51" s="2">
        <v>279975.59999999998</v>
      </c>
      <c r="H51" s="104">
        <f t="shared" ref="H51:H116" si="19">G51-F51</f>
        <v>0</v>
      </c>
      <c r="I51" s="105">
        <v>22177.02</v>
      </c>
      <c r="J51" s="49">
        <v>0</v>
      </c>
      <c r="K51" s="10">
        <f t="shared" ref="K51:K116" si="20">IFERROR(H51/J51,0)</f>
        <v>0</v>
      </c>
      <c r="L51" s="2">
        <v>279975.59999999998</v>
      </c>
      <c r="M51" s="106">
        <f t="shared" ref="M51:M116" si="21">L51-G51</f>
        <v>0</v>
      </c>
      <c r="N51" s="105">
        <v>22177.02</v>
      </c>
      <c r="O51" s="107">
        <f t="shared" ref="O51:O116" si="22">N51-I51</f>
        <v>0</v>
      </c>
      <c r="P51" s="2">
        <v>0</v>
      </c>
      <c r="Q51" s="28">
        <f t="shared" ref="Q51:Q116" si="23">IFERROR(M51/P51,0)</f>
        <v>0</v>
      </c>
      <c r="R51" s="84">
        <f t="shared" ref="R51:R116" si="24">M51+H51</f>
        <v>0</v>
      </c>
      <c r="S51" s="79">
        <f t="shared" ref="S51:S116" si="25">J51+P51</f>
        <v>0</v>
      </c>
      <c r="T51" s="34">
        <f t="shared" ref="T51:T116" si="26">IFERROR(R51/S51,0)</f>
        <v>0</v>
      </c>
      <c r="U51" s="108">
        <v>28</v>
      </c>
    </row>
    <row r="52" spans="1:30" ht="21" customHeight="1">
      <c r="A52" s="81">
        <v>2</v>
      </c>
      <c r="B52" s="103" t="s">
        <v>155</v>
      </c>
      <c r="C52" s="103" t="s">
        <v>210</v>
      </c>
      <c r="D52" s="103" t="s">
        <v>194</v>
      </c>
      <c r="E52" s="178" t="s">
        <v>223</v>
      </c>
      <c r="F52" s="2">
        <v>302996</v>
      </c>
      <c r="G52" s="2">
        <v>303038</v>
      </c>
      <c r="H52" s="104">
        <f t="shared" si="19"/>
        <v>42</v>
      </c>
      <c r="I52" s="105">
        <v>30627</v>
      </c>
      <c r="J52" s="49">
        <v>67</v>
      </c>
      <c r="K52" s="10">
        <f t="shared" si="20"/>
        <v>0.62686567164179108</v>
      </c>
      <c r="L52" s="2">
        <v>303038</v>
      </c>
      <c r="M52" s="106">
        <f t="shared" si="21"/>
        <v>0</v>
      </c>
      <c r="N52" s="105">
        <v>30635</v>
      </c>
      <c r="O52" s="107">
        <f t="shared" si="22"/>
        <v>8</v>
      </c>
      <c r="P52" s="2">
        <v>0</v>
      </c>
      <c r="Q52" s="28">
        <f t="shared" si="23"/>
        <v>0</v>
      </c>
      <c r="R52" s="84">
        <f t="shared" si="24"/>
        <v>42</v>
      </c>
      <c r="S52" s="79">
        <f t="shared" si="25"/>
        <v>67</v>
      </c>
      <c r="T52" s="34">
        <f t="shared" si="26"/>
        <v>0.62686567164179108</v>
      </c>
      <c r="U52" s="108">
        <v>44</v>
      </c>
    </row>
    <row r="53" spans="1:30" ht="21" customHeight="1">
      <c r="A53" s="81">
        <v>3</v>
      </c>
      <c r="B53" s="103" t="s">
        <v>171</v>
      </c>
      <c r="C53" s="103" t="s">
        <v>210</v>
      </c>
      <c r="D53" s="103" t="s">
        <v>194</v>
      </c>
      <c r="E53" s="178" t="s">
        <v>223</v>
      </c>
      <c r="F53" s="2">
        <v>311978</v>
      </c>
      <c r="G53" s="2">
        <v>312059</v>
      </c>
      <c r="H53" s="104">
        <f t="shared" si="19"/>
        <v>81</v>
      </c>
      <c r="I53" s="105">
        <v>31163</v>
      </c>
      <c r="J53" s="49">
        <v>107</v>
      </c>
      <c r="K53" s="10">
        <f t="shared" si="20"/>
        <v>0.7570093457943925</v>
      </c>
      <c r="L53" s="2">
        <v>312059</v>
      </c>
      <c r="M53" s="106">
        <f t="shared" si="21"/>
        <v>0</v>
      </c>
      <c r="N53" s="105">
        <v>31170</v>
      </c>
      <c r="O53" s="107">
        <f t="shared" si="22"/>
        <v>7</v>
      </c>
      <c r="P53" s="2">
        <v>0</v>
      </c>
      <c r="Q53" s="28">
        <f t="shared" si="23"/>
        <v>0</v>
      </c>
      <c r="R53" s="84">
        <f t="shared" si="24"/>
        <v>81</v>
      </c>
      <c r="S53" s="79">
        <f t="shared" si="25"/>
        <v>107</v>
      </c>
      <c r="T53" s="34">
        <f t="shared" si="26"/>
        <v>0.7570093457943925</v>
      </c>
      <c r="U53" s="108">
        <v>31</v>
      </c>
    </row>
    <row r="54" spans="1:30" ht="21" customHeight="1">
      <c r="A54" s="81">
        <v>4</v>
      </c>
      <c r="B54" s="103" t="s">
        <v>156</v>
      </c>
      <c r="C54" s="103" t="s">
        <v>210</v>
      </c>
      <c r="D54" s="103" t="s">
        <v>194</v>
      </c>
      <c r="E54" s="178" t="s">
        <v>223</v>
      </c>
      <c r="F54" s="2">
        <v>262998</v>
      </c>
      <c r="G54" s="2">
        <v>263031</v>
      </c>
      <c r="H54" s="104">
        <f t="shared" si="19"/>
        <v>33</v>
      </c>
      <c r="I54" s="105">
        <v>27860</v>
      </c>
      <c r="J54" s="49">
        <v>73</v>
      </c>
      <c r="K54" s="10">
        <f t="shared" si="20"/>
        <v>0.45205479452054792</v>
      </c>
      <c r="L54" s="2">
        <v>263031</v>
      </c>
      <c r="M54" s="106">
        <f t="shared" si="21"/>
        <v>0</v>
      </c>
      <c r="N54" s="105">
        <v>27867</v>
      </c>
      <c r="O54" s="107">
        <f t="shared" si="22"/>
        <v>7</v>
      </c>
      <c r="P54" s="2">
        <v>0</v>
      </c>
      <c r="Q54" s="28">
        <f t="shared" si="23"/>
        <v>0</v>
      </c>
      <c r="R54" s="84">
        <f t="shared" si="24"/>
        <v>33</v>
      </c>
      <c r="S54" s="79">
        <f t="shared" si="25"/>
        <v>73</v>
      </c>
      <c r="T54" s="34">
        <f t="shared" si="26"/>
        <v>0.45205479452054792</v>
      </c>
      <c r="U54" s="108">
        <v>35</v>
      </c>
    </row>
    <row r="55" spans="1:30" ht="21" customHeight="1">
      <c r="A55" s="81">
        <v>5</v>
      </c>
      <c r="B55" s="103" t="s">
        <v>157</v>
      </c>
      <c r="C55" s="103" t="s">
        <v>210</v>
      </c>
      <c r="D55" s="103" t="s">
        <v>194</v>
      </c>
      <c r="E55" s="178" t="s">
        <v>223</v>
      </c>
      <c r="F55" s="2">
        <v>278101</v>
      </c>
      <c r="G55" s="2">
        <v>278101</v>
      </c>
      <c r="H55" s="104">
        <f t="shared" si="19"/>
        <v>0</v>
      </c>
      <c r="I55" s="105">
        <v>28190</v>
      </c>
      <c r="J55" s="49">
        <v>0</v>
      </c>
      <c r="K55" s="10">
        <f t="shared" si="20"/>
        <v>0</v>
      </c>
      <c r="L55" s="2">
        <v>278101</v>
      </c>
      <c r="M55" s="106">
        <f t="shared" si="21"/>
        <v>0</v>
      </c>
      <c r="N55" s="105">
        <v>28190</v>
      </c>
      <c r="O55" s="107">
        <f t="shared" si="22"/>
        <v>0</v>
      </c>
      <c r="P55" s="2">
        <v>0</v>
      </c>
      <c r="Q55" s="28">
        <f t="shared" si="23"/>
        <v>0</v>
      </c>
      <c r="R55" s="84">
        <f t="shared" si="24"/>
        <v>0</v>
      </c>
      <c r="S55" s="79">
        <f t="shared" si="25"/>
        <v>0</v>
      </c>
      <c r="T55" s="34">
        <f t="shared" si="26"/>
        <v>0</v>
      </c>
      <c r="U55" s="108">
        <v>29</v>
      </c>
    </row>
    <row r="56" spans="1:30" ht="21" customHeight="1">
      <c r="A56" s="81">
        <v>6</v>
      </c>
      <c r="B56" s="103" t="s">
        <v>172</v>
      </c>
      <c r="C56" s="103" t="s">
        <v>210</v>
      </c>
      <c r="D56" s="103" t="s">
        <v>194</v>
      </c>
      <c r="E56" s="178" t="s">
        <v>223</v>
      </c>
      <c r="F56" s="2">
        <v>267274</v>
      </c>
      <c r="G56" s="2">
        <v>267274</v>
      </c>
      <c r="H56" s="104">
        <f t="shared" si="19"/>
        <v>0</v>
      </c>
      <c r="I56" s="105">
        <v>26448</v>
      </c>
      <c r="J56" s="49">
        <v>0</v>
      </c>
      <c r="K56" s="10">
        <f t="shared" si="20"/>
        <v>0</v>
      </c>
      <c r="L56" s="2">
        <v>267330</v>
      </c>
      <c r="M56" s="106">
        <f t="shared" si="21"/>
        <v>56</v>
      </c>
      <c r="N56" s="105">
        <v>26455</v>
      </c>
      <c r="O56" s="107">
        <f t="shared" si="22"/>
        <v>7</v>
      </c>
      <c r="P56" s="2">
        <v>93</v>
      </c>
      <c r="Q56" s="28">
        <f t="shared" si="23"/>
        <v>0.60215053763440862</v>
      </c>
      <c r="R56" s="84">
        <f t="shared" si="24"/>
        <v>56</v>
      </c>
      <c r="S56" s="79">
        <f t="shared" si="25"/>
        <v>93</v>
      </c>
      <c r="T56" s="34">
        <f t="shared" si="26"/>
        <v>0.60215053763440862</v>
      </c>
      <c r="U56" s="108">
        <v>11</v>
      </c>
    </row>
    <row r="57" spans="1:30" ht="21" customHeight="1">
      <c r="A57" s="81">
        <v>7</v>
      </c>
      <c r="B57" s="103" t="s">
        <v>173</v>
      </c>
      <c r="C57" s="103" t="s">
        <v>210</v>
      </c>
      <c r="D57" s="103" t="s">
        <v>194</v>
      </c>
      <c r="E57" s="178" t="s">
        <v>223</v>
      </c>
      <c r="F57" s="2">
        <v>295972</v>
      </c>
      <c r="G57" s="2">
        <v>295972</v>
      </c>
      <c r="H57" s="104">
        <f t="shared" si="19"/>
        <v>0</v>
      </c>
      <c r="I57" s="105">
        <v>28802</v>
      </c>
      <c r="J57" s="49">
        <v>0</v>
      </c>
      <c r="K57" s="10">
        <f t="shared" si="20"/>
        <v>0</v>
      </c>
      <c r="L57" s="2">
        <v>295972</v>
      </c>
      <c r="M57" s="106">
        <f t="shared" si="21"/>
        <v>0</v>
      </c>
      <c r="N57" s="105">
        <v>28802</v>
      </c>
      <c r="O57" s="107">
        <f t="shared" si="22"/>
        <v>0</v>
      </c>
      <c r="P57" s="2">
        <v>0</v>
      </c>
      <c r="Q57" s="28">
        <f t="shared" si="23"/>
        <v>0</v>
      </c>
      <c r="R57" s="84">
        <f t="shared" si="24"/>
        <v>0</v>
      </c>
      <c r="S57" s="79">
        <f t="shared" si="25"/>
        <v>0</v>
      </c>
      <c r="T57" s="34">
        <f t="shared" si="26"/>
        <v>0</v>
      </c>
      <c r="U57" s="108">
        <v>0</v>
      </c>
    </row>
    <row r="58" spans="1:30" ht="24" customHeight="1">
      <c r="A58" s="81">
        <v>8</v>
      </c>
      <c r="B58" s="31" t="s">
        <v>53</v>
      </c>
      <c r="C58" s="103" t="s">
        <v>210</v>
      </c>
      <c r="D58" s="103" t="s">
        <v>194</v>
      </c>
      <c r="E58" s="178" t="s">
        <v>211</v>
      </c>
      <c r="F58" s="35">
        <v>335341.90000000002</v>
      </c>
      <c r="G58" s="35">
        <v>335418</v>
      </c>
      <c r="H58" s="104">
        <f t="shared" si="19"/>
        <v>76.099999999976717</v>
      </c>
      <c r="I58" s="110">
        <v>29958</v>
      </c>
      <c r="J58" s="111">
        <v>120</v>
      </c>
      <c r="K58" s="10">
        <f t="shared" si="20"/>
        <v>0.63416666666647259</v>
      </c>
      <c r="L58" s="35">
        <v>335472.09999999998</v>
      </c>
      <c r="M58" s="106">
        <f t="shared" si="21"/>
        <v>54.099999999976717</v>
      </c>
      <c r="N58" s="110">
        <v>29974.18</v>
      </c>
      <c r="O58" s="107">
        <f t="shared" si="22"/>
        <v>16.180000000000291</v>
      </c>
      <c r="P58" s="112">
        <v>88</v>
      </c>
      <c r="Q58" s="28">
        <f t="shared" si="23"/>
        <v>0.61477272727246268</v>
      </c>
      <c r="R58" s="84">
        <f t="shared" si="24"/>
        <v>130.19999999995343</v>
      </c>
      <c r="S58" s="79">
        <f t="shared" si="25"/>
        <v>208</v>
      </c>
      <c r="T58" s="34">
        <f t="shared" si="26"/>
        <v>0.62596153846131464</v>
      </c>
      <c r="U58" s="1">
        <v>38</v>
      </c>
    </row>
    <row r="59" spans="1:30" ht="24" customHeight="1">
      <c r="A59" s="81">
        <v>9</v>
      </c>
      <c r="B59" s="31" t="s">
        <v>54</v>
      </c>
      <c r="C59" s="103" t="s">
        <v>210</v>
      </c>
      <c r="D59" s="103" t="s">
        <v>194</v>
      </c>
      <c r="E59" s="178" t="s">
        <v>211</v>
      </c>
      <c r="F59" s="104">
        <v>294129.40000000002</v>
      </c>
      <c r="G59" s="104">
        <v>294240.3</v>
      </c>
      <c r="H59" s="104">
        <f t="shared" si="19"/>
        <v>110.89999999996508</v>
      </c>
      <c r="I59" s="110">
        <v>28184.16</v>
      </c>
      <c r="J59" s="111">
        <v>174</v>
      </c>
      <c r="K59" s="10">
        <f t="shared" si="20"/>
        <v>0.63735632183887969</v>
      </c>
      <c r="L59" s="104">
        <v>294295</v>
      </c>
      <c r="M59" s="106">
        <f>L59-G59</f>
        <v>54.700000000011642</v>
      </c>
      <c r="N59" s="110">
        <v>28202.11</v>
      </c>
      <c r="O59" s="107">
        <f t="shared" si="22"/>
        <v>17.950000000000728</v>
      </c>
      <c r="P59" s="111">
        <v>100</v>
      </c>
      <c r="Q59" s="28">
        <f t="shared" si="23"/>
        <v>0.54700000000011639</v>
      </c>
      <c r="R59" s="84">
        <f t="shared" si="24"/>
        <v>165.59999999997672</v>
      </c>
      <c r="S59" s="79">
        <f t="shared" si="25"/>
        <v>274</v>
      </c>
      <c r="T59" s="34">
        <f t="shared" si="26"/>
        <v>0.60437956204371068</v>
      </c>
      <c r="U59" s="1">
        <v>39</v>
      </c>
      <c r="AD59" s="101"/>
    </row>
    <row r="60" spans="1:30" ht="24" customHeight="1">
      <c r="A60" s="81">
        <v>10</v>
      </c>
      <c r="B60" s="31" t="s">
        <v>55</v>
      </c>
      <c r="C60" s="103" t="s">
        <v>210</v>
      </c>
      <c r="D60" s="103" t="s">
        <v>194</v>
      </c>
      <c r="E60" s="178" t="s">
        <v>211</v>
      </c>
      <c r="F60" s="104">
        <v>298907.40000000002</v>
      </c>
      <c r="G60" s="104">
        <v>298907.40000000002</v>
      </c>
      <c r="H60" s="104">
        <f t="shared" si="19"/>
        <v>0</v>
      </c>
      <c r="I60" s="110">
        <v>27086</v>
      </c>
      <c r="J60" s="111">
        <v>0</v>
      </c>
      <c r="K60" s="10">
        <f t="shared" si="20"/>
        <v>0</v>
      </c>
      <c r="L60" s="104">
        <v>298966.09999999998</v>
      </c>
      <c r="M60" s="106">
        <f>L60-G60</f>
        <v>58.699999999953434</v>
      </c>
      <c r="N60" s="110">
        <v>27108.58</v>
      </c>
      <c r="O60" s="107">
        <f t="shared" si="22"/>
        <v>22.580000000001746</v>
      </c>
      <c r="P60" s="111">
        <v>160</v>
      </c>
      <c r="Q60" s="28">
        <f t="shared" si="23"/>
        <v>0.36687499999970896</v>
      </c>
      <c r="R60" s="84">
        <f t="shared" si="24"/>
        <v>58.699999999953434</v>
      </c>
      <c r="S60" s="79">
        <f t="shared" si="25"/>
        <v>160</v>
      </c>
      <c r="T60" s="34">
        <f t="shared" si="26"/>
        <v>0.36687499999970896</v>
      </c>
      <c r="U60" s="1">
        <v>0</v>
      </c>
      <c r="AD60" s="101"/>
    </row>
    <row r="61" spans="1:30" ht="24" customHeight="1">
      <c r="A61" s="81">
        <v>11</v>
      </c>
      <c r="B61" s="31" t="s">
        <v>56</v>
      </c>
      <c r="C61" s="103" t="s">
        <v>210</v>
      </c>
      <c r="D61" s="103" t="s">
        <v>194</v>
      </c>
      <c r="E61" s="178" t="s">
        <v>211</v>
      </c>
      <c r="F61" s="104">
        <v>341748.4</v>
      </c>
      <c r="G61" s="104">
        <v>341807.6</v>
      </c>
      <c r="H61" s="104">
        <f t="shared" si="19"/>
        <v>59.199999999953434</v>
      </c>
      <c r="I61" s="110">
        <v>27015.11</v>
      </c>
      <c r="J61" s="111">
        <v>82</v>
      </c>
      <c r="K61" s="10">
        <f t="shared" si="20"/>
        <v>0.72195121951162722</v>
      </c>
      <c r="L61" s="104">
        <v>341845</v>
      </c>
      <c r="M61" s="106">
        <f>L61-G61</f>
        <v>37.400000000023283</v>
      </c>
      <c r="N61" s="110">
        <v>27024.46</v>
      </c>
      <c r="O61" s="107">
        <f t="shared" si="22"/>
        <v>9.3499999999985448</v>
      </c>
      <c r="P61" s="111">
        <v>73</v>
      </c>
      <c r="Q61" s="28">
        <f t="shared" si="23"/>
        <v>0.51232876712360664</v>
      </c>
      <c r="R61" s="84">
        <f t="shared" si="24"/>
        <v>96.599999999976717</v>
      </c>
      <c r="S61" s="79">
        <f t="shared" si="25"/>
        <v>155</v>
      </c>
      <c r="T61" s="34">
        <f t="shared" si="26"/>
        <v>0.62322580645146264</v>
      </c>
      <c r="U61" s="1">
        <v>17</v>
      </c>
      <c r="AD61" s="101"/>
    </row>
    <row r="62" spans="1:30" ht="24" customHeight="1">
      <c r="A62" s="81">
        <v>12</v>
      </c>
      <c r="B62" s="31" t="s">
        <v>57</v>
      </c>
      <c r="C62" s="103" t="s">
        <v>210</v>
      </c>
      <c r="D62" s="103" t="s">
        <v>194</v>
      </c>
      <c r="E62" s="178" t="s">
        <v>211</v>
      </c>
      <c r="F62" s="104">
        <v>344876.4</v>
      </c>
      <c r="G62" s="104">
        <v>344876.4</v>
      </c>
      <c r="H62" s="104">
        <f t="shared" si="19"/>
        <v>0</v>
      </c>
      <c r="I62" s="110">
        <v>26835.33</v>
      </c>
      <c r="J62" s="111">
        <v>0</v>
      </c>
      <c r="K62" s="10">
        <f t="shared" si="20"/>
        <v>0</v>
      </c>
      <c r="L62" s="104">
        <v>344876.4</v>
      </c>
      <c r="M62" s="106">
        <f>L62-G62</f>
        <v>0</v>
      </c>
      <c r="N62" s="110">
        <v>26835.33</v>
      </c>
      <c r="O62" s="107">
        <f t="shared" si="22"/>
        <v>0</v>
      </c>
      <c r="P62" s="111">
        <v>0</v>
      </c>
      <c r="Q62" s="28">
        <f t="shared" si="23"/>
        <v>0</v>
      </c>
      <c r="R62" s="84">
        <f t="shared" si="24"/>
        <v>0</v>
      </c>
      <c r="S62" s="79">
        <f t="shared" si="25"/>
        <v>0</v>
      </c>
      <c r="T62" s="34">
        <f t="shared" si="26"/>
        <v>0</v>
      </c>
      <c r="U62" s="1">
        <v>8</v>
      </c>
      <c r="AD62" s="101"/>
    </row>
    <row r="63" spans="1:30" ht="24" customHeight="1">
      <c r="A63" s="81">
        <v>13</v>
      </c>
      <c r="B63" s="31" t="s">
        <v>58</v>
      </c>
      <c r="C63" s="103" t="s">
        <v>210</v>
      </c>
      <c r="D63" s="103" t="s">
        <v>194</v>
      </c>
      <c r="E63" s="178" t="s">
        <v>211</v>
      </c>
      <c r="F63" s="35">
        <v>301621.09999999998</v>
      </c>
      <c r="G63" s="35">
        <v>301621.09999999998</v>
      </c>
      <c r="H63" s="104">
        <f t="shared" si="19"/>
        <v>0</v>
      </c>
      <c r="I63" s="110">
        <v>26825.38</v>
      </c>
      <c r="J63" s="111">
        <v>0</v>
      </c>
      <c r="K63" s="10">
        <f t="shared" si="20"/>
        <v>0</v>
      </c>
      <c r="L63" s="35">
        <v>301656.7</v>
      </c>
      <c r="M63" s="106">
        <f t="shared" si="21"/>
        <v>35.600000000034925</v>
      </c>
      <c r="N63" s="110">
        <v>26829.040000000001</v>
      </c>
      <c r="O63" s="107">
        <f t="shared" si="22"/>
        <v>3.6599999999998545</v>
      </c>
      <c r="P63" s="112">
        <v>51</v>
      </c>
      <c r="Q63" s="28">
        <f>IFERROR(M63/P63,0)</f>
        <v>0.69803921568695926</v>
      </c>
      <c r="R63" s="84">
        <f t="shared" si="24"/>
        <v>35.600000000034925</v>
      </c>
      <c r="S63" s="79">
        <f t="shared" si="25"/>
        <v>51</v>
      </c>
      <c r="T63" s="34">
        <f t="shared" si="26"/>
        <v>0.69803921568695926</v>
      </c>
      <c r="U63" s="1">
        <v>30</v>
      </c>
      <c r="X63" s="113"/>
    </row>
    <row r="64" spans="1:30" ht="24" customHeight="1">
      <c r="A64" s="81">
        <v>14</v>
      </c>
      <c r="B64" s="31" t="s">
        <v>59</v>
      </c>
      <c r="C64" s="103" t="s">
        <v>210</v>
      </c>
      <c r="D64" s="103" t="s">
        <v>194</v>
      </c>
      <c r="E64" s="178" t="s">
        <v>211</v>
      </c>
      <c r="F64" s="35">
        <v>273586.8</v>
      </c>
      <c r="G64" s="35">
        <v>273586.8</v>
      </c>
      <c r="H64" s="104">
        <f t="shared" si="19"/>
        <v>0</v>
      </c>
      <c r="I64" s="110">
        <v>25580.01</v>
      </c>
      <c r="J64" s="111">
        <v>0</v>
      </c>
      <c r="K64" s="10">
        <f t="shared" si="20"/>
        <v>0</v>
      </c>
      <c r="L64" s="35">
        <v>273623.8</v>
      </c>
      <c r="M64" s="106">
        <f>L64-G64</f>
        <v>37</v>
      </c>
      <c r="N64" s="110">
        <v>25585.32</v>
      </c>
      <c r="O64" s="107">
        <f t="shared" si="22"/>
        <v>5.3100000000013097</v>
      </c>
      <c r="P64" s="111">
        <v>52</v>
      </c>
      <c r="Q64" s="28">
        <f>IFERROR(M64/P64,0)</f>
        <v>0.71153846153846156</v>
      </c>
      <c r="R64" s="84">
        <f t="shared" si="24"/>
        <v>37</v>
      </c>
      <c r="S64" s="79">
        <f t="shared" si="25"/>
        <v>52</v>
      </c>
      <c r="T64" s="34">
        <f t="shared" si="26"/>
        <v>0.71153846153846156</v>
      </c>
      <c r="U64" s="1">
        <v>11</v>
      </c>
      <c r="AA64" t="s">
        <v>60</v>
      </c>
    </row>
    <row r="65" spans="1:21" ht="24" customHeight="1">
      <c r="A65" s="81">
        <v>15</v>
      </c>
      <c r="B65" s="31" t="s">
        <v>61</v>
      </c>
      <c r="C65" s="103" t="s">
        <v>210</v>
      </c>
      <c r="D65" s="103" t="s">
        <v>194</v>
      </c>
      <c r="E65" s="178" t="s">
        <v>211</v>
      </c>
      <c r="F65" s="104">
        <v>286761.59999999998</v>
      </c>
      <c r="G65" s="104">
        <v>286761.59999999998</v>
      </c>
      <c r="H65" s="104">
        <f t="shared" si="19"/>
        <v>0</v>
      </c>
      <c r="I65" s="110">
        <v>26775.52</v>
      </c>
      <c r="J65" s="111">
        <v>0</v>
      </c>
      <c r="K65" s="10">
        <f t="shared" si="20"/>
        <v>0</v>
      </c>
      <c r="L65" s="104">
        <v>286761.59999999998</v>
      </c>
      <c r="M65" s="106">
        <f>L65-G65</f>
        <v>0</v>
      </c>
      <c r="N65" s="110">
        <v>26775.52</v>
      </c>
      <c r="O65" s="107">
        <f t="shared" si="22"/>
        <v>0</v>
      </c>
      <c r="P65" s="112">
        <v>0</v>
      </c>
      <c r="Q65" s="28">
        <f t="shared" si="23"/>
        <v>0</v>
      </c>
      <c r="R65" s="84">
        <f t="shared" si="24"/>
        <v>0</v>
      </c>
      <c r="S65" s="79">
        <f t="shared" si="25"/>
        <v>0</v>
      </c>
      <c r="T65" s="34">
        <f t="shared" si="26"/>
        <v>0</v>
      </c>
      <c r="U65" s="1">
        <v>10</v>
      </c>
    </row>
    <row r="66" spans="1:21" ht="24" customHeight="1">
      <c r="A66" s="81">
        <v>16</v>
      </c>
      <c r="B66" s="31" t="s">
        <v>62</v>
      </c>
      <c r="C66" s="103" t="s">
        <v>210</v>
      </c>
      <c r="D66" s="103" t="s">
        <v>194</v>
      </c>
      <c r="E66" s="178" t="s">
        <v>211</v>
      </c>
      <c r="F66" s="35">
        <v>304606.5</v>
      </c>
      <c r="G66" s="35">
        <v>304606.5</v>
      </c>
      <c r="H66" s="104">
        <f t="shared" si="19"/>
        <v>0</v>
      </c>
      <c r="I66" s="110">
        <v>27409.06</v>
      </c>
      <c r="J66" s="111">
        <v>0</v>
      </c>
      <c r="K66" s="10">
        <f t="shared" si="20"/>
        <v>0</v>
      </c>
      <c r="L66" s="35">
        <v>304622</v>
      </c>
      <c r="M66" s="106">
        <f t="shared" si="21"/>
        <v>15.5</v>
      </c>
      <c r="N66" s="110">
        <v>27412.22</v>
      </c>
      <c r="O66" s="107">
        <f t="shared" si="22"/>
        <v>3.1599999999998545</v>
      </c>
      <c r="P66" s="112">
        <v>46</v>
      </c>
      <c r="Q66" s="28">
        <f t="shared" si="23"/>
        <v>0.33695652173913043</v>
      </c>
      <c r="R66" s="84">
        <f t="shared" si="24"/>
        <v>15.5</v>
      </c>
      <c r="S66" s="79">
        <f t="shared" si="25"/>
        <v>46</v>
      </c>
      <c r="T66" s="34">
        <f t="shared" si="26"/>
        <v>0.33695652173913043</v>
      </c>
      <c r="U66" s="1">
        <v>0</v>
      </c>
    </row>
    <row r="67" spans="1:21" ht="24" customHeight="1">
      <c r="A67" s="81">
        <v>17</v>
      </c>
      <c r="B67" s="31" t="s">
        <v>158</v>
      </c>
      <c r="C67" s="103" t="s">
        <v>210</v>
      </c>
      <c r="D67" s="103" t="s">
        <v>194</v>
      </c>
      <c r="E67" s="178" t="s">
        <v>222</v>
      </c>
      <c r="F67" s="17">
        <v>276473</v>
      </c>
      <c r="G67" s="17">
        <v>276563</v>
      </c>
      <c r="H67" s="104">
        <f t="shared" si="19"/>
        <v>90</v>
      </c>
      <c r="I67" s="110">
        <v>25215</v>
      </c>
      <c r="J67" s="111">
        <v>122</v>
      </c>
      <c r="K67" s="10">
        <f t="shared" si="20"/>
        <v>0.73770491803278693</v>
      </c>
      <c r="L67" s="17">
        <v>276563</v>
      </c>
      <c r="M67" s="106">
        <f t="shared" si="21"/>
        <v>0</v>
      </c>
      <c r="N67" s="110">
        <v>25223</v>
      </c>
      <c r="O67" s="107">
        <f t="shared" si="22"/>
        <v>8</v>
      </c>
      <c r="P67" s="111">
        <v>0</v>
      </c>
      <c r="Q67" s="28">
        <f t="shared" si="23"/>
        <v>0</v>
      </c>
      <c r="R67" s="84">
        <f t="shared" si="24"/>
        <v>90</v>
      </c>
      <c r="S67" s="79">
        <f t="shared" si="25"/>
        <v>122</v>
      </c>
      <c r="T67" s="34">
        <f t="shared" si="26"/>
        <v>0.73770491803278693</v>
      </c>
      <c r="U67" s="1">
        <v>33</v>
      </c>
    </row>
    <row r="68" spans="1:21" ht="24" customHeight="1">
      <c r="A68" s="81">
        <v>18</v>
      </c>
      <c r="B68" s="31" t="s">
        <v>159</v>
      </c>
      <c r="C68" s="103" t="s">
        <v>210</v>
      </c>
      <c r="D68" s="103" t="s">
        <v>194</v>
      </c>
      <c r="E68" s="178" t="s">
        <v>222</v>
      </c>
      <c r="F68" s="17">
        <v>279775</v>
      </c>
      <c r="G68" s="17">
        <v>279806</v>
      </c>
      <c r="H68" s="104">
        <f t="shared" si="19"/>
        <v>31</v>
      </c>
      <c r="I68" s="110">
        <v>26060</v>
      </c>
      <c r="J68" s="111">
        <v>62</v>
      </c>
      <c r="K68" s="10">
        <f t="shared" si="20"/>
        <v>0.5</v>
      </c>
      <c r="L68" s="17">
        <v>279844</v>
      </c>
      <c r="M68" s="106">
        <f t="shared" si="21"/>
        <v>38</v>
      </c>
      <c r="N68" s="110">
        <v>26071</v>
      </c>
      <c r="O68" s="107">
        <f t="shared" si="22"/>
        <v>11</v>
      </c>
      <c r="P68" s="111">
        <v>81</v>
      </c>
      <c r="Q68" s="28">
        <f t="shared" si="23"/>
        <v>0.46913580246913578</v>
      </c>
      <c r="R68" s="84">
        <f t="shared" si="24"/>
        <v>69</v>
      </c>
      <c r="S68" s="79">
        <f t="shared" si="25"/>
        <v>143</v>
      </c>
      <c r="T68" s="34">
        <f t="shared" si="26"/>
        <v>0.4825174825174825</v>
      </c>
      <c r="U68" s="1">
        <v>17</v>
      </c>
    </row>
    <row r="69" spans="1:21" ht="24" customHeight="1">
      <c r="A69" s="81">
        <v>19</v>
      </c>
      <c r="B69" s="31" t="s">
        <v>160</v>
      </c>
      <c r="C69" s="103" t="s">
        <v>210</v>
      </c>
      <c r="D69" s="103" t="s">
        <v>194</v>
      </c>
      <c r="E69" s="178" t="s">
        <v>222</v>
      </c>
      <c r="F69" s="17">
        <v>306486</v>
      </c>
      <c r="G69" s="17">
        <v>306547</v>
      </c>
      <c r="H69" s="104">
        <f t="shared" si="19"/>
        <v>61</v>
      </c>
      <c r="I69" s="110">
        <v>25222</v>
      </c>
      <c r="J69" s="111">
        <v>96</v>
      </c>
      <c r="K69" s="10">
        <f t="shared" si="20"/>
        <v>0.63541666666666663</v>
      </c>
      <c r="L69" s="17">
        <v>306575</v>
      </c>
      <c r="M69" s="106">
        <f t="shared" si="21"/>
        <v>28</v>
      </c>
      <c r="N69" s="110">
        <v>25232</v>
      </c>
      <c r="O69" s="107">
        <f t="shared" si="22"/>
        <v>10</v>
      </c>
      <c r="P69" s="111">
        <v>60</v>
      </c>
      <c r="Q69" s="28">
        <f t="shared" si="23"/>
        <v>0.46666666666666667</v>
      </c>
      <c r="R69" s="84">
        <f t="shared" si="24"/>
        <v>89</v>
      </c>
      <c r="S69" s="79">
        <f t="shared" si="25"/>
        <v>156</v>
      </c>
      <c r="T69" s="34">
        <f t="shared" si="26"/>
        <v>0.57051282051282048</v>
      </c>
      <c r="U69" s="1">
        <v>0</v>
      </c>
    </row>
    <row r="70" spans="1:21" ht="24" customHeight="1">
      <c r="A70" s="81">
        <v>20</v>
      </c>
      <c r="B70" s="31" t="s">
        <v>161</v>
      </c>
      <c r="C70" s="103" t="s">
        <v>210</v>
      </c>
      <c r="D70" s="103" t="s">
        <v>194</v>
      </c>
      <c r="E70" s="178" t="s">
        <v>222</v>
      </c>
      <c r="F70" s="17">
        <v>306172</v>
      </c>
      <c r="G70" s="17">
        <v>306307</v>
      </c>
      <c r="H70" s="104">
        <f t="shared" si="19"/>
        <v>135</v>
      </c>
      <c r="I70" s="110">
        <v>25583</v>
      </c>
      <c r="J70" s="116">
        <v>196</v>
      </c>
      <c r="K70" s="10">
        <f t="shared" si="20"/>
        <v>0.68877551020408168</v>
      </c>
      <c r="L70" s="17">
        <v>306347</v>
      </c>
      <c r="M70" s="106">
        <f t="shared" si="21"/>
        <v>40</v>
      </c>
      <c r="N70" s="110">
        <v>25598</v>
      </c>
      <c r="O70" s="107">
        <f t="shared" si="22"/>
        <v>15</v>
      </c>
      <c r="P70" s="111">
        <v>72</v>
      </c>
      <c r="Q70" s="28">
        <f t="shared" si="23"/>
        <v>0.55555555555555558</v>
      </c>
      <c r="R70" s="84">
        <f t="shared" si="24"/>
        <v>175</v>
      </c>
      <c r="S70" s="79">
        <f t="shared" si="25"/>
        <v>268</v>
      </c>
      <c r="T70" s="34">
        <f t="shared" si="26"/>
        <v>0.65298507462686572</v>
      </c>
      <c r="U70" s="1">
        <v>31</v>
      </c>
    </row>
    <row r="71" spans="1:21" ht="24" customHeight="1">
      <c r="A71" s="81">
        <v>21</v>
      </c>
      <c r="B71" s="31" t="s">
        <v>162</v>
      </c>
      <c r="C71" s="103" t="s">
        <v>210</v>
      </c>
      <c r="D71" s="103" t="s">
        <v>194</v>
      </c>
      <c r="E71" s="178" t="s">
        <v>222</v>
      </c>
      <c r="F71" s="17">
        <v>322291</v>
      </c>
      <c r="G71" s="17">
        <v>322374</v>
      </c>
      <c r="H71" s="104">
        <f t="shared" si="19"/>
        <v>83</v>
      </c>
      <c r="I71" s="110">
        <v>26739</v>
      </c>
      <c r="J71" s="111">
        <v>164</v>
      </c>
      <c r="K71" s="10">
        <f t="shared" si="20"/>
        <v>0.50609756097560976</v>
      </c>
      <c r="L71" s="17">
        <v>322412</v>
      </c>
      <c r="M71" s="106">
        <f t="shared" si="21"/>
        <v>38</v>
      </c>
      <c r="N71" s="110">
        <v>26753</v>
      </c>
      <c r="O71" s="107">
        <f t="shared" si="22"/>
        <v>14</v>
      </c>
      <c r="P71" s="111">
        <v>69</v>
      </c>
      <c r="Q71" s="28">
        <f t="shared" si="23"/>
        <v>0.55072463768115942</v>
      </c>
      <c r="R71" s="84">
        <f t="shared" si="24"/>
        <v>121</v>
      </c>
      <c r="S71" s="79">
        <f t="shared" si="25"/>
        <v>233</v>
      </c>
      <c r="T71" s="34">
        <f t="shared" si="26"/>
        <v>0.51931330472102999</v>
      </c>
      <c r="U71" s="1">
        <v>0</v>
      </c>
    </row>
    <row r="72" spans="1:21" ht="24" customHeight="1">
      <c r="A72" s="81">
        <v>22</v>
      </c>
      <c r="B72" s="31" t="s">
        <v>68</v>
      </c>
      <c r="C72" s="103" t="s">
        <v>210</v>
      </c>
      <c r="D72" s="103" t="s">
        <v>194</v>
      </c>
      <c r="E72" s="178" t="s">
        <v>211</v>
      </c>
      <c r="F72" s="17">
        <v>278321.40000000002</v>
      </c>
      <c r="G72" s="17">
        <v>278439.2</v>
      </c>
      <c r="H72" s="104">
        <f t="shared" si="19"/>
        <v>117.79999999998836</v>
      </c>
      <c r="I72" s="110">
        <v>22604</v>
      </c>
      <c r="J72" s="111">
        <v>183</v>
      </c>
      <c r="K72" s="10">
        <f t="shared" si="20"/>
        <v>0.64371584699447193</v>
      </c>
      <c r="L72" s="17">
        <v>278470.59999999998</v>
      </c>
      <c r="M72" s="106">
        <f t="shared" si="21"/>
        <v>31.399999999965075</v>
      </c>
      <c r="N72" s="110">
        <v>22620</v>
      </c>
      <c r="O72" s="107">
        <f t="shared" si="22"/>
        <v>16</v>
      </c>
      <c r="P72" s="112">
        <v>78</v>
      </c>
      <c r="Q72" s="28">
        <f t="shared" si="23"/>
        <v>0.40256410256365482</v>
      </c>
      <c r="R72" s="84">
        <f t="shared" si="24"/>
        <v>149.19999999995343</v>
      </c>
      <c r="S72" s="79">
        <f t="shared" si="25"/>
        <v>261</v>
      </c>
      <c r="T72" s="34">
        <f t="shared" si="26"/>
        <v>0.57164750957836563</v>
      </c>
      <c r="U72" s="1">
        <v>23</v>
      </c>
    </row>
    <row r="73" spans="1:21" ht="24" customHeight="1">
      <c r="A73" s="81">
        <v>23</v>
      </c>
      <c r="B73" s="31" t="s">
        <v>69</v>
      </c>
      <c r="C73" s="103" t="s">
        <v>210</v>
      </c>
      <c r="D73" s="103" t="s">
        <v>194</v>
      </c>
      <c r="E73" s="178" t="s">
        <v>211</v>
      </c>
      <c r="F73" s="17">
        <v>260381.5</v>
      </c>
      <c r="G73" s="17">
        <v>260425.60000000001</v>
      </c>
      <c r="H73" s="104">
        <f t="shared" si="19"/>
        <v>44.100000000005821</v>
      </c>
      <c r="I73" s="110">
        <v>19972</v>
      </c>
      <c r="J73" s="111">
        <v>125</v>
      </c>
      <c r="K73" s="10">
        <f t="shared" si="20"/>
        <v>0.35280000000004658</v>
      </c>
      <c r="L73" s="17">
        <v>260470.8</v>
      </c>
      <c r="M73" s="106">
        <f t="shared" si="21"/>
        <v>45.199999999982538</v>
      </c>
      <c r="N73" s="110">
        <v>19985</v>
      </c>
      <c r="O73" s="107">
        <f t="shared" si="22"/>
        <v>13</v>
      </c>
      <c r="P73" s="112">
        <v>69</v>
      </c>
      <c r="Q73" s="28">
        <f t="shared" si="23"/>
        <v>0.65507246376786288</v>
      </c>
      <c r="R73" s="84">
        <f t="shared" si="24"/>
        <v>89.299999999988358</v>
      </c>
      <c r="S73" s="79">
        <f t="shared" si="25"/>
        <v>194</v>
      </c>
      <c r="T73" s="34">
        <f t="shared" si="26"/>
        <v>0.46030927835045543</v>
      </c>
      <c r="U73" s="1">
        <v>30</v>
      </c>
    </row>
    <row r="74" spans="1:21" ht="24" customHeight="1">
      <c r="A74" s="81">
        <v>24</v>
      </c>
      <c r="B74" s="31" t="s">
        <v>70</v>
      </c>
      <c r="C74" s="103" t="s">
        <v>210</v>
      </c>
      <c r="D74" s="103" t="s">
        <v>194</v>
      </c>
      <c r="E74" s="178" t="s">
        <v>211</v>
      </c>
      <c r="F74" s="104">
        <v>304812.40000000002</v>
      </c>
      <c r="G74" s="104">
        <v>304898.8</v>
      </c>
      <c r="H74" s="104">
        <f t="shared" si="19"/>
        <v>86.399999999965075</v>
      </c>
      <c r="I74" s="110">
        <v>5154</v>
      </c>
      <c r="J74" s="111">
        <v>123</v>
      </c>
      <c r="K74" s="10">
        <f t="shared" si="20"/>
        <v>0.70243902438995998</v>
      </c>
      <c r="L74" s="104">
        <v>304898.8</v>
      </c>
      <c r="M74" s="106">
        <f t="shared" si="21"/>
        <v>0</v>
      </c>
      <c r="N74" s="110">
        <v>5163</v>
      </c>
      <c r="O74" s="107">
        <f t="shared" si="22"/>
        <v>9</v>
      </c>
      <c r="P74" s="111">
        <v>0</v>
      </c>
      <c r="Q74" s="28">
        <f t="shared" si="23"/>
        <v>0</v>
      </c>
      <c r="R74" s="84">
        <f t="shared" si="24"/>
        <v>86.399999999965075</v>
      </c>
      <c r="S74" s="79">
        <f t="shared" si="25"/>
        <v>123</v>
      </c>
      <c r="T74" s="34">
        <f t="shared" si="26"/>
        <v>0.70243902438995998</v>
      </c>
      <c r="U74" s="1">
        <v>24</v>
      </c>
    </row>
    <row r="75" spans="1:21" ht="24" customHeight="1">
      <c r="A75" s="81">
        <v>25</v>
      </c>
      <c r="B75" s="31" t="s">
        <v>71</v>
      </c>
      <c r="C75" s="103" t="s">
        <v>210</v>
      </c>
      <c r="D75" s="103" t="s">
        <v>194</v>
      </c>
      <c r="E75" s="178" t="s">
        <v>211</v>
      </c>
      <c r="F75" s="35">
        <v>314739.8</v>
      </c>
      <c r="G75" s="35">
        <v>314820.90000000002</v>
      </c>
      <c r="H75" s="104">
        <f t="shared" si="19"/>
        <v>81.100000000034925</v>
      </c>
      <c r="I75" s="110">
        <v>23039</v>
      </c>
      <c r="J75" s="111">
        <v>120</v>
      </c>
      <c r="K75" s="10">
        <f t="shared" si="20"/>
        <v>0.67583333333362439</v>
      </c>
      <c r="L75" s="35">
        <v>314820.90000000002</v>
      </c>
      <c r="M75" s="106">
        <f t="shared" si="21"/>
        <v>0</v>
      </c>
      <c r="N75" s="110">
        <v>23049</v>
      </c>
      <c r="O75" s="107">
        <f t="shared" si="22"/>
        <v>10</v>
      </c>
      <c r="P75" s="111">
        <v>0</v>
      </c>
      <c r="Q75" s="28">
        <f>IFERROR(M75/P75,0)</f>
        <v>0</v>
      </c>
      <c r="R75" s="84">
        <f t="shared" si="24"/>
        <v>81.100000000034925</v>
      </c>
      <c r="S75" s="79">
        <f>J75+P75</f>
        <v>120</v>
      </c>
      <c r="T75" s="34">
        <f t="shared" si="26"/>
        <v>0.67583333333362439</v>
      </c>
      <c r="U75" s="1">
        <v>25</v>
      </c>
    </row>
    <row r="76" spans="1:21" ht="24" customHeight="1">
      <c r="A76" s="81">
        <v>26</v>
      </c>
      <c r="B76" s="31" t="s">
        <v>72</v>
      </c>
      <c r="C76" s="103" t="s">
        <v>210</v>
      </c>
      <c r="D76" s="103" t="s">
        <v>194</v>
      </c>
      <c r="E76" s="178" t="s">
        <v>211</v>
      </c>
      <c r="F76" s="35">
        <v>285402.5</v>
      </c>
      <c r="G76" s="35">
        <v>285497.90000000002</v>
      </c>
      <c r="H76" s="104">
        <f t="shared" si="19"/>
        <v>95.400000000023283</v>
      </c>
      <c r="I76" s="110">
        <v>20668</v>
      </c>
      <c r="J76" s="111">
        <v>145</v>
      </c>
      <c r="K76" s="10">
        <f t="shared" si="20"/>
        <v>0.65793103448291923</v>
      </c>
      <c r="L76" s="35">
        <v>285551</v>
      </c>
      <c r="M76" s="106">
        <f t="shared" si="21"/>
        <v>53.099999999976717</v>
      </c>
      <c r="N76" s="110">
        <v>20683</v>
      </c>
      <c r="O76" s="107">
        <f t="shared" si="22"/>
        <v>15</v>
      </c>
      <c r="P76" s="112">
        <v>86</v>
      </c>
      <c r="Q76" s="28">
        <f t="shared" si="23"/>
        <v>0.6174418604648455</v>
      </c>
      <c r="R76" s="84">
        <f t="shared" si="24"/>
        <v>148.5</v>
      </c>
      <c r="S76" s="79">
        <f t="shared" si="25"/>
        <v>231</v>
      </c>
      <c r="T76" s="34">
        <f t="shared" si="26"/>
        <v>0.6428571428571429</v>
      </c>
      <c r="U76" s="1">
        <v>44</v>
      </c>
    </row>
    <row r="77" spans="1:21" ht="24" customHeight="1">
      <c r="A77" s="81">
        <v>27</v>
      </c>
      <c r="B77" s="31" t="s">
        <v>73</v>
      </c>
      <c r="C77" s="103" t="s">
        <v>210</v>
      </c>
      <c r="D77" s="103" t="s">
        <v>194</v>
      </c>
      <c r="E77" s="178" t="s">
        <v>211</v>
      </c>
      <c r="F77" s="104">
        <v>313696.59999999998</v>
      </c>
      <c r="G77" s="104">
        <v>313801.2</v>
      </c>
      <c r="H77" s="104">
        <f t="shared" si="19"/>
        <v>104.60000000003492</v>
      </c>
      <c r="I77" s="110">
        <v>22800</v>
      </c>
      <c r="J77" s="111">
        <v>140</v>
      </c>
      <c r="K77" s="10">
        <f t="shared" si="20"/>
        <v>0.74714285714310658</v>
      </c>
      <c r="L77" s="104">
        <v>313847.09999999998</v>
      </c>
      <c r="M77" s="106">
        <f t="shared" si="21"/>
        <v>45.899999999965075</v>
      </c>
      <c r="N77" s="110">
        <v>22817</v>
      </c>
      <c r="O77" s="107">
        <f t="shared" si="22"/>
        <v>17</v>
      </c>
      <c r="P77" s="112">
        <v>85</v>
      </c>
      <c r="Q77" s="28">
        <f t="shared" si="23"/>
        <v>0.53999999999958914</v>
      </c>
      <c r="R77" s="84">
        <f t="shared" si="24"/>
        <v>150.5</v>
      </c>
      <c r="S77" s="79">
        <f t="shared" si="25"/>
        <v>225</v>
      </c>
      <c r="T77" s="34">
        <f t="shared" si="26"/>
        <v>0.66888888888888887</v>
      </c>
      <c r="U77" s="1">
        <v>42</v>
      </c>
    </row>
    <row r="78" spans="1:21" ht="24" customHeight="1">
      <c r="A78" s="81">
        <v>28</v>
      </c>
      <c r="B78" s="31" t="s">
        <v>74</v>
      </c>
      <c r="C78" s="103" t="s">
        <v>210</v>
      </c>
      <c r="D78" s="103" t="s">
        <v>194</v>
      </c>
      <c r="E78" s="178" t="s">
        <v>211</v>
      </c>
      <c r="F78" s="35">
        <v>283946.59999999998</v>
      </c>
      <c r="G78" s="35">
        <v>284089</v>
      </c>
      <c r="H78" s="104">
        <f t="shared" si="19"/>
        <v>142.40000000002328</v>
      </c>
      <c r="I78" s="110">
        <v>4323</v>
      </c>
      <c r="J78" s="111">
        <v>233</v>
      </c>
      <c r="K78" s="10">
        <f t="shared" si="20"/>
        <v>0.61115879828336173</v>
      </c>
      <c r="L78" s="35">
        <v>284089</v>
      </c>
      <c r="M78" s="106">
        <f t="shared" si="21"/>
        <v>0</v>
      </c>
      <c r="N78" s="110">
        <v>4335</v>
      </c>
      <c r="O78" s="107">
        <f>N78-I78</f>
        <v>12</v>
      </c>
      <c r="P78" s="111">
        <v>0</v>
      </c>
      <c r="Q78" s="28">
        <f t="shared" si="23"/>
        <v>0</v>
      </c>
      <c r="R78" s="84">
        <f t="shared" si="24"/>
        <v>142.40000000002328</v>
      </c>
      <c r="S78" s="79">
        <f t="shared" si="25"/>
        <v>233</v>
      </c>
      <c r="T78" s="34">
        <f t="shared" si="26"/>
        <v>0.61115879828336173</v>
      </c>
      <c r="U78" s="1">
        <v>32</v>
      </c>
    </row>
    <row r="79" spans="1:21" ht="24" customHeight="1">
      <c r="A79" s="81">
        <v>29</v>
      </c>
      <c r="B79" s="31" t="s">
        <v>75</v>
      </c>
      <c r="C79" s="103" t="s">
        <v>210</v>
      </c>
      <c r="D79" s="103" t="s">
        <v>194</v>
      </c>
      <c r="E79" s="178" t="s">
        <v>211</v>
      </c>
      <c r="F79" s="104">
        <v>301816.90000000002</v>
      </c>
      <c r="G79" s="104">
        <v>301894.59999999998</v>
      </c>
      <c r="H79" s="104">
        <f t="shared" si="19"/>
        <v>77.699999999953434</v>
      </c>
      <c r="I79" s="110">
        <v>21750</v>
      </c>
      <c r="J79" s="111">
        <v>134</v>
      </c>
      <c r="K79" s="10">
        <f t="shared" si="20"/>
        <v>0.57985074626830924</v>
      </c>
      <c r="L79" s="104">
        <v>301894.59999999998</v>
      </c>
      <c r="M79" s="106">
        <f t="shared" si="21"/>
        <v>0</v>
      </c>
      <c r="N79" s="110">
        <v>21762</v>
      </c>
      <c r="O79" s="107">
        <f t="shared" si="22"/>
        <v>12</v>
      </c>
      <c r="P79" s="112">
        <v>0</v>
      </c>
      <c r="Q79" s="28">
        <f t="shared" si="23"/>
        <v>0</v>
      </c>
      <c r="R79" s="84">
        <f t="shared" si="24"/>
        <v>77.699999999953434</v>
      </c>
      <c r="S79" s="79">
        <f t="shared" si="25"/>
        <v>134</v>
      </c>
      <c r="T79" s="34">
        <f t="shared" si="26"/>
        <v>0.57985074626830924</v>
      </c>
      <c r="U79" s="1">
        <v>30</v>
      </c>
    </row>
    <row r="80" spans="1:21" ht="24" customHeight="1">
      <c r="A80" s="81">
        <v>30</v>
      </c>
      <c r="B80" s="31" t="s">
        <v>76</v>
      </c>
      <c r="C80" s="103" t="s">
        <v>210</v>
      </c>
      <c r="D80" s="103" t="s">
        <v>194</v>
      </c>
      <c r="E80" s="178" t="s">
        <v>211</v>
      </c>
      <c r="F80" s="104">
        <v>266355.09999999998</v>
      </c>
      <c r="G80" s="104">
        <v>266465.90000000002</v>
      </c>
      <c r="H80" s="104">
        <f t="shared" si="19"/>
        <v>110.80000000004657</v>
      </c>
      <c r="I80" s="110">
        <v>19700</v>
      </c>
      <c r="J80" s="111">
        <v>152</v>
      </c>
      <c r="K80" s="10">
        <f t="shared" si="20"/>
        <v>0.72894736842135899</v>
      </c>
      <c r="L80" s="104">
        <v>266504.90000000002</v>
      </c>
      <c r="M80" s="106">
        <f t="shared" si="21"/>
        <v>39</v>
      </c>
      <c r="N80" s="110">
        <v>19714</v>
      </c>
      <c r="O80" s="107">
        <f t="shared" si="22"/>
        <v>14</v>
      </c>
      <c r="P80" s="111">
        <v>60</v>
      </c>
      <c r="Q80" s="28">
        <f t="shared" si="23"/>
        <v>0.65</v>
      </c>
      <c r="R80" s="84">
        <f t="shared" si="24"/>
        <v>149.80000000004657</v>
      </c>
      <c r="S80" s="79">
        <f t="shared" si="25"/>
        <v>212</v>
      </c>
      <c r="T80" s="34">
        <f t="shared" si="26"/>
        <v>0.70660377358512527</v>
      </c>
      <c r="U80" s="1">
        <v>30</v>
      </c>
    </row>
    <row r="81" spans="1:21" ht="24" customHeight="1">
      <c r="A81" s="81">
        <v>31</v>
      </c>
      <c r="B81" s="31" t="s">
        <v>77</v>
      </c>
      <c r="C81" s="103" t="s">
        <v>210</v>
      </c>
      <c r="D81" s="103" t="s">
        <v>194</v>
      </c>
      <c r="E81" s="178" t="s">
        <v>211</v>
      </c>
      <c r="F81" s="83">
        <v>264080.59999999998</v>
      </c>
      <c r="G81" s="83">
        <v>264143.8</v>
      </c>
      <c r="H81" s="104">
        <f t="shared" si="19"/>
        <v>63.200000000011642</v>
      </c>
      <c r="I81" s="110">
        <v>19381</v>
      </c>
      <c r="J81" s="111">
        <v>108.67</v>
      </c>
      <c r="K81" s="10">
        <f t="shared" si="20"/>
        <v>0.58157725223163381</v>
      </c>
      <c r="L81" s="83">
        <v>264143.8</v>
      </c>
      <c r="M81" s="106">
        <f t="shared" si="21"/>
        <v>0</v>
      </c>
      <c r="N81" s="110">
        <v>19388</v>
      </c>
      <c r="O81" s="107">
        <f>N81-I81</f>
        <v>7</v>
      </c>
      <c r="P81" s="111">
        <v>0</v>
      </c>
      <c r="Q81" s="28">
        <f t="shared" si="23"/>
        <v>0</v>
      </c>
      <c r="R81" s="84">
        <f t="shared" si="24"/>
        <v>63.200000000011642</v>
      </c>
      <c r="S81" s="79">
        <f t="shared" si="25"/>
        <v>108.67</v>
      </c>
      <c r="T81" s="34">
        <f t="shared" si="26"/>
        <v>0.58157725223163381</v>
      </c>
      <c r="U81" s="1">
        <v>31</v>
      </c>
    </row>
    <row r="82" spans="1:21" ht="24" customHeight="1">
      <c r="A82" s="81">
        <v>32</v>
      </c>
      <c r="B82" s="31" t="s">
        <v>78</v>
      </c>
      <c r="C82" s="103" t="s">
        <v>210</v>
      </c>
      <c r="D82" s="103" t="s">
        <v>194</v>
      </c>
      <c r="E82" s="178" t="s">
        <v>211</v>
      </c>
      <c r="F82" s="104">
        <v>290264.8</v>
      </c>
      <c r="G82" s="104">
        <v>290325.90000000002</v>
      </c>
      <c r="H82" s="104">
        <f t="shared" si="19"/>
        <v>61.100000000034925</v>
      </c>
      <c r="I82" s="110">
        <v>20976</v>
      </c>
      <c r="J82" s="111">
        <v>92</v>
      </c>
      <c r="K82" s="10">
        <f t="shared" si="20"/>
        <v>0.66413043478298828</v>
      </c>
      <c r="L82" s="104">
        <v>290366</v>
      </c>
      <c r="M82" s="106">
        <f t="shared" si="21"/>
        <v>40.099999999976717</v>
      </c>
      <c r="N82" s="110">
        <v>20992</v>
      </c>
      <c r="O82" s="107">
        <f t="shared" si="22"/>
        <v>16</v>
      </c>
      <c r="P82" s="111">
        <v>61</v>
      </c>
      <c r="Q82" s="28">
        <f t="shared" si="23"/>
        <v>0.65737704917994622</v>
      </c>
      <c r="R82" s="84">
        <f t="shared" si="24"/>
        <v>101.20000000001164</v>
      </c>
      <c r="S82" s="79">
        <f t="shared" si="25"/>
        <v>153</v>
      </c>
      <c r="T82" s="34">
        <f t="shared" si="26"/>
        <v>0.66143790849680817</v>
      </c>
      <c r="U82" s="1">
        <v>31</v>
      </c>
    </row>
    <row r="83" spans="1:21" ht="24" customHeight="1">
      <c r="A83" s="81">
        <v>33</v>
      </c>
      <c r="B83" s="31" t="s">
        <v>79</v>
      </c>
      <c r="C83" s="103" t="s">
        <v>210</v>
      </c>
      <c r="D83" s="103" t="s">
        <v>194</v>
      </c>
      <c r="E83" s="178" t="s">
        <v>211</v>
      </c>
      <c r="F83" s="104">
        <v>305024.7</v>
      </c>
      <c r="G83" s="104">
        <v>305109.90000000002</v>
      </c>
      <c r="H83" s="104">
        <f t="shared" si="19"/>
        <v>85.200000000011642</v>
      </c>
      <c r="I83" s="110">
        <v>21728</v>
      </c>
      <c r="J83" s="111">
        <v>132</v>
      </c>
      <c r="K83" s="10">
        <f t="shared" si="20"/>
        <v>0.64545454545463365</v>
      </c>
      <c r="L83" s="104">
        <v>305109.90000000002</v>
      </c>
      <c r="M83" s="106">
        <f t="shared" si="21"/>
        <v>0</v>
      </c>
      <c r="N83" s="110">
        <v>21738</v>
      </c>
      <c r="O83" s="107">
        <f t="shared" si="22"/>
        <v>10</v>
      </c>
      <c r="P83" s="111">
        <v>0</v>
      </c>
      <c r="Q83" s="28">
        <f t="shared" si="23"/>
        <v>0</v>
      </c>
      <c r="R83" s="84">
        <f t="shared" si="24"/>
        <v>85.200000000011642</v>
      </c>
      <c r="S83" s="79">
        <f t="shared" si="25"/>
        <v>132</v>
      </c>
      <c r="T83" s="34">
        <f t="shared" si="26"/>
        <v>0.64545454545463365</v>
      </c>
      <c r="U83" s="1">
        <v>44</v>
      </c>
    </row>
    <row r="84" spans="1:21" ht="24" customHeight="1">
      <c r="A84" s="81">
        <v>34</v>
      </c>
      <c r="B84" s="31" t="s">
        <v>163</v>
      </c>
      <c r="C84" s="103" t="s">
        <v>210</v>
      </c>
      <c r="D84" s="103" t="s">
        <v>194</v>
      </c>
      <c r="E84" s="178" t="s">
        <v>211</v>
      </c>
      <c r="F84" s="104">
        <v>246051.6</v>
      </c>
      <c r="G84" s="104">
        <v>246141.8</v>
      </c>
      <c r="H84" s="104">
        <f t="shared" si="19"/>
        <v>90.199999999982538</v>
      </c>
      <c r="I84" s="110">
        <v>18379</v>
      </c>
      <c r="J84" s="111">
        <v>144</v>
      </c>
      <c r="K84" s="10">
        <f t="shared" si="20"/>
        <v>0.62638888888876765</v>
      </c>
      <c r="L84" s="104">
        <v>246141.8</v>
      </c>
      <c r="M84" s="106">
        <f t="shared" si="21"/>
        <v>0</v>
      </c>
      <c r="N84" s="110">
        <v>18390</v>
      </c>
      <c r="O84" s="107">
        <f t="shared" si="22"/>
        <v>11</v>
      </c>
      <c r="P84" s="111">
        <v>0</v>
      </c>
      <c r="Q84" s="28">
        <f t="shared" si="23"/>
        <v>0</v>
      </c>
      <c r="R84" s="84">
        <f t="shared" si="24"/>
        <v>90.199999999982538</v>
      </c>
      <c r="S84" s="79">
        <f t="shared" si="25"/>
        <v>144</v>
      </c>
      <c r="T84" s="34">
        <f t="shared" si="26"/>
        <v>0.62638888888876765</v>
      </c>
      <c r="U84" s="1">
        <v>21</v>
      </c>
    </row>
    <row r="85" spans="1:21" ht="24" customHeight="1">
      <c r="A85" s="81">
        <v>35</v>
      </c>
      <c r="B85" s="31" t="s">
        <v>164</v>
      </c>
      <c r="C85" s="103" t="s">
        <v>210</v>
      </c>
      <c r="D85" s="103" t="s">
        <v>194</v>
      </c>
      <c r="E85" s="178" t="s">
        <v>211</v>
      </c>
      <c r="F85" s="104">
        <v>245585.9</v>
      </c>
      <c r="G85" s="104">
        <v>245677.1</v>
      </c>
      <c r="H85" s="104">
        <f t="shared" si="19"/>
        <v>91.200000000011642</v>
      </c>
      <c r="I85" s="110">
        <v>18361</v>
      </c>
      <c r="J85" s="111">
        <v>151</v>
      </c>
      <c r="K85" s="10">
        <f t="shared" si="20"/>
        <v>0.6039735099338519</v>
      </c>
      <c r="L85" s="104">
        <v>245713.5</v>
      </c>
      <c r="M85" s="106">
        <f t="shared" si="21"/>
        <v>36.399999999994179</v>
      </c>
      <c r="N85" s="110">
        <v>18373</v>
      </c>
      <c r="O85" s="107">
        <f t="shared" si="22"/>
        <v>12</v>
      </c>
      <c r="P85" s="111">
        <v>62</v>
      </c>
      <c r="Q85" s="28">
        <f t="shared" si="23"/>
        <v>0.58709677419345452</v>
      </c>
      <c r="R85" s="84">
        <f t="shared" si="24"/>
        <v>127.60000000000582</v>
      </c>
      <c r="S85" s="79">
        <f t="shared" si="25"/>
        <v>213</v>
      </c>
      <c r="T85" s="34">
        <f t="shared" si="26"/>
        <v>0.59906103286387713</v>
      </c>
      <c r="U85" s="1">
        <v>30</v>
      </c>
    </row>
    <row r="86" spans="1:21" ht="24" customHeight="1">
      <c r="A86" s="81">
        <v>36</v>
      </c>
      <c r="B86" s="31" t="s">
        <v>165</v>
      </c>
      <c r="C86" s="103" t="s">
        <v>210</v>
      </c>
      <c r="D86" s="103" t="s">
        <v>194</v>
      </c>
      <c r="E86" s="178" t="s">
        <v>211</v>
      </c>
      <c r="F86" s="104">
        <v>252325.6</v>
      </c>
      <c r="G86" s="104">
        <v>252430</v>
      </c>
      <c r="H86" s="104">
        <f t="shared" si="19"/>
        <v>104.39999999999418</v>
      </c>
      <c r="I86" s="110">
        <v>17997</v>
      </c>
      <c r="J86" s="111">
        <v>151</v>
      </c>
      <c r="K86" s="10">
        <f t="shared" si="20"/>
        <v>0.69139072847678262</v>
      </c>
      <c r="L86" s="104">
        <v>252475</v>
      </c>
      <c r="M86" s="106">
        <f t="shared" si="21"/>
        <v>45</v>
      </c>
      <c r="N86" s="110">
        <v>18011</v>
      </c>
      <c r="O86" s="107">
        <f t="shared" si="22"/>
        <v>14</v>
      </c>
      <c r="P86" s="112">
        <v>82</v>
      </c>
      <c r="Q86" s="28">
        <f t="shared" si="23"/>
        <v>0.54878048780487809</v>
      </c>
      <c r="R86" s="84">
        <f t="shared" si="24"/>
        <v>149.39999999999418</v>
      </c>
      <c r="S86" s="79">
        <f t="shared" si="25"/>
        <v>233</v>
      </c>
      <c r="T86" s="34">
        <f t="shared" si="26"/>
        <v>0.64120171673817239</v>
      </c>
      <c r="U86" s="1">
        <v>16</v>
      </c>
    </row>
    <row r="87" spans="1:21" ht="24" customHeight="1">
      <c r="A87" s="81">
        <v>37</v>
      </c>
      <c r="B87" s="31" t="s">
        <v>83</v>
      </c>
      <c r="C87" s="103" t="s">
        <v>210</v>
      </c>
      <c r="D87" s="103" t="s">
        <v>194</v>
      </c>
      <c r="E87" s="178" t="s">
        <v>211</v>
      </c>
      <c r="F87" s="104">
        <v>260925.1</v>
      </c>
      <c r="G87" s="104">
        <v>260970.2</v>
      </c>
      <c r="H87" s="104">
        <f t="shared" si="19"/>
        <v>45.100000000005821</v>
      </c>
      <c r="I87" s="110">
        <v>18519</v>
      </c>
      <c r="J87" s="111">
        <v>67</v>
      </c>
      <c r="K87" s="10">
        <f t="shared" si="20"/>
        <v>0.67313432835829579</v>
      </c>
      <c r="L87" s="104">
        <v>261013.6</v>
      </c>
      <c r="M87" s="106">
        <f t="shared" si="21"/>
        <v>43.399999999994179</v>
      </c>
      <c r="N87" s="110">
        <v>18536</v>
      </c>
      <c r="O87" s="107">
        <f t="shared" si="22"/>
        <v>17</v>
      </c>
      <c r="P87" s="112">
        <v>64</v>
      </c>
      <c r="Q87" s="28">
        <f t="shared" si="23"/>
        <v>0.67812499999990905</v>
      </c>
      <c r="R87" s="84">
        <f t="shared" si="24"/>
        <v>88.5</v>
      </c>
      <c r="S87" s="79">
        <f t="shared" si="25"/>
        <v>131</v>
      </c>
      <c r="T87" s="34">
        <f t="shared" si="26"/>
        <v>0.67557251908396942</v>
      </c>
      <c r="U87" s="1">
        <v>29</v>
      </c>
    </row>
    <row r="88" spans="1:21" ht="24" customHeight="1">
      <c r="A88" s="81">
        <v>38</v>
      </c>
      <c r="B88" s="31" t="s">
        <v>84</v>
      </c>
      <c r="C88" s="103" t="s">
        <v>210</v>
      </c>
      <c r="D88" s="103" t="s">
        <v>194</v>
      </c>
      <c r="E88" s="178" t="s">
        <v>211</v>
      </c>
      <c r="F88" s="104">
        <v>272585.90000000002</v>
      </c>
      <c r="G88" s="104">
        <v>272728.59999999998</v>
      </c>
      <c r="H88" s="104">
        <f t="shared" si="19"/>
        <v>142.69999999995343</v>
      </c>
      <c r="I88" s="110">
        <v>17887</v>
      </c>
      <c r="J88" s="111">
        <v>184</v>
      </c>
      <c r="K88" s="10">
        <f t="shared" si="20"/>
        <v>0.77554347826061654</v>
      </c>
      <c r="L88" s="104">
        <v>272728.59999999998</v>
      </c>
      <c r="M88" s="106">
        <f t="shared" si="21"/>
        <v>0</v>
      </c>
      <c r="N88" s="110">
        <v>17898</v>
      </c>
      <c r="O88" s="107">
        <f t="shared" si="22"/>
        <v>11</v>
      </c>
      <c r="P88" s="112">
        <v>0</v>
      </c>
      <c r="Q88" s="28">
        <f t="shared" si="23"/>
        <v>0</v>
      </c>
      <c r="R88" s="84">
        <f t="shared" si="24"/>
        <v>142.69999999995343</v>
      </c>
      <c r="S88" s="79">
        <f t="shared" si="25"/>
        <v>184</v>
      </c>
      <c r="T88" s="34">
        <f t="shared" si="26"/>
        <v>0.77554347826061654</v>
      </c>
      <c r="U88" s="1">
        <v>17</v>
      </c>
    </row>
    <row r="89" spans="1:21" ht="24" customHeight="1">
      <c r="A89" s="81">
        <v>39</v>
      </c>
      <c r="B89" s="31" t="s">
        <v>85</v>
      </c>
      <c r="C89" s="103" t="s">
        <v>210</v>
      </c>
      <c r="D89" s="103" t="s">
        <v>194</v>
      </c>
      <c r="E89" s="178" t="s">
        <v>211</v>
      </c>
      <c r="F89" s="35">
        <v>280499.90000000002</v>
      </c>
      <c r="G89" s="35">
        <v>280598.2</v>
      </c>
      <c r="H89" s="104">
        <f t="shared" si="19"/>
        <v>98.299999999988358</v>
      </c>
      <c r="I89" s="110">
        <v>19818</v>
      </c>
      <c r="J89" s="111">
        <v>154.07</v>
      </c>
      <c r="K89" s="10">
        <f t="shared" si="20"/>
        <v>0.63802167845776836</v>
      </c>
      <c r="L89" s="35">
        <v>280639.90000000002</v>
      </c>
      <c r="M89" s="106">
        <f t="shared" si="21"/>
        <v>41.700000000011642</v>
      </c>
      <c r="N89" s="110">
        <v>19832</v>
      </c>
      <c r="O89" s="107">
        <f t="shared" si="22"/>
        <v>14</v>
      </c>
      <c r="P89" s="112">
        <v>72</v>
      </c>
      <c r="Q89" s="28">
        <f t="shared" si="23"/>
        <v>0.57916666666682837</v>
      </c>
      <c r="R89" s="84">
        <f t="shared" si="24"/>
        <v>140</v>
      </c>
      <c r="S89" s="79">
        <f t="shared" si="25"/>
        <v>226.07</v>
      </c>
      <c r="T89" s="34">
        <f t="shared" si="26"/>
        <v>0.61927721502189592</v>
      </c>
      <c r="U89" s="1">
        <v>23</v>
      </c>
    </row>
    <row r="90" spans="1:21" ht="24" customHeight="1">
      <c r="A90" s="81">
        <v>40</v>
      </c>
      <c r="B90" s="31" t="s">
        <v>86</v>
      </c>
      <c r="C90" s="103" t="s">
        <v>210</v>
      </c>
      <c r="D90" s="103" t="s">
        <v>194</v>
      </c>
      <c r="E90" s="178" t="s">
        <v>211</v>
      </c>
      <c r="F90" s="104">
        <v>251256.2</v>
      </c>
      <c r="G90" s="104">
        <v>251335.2</v>
      </c>
      <c r="H90" s="104">
        <f t="shared" si="19"/>
        <v>79</v>
      </c>
      <c r="I90" s="110">
        <v>17861</v>
      </c>
      <c r="J90" s="111">
        <v>132</v>
      </c>
      <c r="K90" s="10">
        <f t="shared" si="20"/>
        <v>0.59848484848484851</v>
      </c>
      <c r="L90" s="104">
        <v>251386.1</v>
      </c>
      <c r="M90" s="106">
        <f t="shared" si="21"/>
        <v>50.899999999994179</v>
      </c>
      <c r="N90" s="110">
        <v>17878</v>
      </c>
      <c r="O90" s="107">
        <f t="shared" si="22"/>
        <v>17</v>
      </c>
      <c r="P90" s="112">
        <v>92</v>
      </c>
      <c r="Q90" s="28">
        <f t="shared" si="23"/>
        <v>0.55326086956515408</v>
      </c>
      <c r="R90" s="84">
        <f t="shared" si="24"/>
        <v>129.89999999999418</v>
      </c>
      <c r="S90" s="79">
        <f t="shared" si="25"/>
        <v>224</v>
      </c>
      <c r="T90" s="34">
        <f t="shared" si="26"/>
        <v>0.5799107142856883</v>
      </c>
      <c r="U90" s="1">
        <v>26</v>
      </c>
    </row>
    <row r="91" spans="1:21" ht="24" customHeight="1">
      <c r="A91" s="81">
        <v>41</v>
      </c>
      <c r="B91" s="31" t="s">
        <v>87</v>
      </c>
      <c r="C91" s="103" t="s">
        <v>210</v>
      </c>
      <c r="D91" s="103" t="s">
        <v>194</v>
      </c>
      <c r="E91" s="178" t="s">
        <v>211</v>
      </c>
      <c r="F91" s="104">
        <v>280115.40000000002</v>
      </c>
      <c r="G91" s="104">
        <v>280224.8</v>
      </c>
      <c r="H91" s="104">
        <f t="shared" si="19"/>
        <v>109.39999999996508</v>
      </c>
      <c r="I91" s="110">
        <v>19365</v>
      </c>
      <c r="J91" s="111">
        <v>166</v>
      </c>
      <c r="K91" s="10">
        <f t="shared" si="20"/>
        <v>0.65903614457810289</v>
      </c>
      <c r="L91" s="104">
        <v>280224.8</v>
      </c>
      <c r="M91" s="106">
        <f t="shared" si="21"/>
        <v>0</v>
      </c>
      <c r="N91" s="110">
        <v>19375</v>
      </c>
      <c r="O91" s="107">
        <f t="shared" si="22"/>
        <v>10</v>
      </c>
      <c r="P91" s="111">
        <v>0</v>
      </c>
      <c r="Q91" s="28">
        <f t="shared" si="23"/>
        <v>0</v>
      </c>
      <c r="R91" s="84">
        <f t="shared" si="24"/>
        <v>109.39999999996508</v>
      </c>
      <c r="S91" s="79">
        <f t="shared" si="25"/>
        <v>166</v>
      </c>
      <c r="T91" s="34">
        <f t="shared" si="26"/>
        <v>0.65903614457810289</v>
      </c>
      <c r="U91" s="1">
        <v>28</v>
      </c>
    </row>
    <row r="92" spans="1:21" ht="24" customHeight="1">
      <c r="A92" s="81">
        <v>42</v>
      </c>
      <c r="B92" s="31" t="s">
        <v>88</v>
      </c>
      <c r="C92" s="103" t="s">
        <v>210</v>
      </c>
      <c r="D92" s="103" t="s">
        <v>194</v>
      </c>
      <c r="E92" s="178" t="s">
        <v>211</v>
      </c>
      <c r="F92" s="104">
        <v>275985</v>
      </c>
      <c r="G92" s="104">
        <v>276147.7</v>
      </c>
      <c r="H92" s="104">
        <f t="shared" si="19"/>
        <v>162.70000000001164</v>
      </c>
      <c r="I92" s="110">
        <v>18753</v>
      </c>
      <c r="J92" s="111">
        <v>222</v>
      </c>
      <c r="K92" s="10">
        <f t="shared" si="20"/>
        <v>0.73288288288293535</v>
      </c>
      <c r="L92" s="104">
        <v>276147.7</v>
      </c>
      <c r="M92" s="106">
        <f t="shared" si="21"/>
        <v>0</v>
      </c>
      <c r="N92" s="110">
        <v>18765</v>
      </c>
      <c r="O92" s="107">
        <f t="shared" si="22"/>
        <v>12</v>
      </c>
      <c r="P92" s="111">
        <v>0</v>
      </c>
      <c r="Q92" s="28">
        <f t="shared" si="23"/>
        <v>0</v>
      </c>
      <c r="R92" s="84">
        <f t="shared" si="24"/>
        <v>162.70000000001164</v>
      </c>
      <c r="S92" s="79">
        <f t="shared" si="25"/>
        <v>222</v>
      </c>
      <c r="T92" s="34">
        <f t="shared" si="26"/>
        <v>0.73288288288293535</v>
      </c>
      <c r="U92" s="1">
        <v>34</v>
      </c>
    </row>
    <row r="93" spans="1:21" ht="24" customHeight="1">
      <c r="A93" s="81">
        <v>43</v>
      </c>
      <c r="B93" s="31" t="s">
        <v>89</v>
      </c>
      <c r="C93" s="103" t="s">
        <v>210</v>
      </c>
      <c r="D93" s="103" t="s">
        <v>194</v>
      </c>
      <c r="E93" s="178" t="s">
        <v>211</v>
      </c>
      <c r="F93" s="35">
        <v>268557.3</v>
      </c>
      <c r="G93" s="35">
        <v>268633.7</v>
      </c>
      <c r="H93" s="104">
        <f t="shared" si="19"/>
        <v>76.400000000023283</v>
      </c>
      <c r="I93" s="110">
        <v>18417</v>
      </c>
      <c r="J93" s="111">
        <v>106</v>
      </c>
      <c r="K93" s="10">
        <f t="shared" si="20"/>
        <v>0.72075471698135174</v>
      </c>
      <c r="L93" s="35">
        <v>268644.8</v>
      </c>
      <c r="M93" s="106">
        <f t="shared" si="21"/>
        <v>11.099999999976717</v>
      </c>
      <c r="N93" s="110">
        <v>18426</v>
      </c>
      <c r="O93" s="107">
        <f t="shared" si="22"/>
        <v>9</v>
      </c>
      <c r="P93" s="111">
        <v>10</v>
      </c>
      <c r="Q93" s="28">
        <f t="shared" si="23"/>
        <v>1.1099999999976717</v>
      </c>
      <c r="R93" s="84">
        <f t="shared" si="24"/>
        <v>87.5</v>
      </c>
      <c r="S93" s="79">
        <f t="shared" si="25"/>
        <v>116</v>
      </c>
      <c r="T93" s="34">
        <f t="shared" si="26"/>
        <v>0.75431034482758619</v>
      </c>
      <c r="U93" s="1">
        <v>31</v>
      </c>
    </row>
    <row r="94" spans="1:21" ht="24" customHeight="1">
      <c r="A94" s="81">
        <v>44</v>
      </c>
      <c r="B94" s="31" t="s">
        <v>90</v>
      </c>
      <c r="C94" s="103" t="s">
        <v>210</v>
      </c>
      <c r="D94" s="103" t="s">
        <v>194</v>
      </c>
      <c r="E94" s="178" t="s">
        <v>211</v>
      </c>
      <c r="F94" s="104">
        <v>245625.5</v>
      </c>
      <c r="G94" s="104">
        <v>245741.9</v>
      </c>
      <c r="H94" s="104">
        <f t="shared" si="19"/>
        <v>116.39999999999418</v>
      </c>
      <c r="I94" s="110">
        <v>17731</v>
      </c>
      <c r="J94" s="111">
        <v>176</v>
      </c>
      <c r="K94" s="10">
        <f>IFERROR(H94/J94,0)</f>
        <v>0.66136363636360329</v>
      </c>
      <c r="L94" s="104">
        <v>245741.9</v>
      </c>
      <c r="M94" s="106">
        <f t="shared" si="21"/>
        <v>0</v>
      </c>
      <c r="N94" s="110">
        <v>17743</v>
      </c>
      <c r="O94" s="107">
        <f t="shared" si="22"/>
        <v>12</v>
      </c>
      <c r="P94" s="111">
        <v>0</v>
      </c>
      <c r="Q94" s="28">
        <f t="shared" si="23"/>
        <v>0</v>
      </c>
      <c r="R94" s="84">
        <f t="shared" si="24"/>
        <v>116.39999999999418</v>
      </c>
      <c r="S94" s="79">
        <f t="shared" si="25"/>
        <v>176</v>
      </c>
      <c r="T94" s="34">
        <f t="shared" si="26"/>
        <v>0.66136363636360329</v>
      </c>
      <c r="U94" s="1">
        <v>23</v>
      </c>
    </row>
    <row r="95" spans="1:21" ht="24" customHeight="1">
      <c r="A95" s="81">
        <v>45</v>
      </c>
      <c r="B95" s="31" t="s">
        <v>91</v>
      </c>
      <c r="C95" s="103" t="s">
        <v>210</v>
      </c>
      <c r="D95" s="103" t="s">
        <v>194</v>
      </c>
      <c r="E95" s="178" t="s">
        <v>211</v>
      </c>
      <c r="F95" s="104">
        <v>254153.9</v>
      </c>
      <c r="G95" s="104">
        <v>254153.9</v>
      </c>
      <c r="H95" s="104">
        <f t="shared" si="19"/>
        <v>0</v>
      </c>
      <c r="I95" s="110">
        <v>17731</v>
      </c>
      <c r="J95" s="111">
        <v>0</v>
      </c>
      <c r="K95" s="10">
        <f t="shared" si="20"/>
        <v>0</v>
      </c>
      <c r="L95" s="104">
        <v>254153.9</v>
      </c>
      <c r="M95" s="106">
        <f t="shared" si="21"/>
        <v>0</v>
      </c>
      <c r="N95" s="110">
        <v>17731</v>
      </c>
      <c r="O95" s="107">
        <f t="shared" si="22"/>
        <v>0</v>
      </c>
      <c r="P95" s="111">
        <v>0</v>
      </c>
      <c r="Q95" s="28">
        <f t="shared" si="23"/>
        <v>0</v>
      </c>
      <c r="R95" s="84">
        <f t="shared" si="24"/>
        <v>0</v>
      </c>
      <c r="S95" s="79">
        <f t="shared" si="25"/>
        <v>0</v>
      </c>
      <c r="T95" s="34">
        <f t="shared" si="26"/>
        <v>0</v>
      </c>
      <c r="U95" s="1">
        <v>0</v>
      </c>
    </row>
    <row r="96" spans="1:21" ht="24" customHeight="1">
      <c r="A96" s="81">
        <v>46</v>
      </c>
      <c r="B96" s="31" t="s">
        <v>92</v>
      </c>
      <c r="C96" s="103" t="s">
        <v>210</v>
      </c>
      <c r="D96" s="103" t="s">
        <v>194</v>
      </c>
      <c r="E96" s="178" t="s">
        <v>211</v>
      </c>
      <c r="F96" s="35">
        <v>240114.9</v>
      </c>
      <c r="G96" s="35">
        <v>240187.1</v>
      </c>
      <c r="H96" s="104">
        <f>G96-F96</f>
        <v>72.200000000011642</v>
      </c>
      <c r="I96" s="110">
        <v>17404</v>
      </c>
      <c r="J96" s="111">
        <v>120</v>
      </c>
      <c r="K96" s="10">
        <f t="shared" si="20"/>
        <v>0.60166666666676372</v>
      </c>
      <c r="L96" s="35">
        <v>240227.8</v>
      </c>
      <c r="M96" s="106">
        <f>L96-G96</f>
        <v>40.699999999982538</v>
      </c>
      <c r="N96" s="110">
        <v>17420</v>
      </c>
      <c r="O96" s="107">
        <f t="shared" si="22"/>
        <v>16</v>
      </c>
      <c r="P96" s="111">
        <v>69</v>
      </c>
      <c r="Q96" s="28">
        <f t="shared" si="23"/>
        <v>0.58985507246351498</v>
      </c>
      <c r="R96" s="84">
        <f t="shared" si="24"/>
        <v>112.89999999999418</v>
      </c>
      <c r="S96" s="79">
        <f>J96+P96</f>
        <v>189</v>
      </c>
      <c r="T96" s="34">
        <f t="shared" si="26"/>
        <v>0.59735449735446655</v>
      </c>
      <c r="U96" s="1">
        <v>28</v>
      </c>
    </row>
    <row r="97" spans="1:22" ht="24" customHeight="1">
      <c r="A97" s="81">
        <v>47</v>
      </c>
      <c r="B97" s="31" t="s">
        <v>93</v>
      </c>
      <c r="C97" s="103" t="s">
        <v>210</v>
      </c>
      <c r="D97" s="103" t="s">
        <v>194</v>
      </c>
      <c r="E97" s="178" t="s">
        <v>211</v>
      </c>
      <c r="F97" s="104">
        <v>248498.2</v>
      </c>
      <c r="G97" s="104">
        <v>248638.1</v>
      </c>
      <c r="H97" s="104">
        <f>G97-F97</f>
        <v>139.89999999999418</v>
      </c>
      <c r="I97" s="110">
        <v>16853</v>
      </c>
      <c r="J97" s="111">
        <v>193</v>
      </c>
      <c r="K97" s="10">
        <f t="shared" si="20"/>
        <v>0.72487046632121332</v>
      </c>
      <c r="L97" s="104">
        <v>248679.3</v>
      </c>
      <c r="M97" s="106">
        <f>L97-G97</f>
        <v>41.199999999982538</v>
      </c>
      <c r="N97" s="110">
        <v>16871</v>
      </c>
      <c r="O97" s="107">
        <f t="shared" si="22"/>
        <v>18</v>
      </c>
      <c r="P97" s="111">
        <v>70</v>
      </c>
      <c r="Q97" s="28">
        <f t="shared" si="23"/>
        <v>0.58857142857117906</v>
      </c>
      <c r="R97" s="84">
        <f t="shared" si="24"/>
        <v>181.09999999997672</v>
      </c>
      <c r="S97" s="79">
        <f t="shared" si="25"/>
        <v>263</v>
      </c>
      <c r="T97" s="34">
        <f t="shared" si="26"/>
        <v>0.68859315589344761</v>
      </c>
      <c r="U97" s="1">
        <v>34</v>
      </c>
      <c r="V97" t="s">
        <v>94</v>
      </c>
    </row>
    <row r="98" spans="1:22" ht="24" customHeight="1">
      <c r="A98" s="81">
        <v>48</v>
      </c>
      <c r="B98" s="31" t="s">
        <v>95</v>
      </c>
      <c r="C98" s="103" t="s">
        <v>210</v>
      </c>
      <c r="D98" s="103" t="s">
        <v>194</v>
      </c>
      <c r="E98" s="178" t="s">
        <v>211</v>
      </c>
      <c r="F98" s="104">
        <v>245448.3</v>
      </c>
      <c r="G98" s="104">
        <v>245517.8</v>
      </c>
      <c r="H98" s="104">
        <f t="shared" si="19"/>
        <v>69.5</v>
      </c>
      <c r="I98" s="110">
        <v>18292</v>
      </c>
      <c r="J98" s="111">
        <v>114</v>
      </c>
      <c r="K98" s="10">
        <f t="shared" si="20"/>
        <v>0.60964912280701755</v>
      </c>
      <c r="L98" s="104">
        <v>245540.2</v>
      </c>
      <c r="M98" s="106">
        <f t="shared" si="21"/>
        <v>22.400000000023283</v>
      </c>
      <c r="N98" s="110">
        <v>18303</v>
      </c>
      <c r="O98" s="107">
        <f t="shared" si="22"/>
        <v>11</v>
      </c>
      <c r="P98" s="111">
        <v>60</v>
      </c>
      <c r="Q98" s="28">
        <f t="shared" si="23"/>
        <v>0.37333333333372137</v>
      </c>
      <c r="R98" s="84">
        <f t="shared" si="24"/>
        <v>91.900000000023283</v>
      </c>
      <c r="S98" s="79">
        <f t="shared" si="25"/>
        <v>174</v>
      </c>
      <c r="T98" s="34">
        <f t="shared" si="26"/>
        <v>0.5281609195403637</v>
      </c>
      <c r="U98" s="1">
        <v>21</v>
      </c>
    </row>
    <row r="99" spans="1:22" ht="24" customHeight="1">
      <c r="A99" s="81">
        <v>49</v>
      </c>
      <c r="B99" s="31" t="s">
        <v>96</v>
      </c>
      <c r="C99" s="103" t="s">
        <v>210</v>
      </c>
      <c r="D99" s="103" t="s">
        <v>194</v>
      </c>
      <c r="E99" s="178" t="s">
        <v>211</v>
      </c>
      <c r="F99" s="35">
        <v>249980.9</v>
      </c>
      <c r="G99" s="35">
        <v>250125</v>
      </c>
      <c r="H99" s="104">
        <f t="shared" si="19"/>
        <v>144.10000000000582</v>
      </c>
      <c r="I99" s="110">
        <v>17975</v>
      </c>
      <c r="J99" s="111">
        <v>213</v>
      </c>
      <c r="K99" s="10">
        <f>IFERROR(H99/J99,0)</f>
        <v>0.6765258215962715</v>
      </c>
      <c r="L99" s="35">
        <v>250125</v>
      </c>
      <c r="M99" s="106">
        <f t="shared" si="21"/>
        <v>0</v>
      </c>
      <c r="N99" s="110">
        <v>17986</v>
      </c>
      <c r="O99" s="107">
        <f t="shared" si="22"/>
        <v>11</v>
      </c>
      <c r="P99" s="111">
        <v>0</v>
      </c>
      <c r="Q99" s="28">
        <f t="shared" si="23"/>
        <v>0</v>
      </c>
      <c r="R99" s="84">
        <f t="shared" si="24"/>
        <v>144.10000000000582</v>
      </c>
      <c r="S99" s="79">
        <f t="shared" si="25"/>
        <v>213</v>
      </c>
      <c r="T99" s="34">
        <f t="shared" si="26"/>
        <v>0.6765258215962715</v>
      </c>
      <c r="U99" s="1">
        <v>25</v>
      </c>
    </row>
    <row r="100" spans="1:22" ht="24" customHeight="1">
      <c r="A100" s="81">
        <v>50</v>
      </c>
      <c r="B100" s="31" t="s">
        <v>97</v>
      </c>
      <c r="C100" s="103" t="s">
        <v>210</v>
      </c>
      <c r="D100" s="103" t="s">
        <v>194</v>
      </c>
      <c r="E100" s="178" t="s">
        <v>211</v>
      </c>
      <c r="F100" s="104">
        <v>238762</v>
      </c>
      <c r="G100" s="104">
        <v>238868.7</v>
      </c>
      <c r="H100" s="104">
        <f t="shared" si="19"/>
        <v>106.70000000001164</v>
      </c>
      <c r="I100" s="110">
        <v>16491</v>
      </c>
      <c r="J100" s="111">
        <v>157</v>
      </c>
      <c r="K100" s="10">
        <f t="shared" si="20"/>
        <v>0.67961783439497858</v>
      </c>
      <c r="L100" s="104">
        <v>238868.7</v>
      </c>
      <c r="M100" s="106">
        <f t="shared" si="21"/>
        <v>0</v>
      </c>
      <c r="N100" s="110">
        <v>16501</v>
      </c>
      <c r="O100" s="107">
        <f t="shared" si="22"/>
        <v>10</v>
      </c>
      <c r="P100" s="111">
        <v>0</v>
      </c>
      <c r="Q100" s="28">
        <f t="shared" si="23"/>
        <v>0</v>
      </c>
      <c r="R100" s="84">
        <f t="shared" si="24"/>
        <v>106.70000000001164</v>
      </c>
      <c r="S100" s="79">
        <f t="shared" si="25"/>
        <v>157</v>
      </c>
      <c r="T100" s="34">
        <f t="shared" si="26"/>
        <v>0.67961783439497858</v>
      </c>
      <c r="U100" s="1">
        <v>32</v>
      </c>
    </row>
    <row r="101" spans="1:22" ht="24" customHeight="1">
      <c r="A101" s="81">
        <v>51</v>
      </c>
      <c r="B101" s="121" t="s">
        <v>166</v>
      </c>
      <c r="C101" s="103" t="s">
        <v>210</v>
      </c>
      <c r="D101" s="103" t="s">
        <v>194</v>
      </c>
      <c r="E101" s="178" t="s">
        <v>222</v>
      </c>
      <c r="F101" s="104">
        <v>206450</v>
      </c>
      <c r="G101" s="104">
        <v>206592</v>
      </c>
      <c r="H101" s="118">
        <f t="shared" si="19"/>
        <v>142</v>
      </c>
      <c r="I101" s="110">
        <v>17580</v>
      </c>
      <c r="J101" s="111">
        <v>179</v>
      </c>
      <c r="K101" s="55">
        <f t="shared" si="20"/>
        <v>0.79329608938547491</v>
      </c>
      <c r="L101" s="104">
        <v>206632</v>
      </c>
      <c r="M101" s="119">
        <f t="shared" si="21"/>
        <v>40</v>
      </c>
      <c r="N101" s="110">
        <v>17598</v>
      </c>
      <c r="O101" s="120">
        <f t="shared" si="22"/>
        <v>18</v>
      </c>
      <c r="P101" s="111">
        <v>68</v>
      </c>
      <c r="Q101" s="28">
        <f t="shared" si="23"/>
        <v>0.58823529411764708</v>
      </c>
      <c r="R101" s="58">
        <f t="shared" si="24"/>
        <v>182</v>
      </c>
      <c r="S101" s="79">
        <f t="shared" si="25"/>
        <v>247</v>
      </c>
      <c r="T101" s="34">
        <f t="shared" si="26"/>
        <v>0.73684210526315785</v>
      </c>
      <c r="U101" s="1">
        <v>27</v>
      </c>
    </row>
    <row r="102" spans="1:22" ht="24" customHeight="1">
      <c r="A102" s="81">
        <v>52</v>
      </c>
      <c r="B102" s="121" t="s">
        <v>167</v>
      </c>
      <c r="C102" s="103" t="s">
        <v>210</v>
      </c>
      <c r="D102" s="103" t="s">
        <v>194</v>
      </c>
      <c r="E102" s="178" t="s">
        <v>222</v>
      </c>
      <c r="F102" s="104">
        <v>186406</v>
      </c>
      <c r="G102" s="104">
        <v>186406</v>
      </c>
      <c r="H102" s="118">
        <f t="shared" si="19"/>
        <v>0</v>
      </c>
      <c r="I102" s="110">
        <v>16317</v>
      </c>
      <c r="J102" s="111">
        <v>0</v>
      </c>
      <c r="K102" s="55">
        <f t="shared" si="20"/>
        <v>0</v>
      </c>
      <c r="L102" s="104">
        <v>186406</v>
      </c>
      <c r="M102" s="119">
        <f t="shared" si="21"/>
        <v>0</v>
      </c>
      <c r="N102" s="110">
        <v>16317</v>
      </c>
      <c r="O102" s="120">
        <f t="shared" si="22"/>
        <v>0</v>
      </c>
      <c r="P102" s="111">
        <v>0</v>
      </c>
      <c r="Q102" s="28">
        <f t="shared" si="23"/>
        <v>0</v>
      </c>
      <c r="R102" s="58">
        <f t="shared" si="24"/>
        <v>0</v>
      </c>
      <c r="S102" s="79">
        <f t="shared" si="25"/>
        <v>0</v>
      </c>
      <c r="T102" s="34">
        <f t="shared" si="26"/>
        <v>0</v>
      </c>
      <c r="U102" s="1">
        <v>0</v>
      </c>
    </row>
    <row r="103" spans="1:22" ht="24" customHeight="1">
      <c r="A103" s="81">
        <v>53</v>
      </c>
      <c r="B103" s="121" t="s">
        <v>168</v>
      </c>
      <c r="C103" s="103" t="s">
        <v>210</v>
      </c>
      <c r="D103" s="103" t="s">
        <v>194</v>
      </c>
      <c r="E103" s="178" t="s">
        <v>222</v>
      </c>
      <c r="F103" s="104">
        <v>193528</v>
      </c>
      <c r="G103" s="104">
        <v>193587</v>
      </c>
      <c r="H103" s="118">
        <f t="shared" si="19"/>
        <v>59</v>
      </c>
      <c r="I103" s="110">
        <v>17261</v>
      </c>
      <c r="J103" s="111">
        <v>77</v>
      </c>
      <c r="K103" s="55">
        <f t="shared" si="20"/>
        <v>0.76623376623376627</v>
      </c>
      <c r="L103" s="104">
        <v>193619</v>
      </c>
      <c r="M103" s="119">
        <f t="shared" si="21"/>
        <v>32</v>
      </c>
      <c r="N103" s="110">
        <v>17273</v>
      </c>
      <c r="O103" s="120">
        <f t="shared" si="22"/>
        <v>12</v>
      </c>
      <c r="P103" s="111">
        <v>57</v>
      </c>
      <c r="Q103" s="28">
        <f t="shared" si="23"/>
        <v>0.56140350877192979</v>
      </c>
      <c r="R103" s="58">
        <f t="shared" si="24"/>
        <v>91</v>
      </c>
      <c r="S103" s="79">
        <f t="shared" si="25"/>
        <v>134</v>
      </c>
      <c r="T103" s="34">
        <f t="shared" si="26"/>
        <v>0.67910447761194026</v>
      </c>
      <c r="U103" s="1">
        <v>33</v>
      </c>
    </row>
    <row r="104" spans="1:22" ht="24" customHeight="1">
      <c r="A104" s="81">
        <v>54</v>
      </c>
      <c r="B104" s="121" t="s">
        <v>169</v>
      </c>
      <c r="C104" s="103" t="s">
        <v>210</v>
      </c>
      <c r="D104" s="103" t="s">
        <v>194</v>
      </c>
      <c r="E104" s="178" t="s">
        <v>222</v>
      </c>
      <c r="F104" s="104">
        <v>197546</v>
      </c>
      <c r="G104" s="104">
        <v>197688</v>
      </c>
      <c r="H104" s="118">
        <f t="shared" si="19"/>
        <v>142</v>
      </c>
      <c r="I104" s="110">
        <v>16746</v>
      </c>
      <c r="J104" s="111">
        <v>193</v>
      </c>
      <c r="K104" s="55">
        <f t="shared" si="20"/>
        <v>0.73575129533678751</v>
      </c>
      <c r="L104" s="104">
        <v>197688</v>
      </c>
      <c r="M104" s="119">
        <f t="shared" si="21"/>
        <v>0</v>
      </c>
      <c r="N104" s="110">
        <v>16758</v>
      </c>
      <c r="O104" s="120">
        <f t="shared" si="22"/>
        <v>12</v>
      </c>
      <c r="P104" s="111">
        <v>0</v>
      </c>
      <c r="Q104" s="28">
        <f t="shared" si="23"/>
        <v>0</v>
      </c>
      <c r="R104" s="58">
        <f t="shared" si="24"/>
        <v>142</v>
      </c>
      <c r="S104" s="79">
        <f t="shared" si="25"/>
        <v>193</v>
      </c>
      <c r="T104" s="34">
        <f t="shared" si="26"/>
        <v>0.73575129533678751</v>
      </c>
      <c r="U104" s="1">
        <v>26</v>
      </c>
    </row>
    <row r="105" spans="1:22" ht="24" customHeight="1">
      <c r="A105" s="81">
        <v>55</v>
      </c>
      <c r="B105" s="121" t="s">
        <v>104</v>
      </c>
      <c r="C105" s="103" t="s">
        <v>210</v>
      </c>
      <c r="D105" s="31" t="s">
        <v>194</v>
      </c>
      <c r="E105" s="31" t="s">
        <v>212</v>
      </c>
      <c r="F105" s="104">
        <v>72707.899999999994</v>
      </c>
      <c r="G105" s="104">
        <v>72832.899999999994</v>
      </c>
      <c r="H105" s="118">
        <f t="shared" si="19"/>
        <v>125</v>
      </c>
      <c r="I105" s="110">
        <v>4915</v>
      </c>
      <c r="J105" s="111">
        <v>172</v>
      </c>
      <c r="K105" s="78">
        <f t="shared" si="20"/>
        <v>0.72674418604651159</v>
      </c>
      <c r="L105" s="104">
        <v>72832.899999999994</v>
      </c>
      <c r="M105" s="112">
        <f t="shared" si="21"/>
        <v>0</v>
      </c>
      <c r="N105" s="110">
        <v>4926</v>
      </c>
      <c r="O105" s="107">
        <f t="shared" si="22"/>
        <v>11</v>
      </c>
      <c r="P105" s="111">
        <v>0</v>
      </c>
      <c r="Q105" s="28">
        <f t="shared" si="23"/>
        <v>0</v>
      </c>
      <c r="R105" s="58">
        <f t="shared" si="24"/>
        <v>125</v>
      </c>
      <c r="S105" s="79">
        <f t="shared" si="25"/>
        <v>172</v>
      </c>
      <c r="T105" s="34">
        <f t="shared" si="26"/>
        <v>0.72674418604651159</v>
      </c>
      <c r="U105" s="1">
        <v>34</v>
      </c>
    </row>
    <row r="106" spans="1:22" ht="24" customHeight="1">
      <c r="A106" s="81">
        <v>56</v>
      </c>
      <c r="B106" s="121" t="s">
        <v>105</v>
      </c>
      <c r="C106" s="103" t="s">
        <v>210</v>
      </c>
      <c r="D106" s="31" t="s">
        <v>194</v>
      </c>
      <c r="E106" s="31" t="s">
        <v>212</v>
      </c>
      <c r="F106" s="35">
        <v>71513</v>
      </c>
      <c r="G106" s="35">
        <v>71668</v>
      </c>
      <c r="H106" s="122">
        <f t="shared" si="19"/>
        <v>155</v>
      </c>
      <c r="I106" s="110">
        <v>4932</v>
      </c>
      <c r="J106" s="111">
        <v>194</v>
      </c>
      <c r="K106" s="78">
        <f t="shared" si="20"/>
        <v>0.7989690721649485</v>
      </c>
      <c r="L106" s="35">
        <v>71668</v>
      </c>
      <c r="M106" s="112">
        <f t="shared" si="21"/>
        <v>0</v>
      </c>
      <c r="N106" s="110">
        <v>4942</v>
      </c>
      <c r="O106" s="107">
        <f t="shared" si="22"/>
        <v>10</v>
      </c>
      <c r="P106" s="111">
        <v>0</v>
      </c>
      <c r="Q106" s="28">
        <f t="shared" si="23"/>
        <v>0</v>
      </c>
      <c r="R106" s="58">
        <f t="shared" si="24"/>
        <v>155</v>
      </c>
      <c r="S106" s="79">
        <f t="shared" si="25"/>
        <v>194</v>
      </c>
      <c r="T106" s="34">
        <f t="shared" si="26"/>
        <v>0.7989690721649485</v>
      </c>
      <c r="U106" s="1">
        <v>33</v>
      </c>
    </row>
    <row r="107" spans="1:22" ht="24" customHeight="1">
      <c r="A107" s="81">
        <v>57</v>
      </c>
      <c r="B107" s="121" t="s">
        <v>106</v>
      </c>
      <c r="C107" s="103" t="s">
        <v>210</v>
      </c>
      <c r="D107" s="31" t="s">
        <v>194</v>
      </c>
      <c r="E107" s="31" t="s">
        <v>212</v>
      </c>
      <c r="F107" s="104">
        <v>69396.899999999994</v>
      </c>
      <c r="G107" s="104">
        <v>69540.2</v>
      </c>
      <c r="H107" s="122">
        <f t="shared" si="19"/>
        <v>143.30000000000291</v>
      </c>
      <c r="I107" s="110">
        <v>4954</v>
      </c>
      <c r="J107" s="111">
        <v>183</v>
      </c>
      <c r="K107" s="78">
        <f t="shared" si="20"/>
        <v>0.78306010928963343</v>
      </c>
      <c r="L107" s="104">
        <v>69542.399999999994</v>
      </c>
      <c r="M107" s="112">
        <f t="shared" si="21"/>
        <v>2.1999999999970896</v>
      </c>
      <c r="N107" s="110">
        <v>4965</v>
      </c>
      <c r="O107" s="107">
        <f t="shared" si="22"/>
        <v>11</v>
      </c>
      <c r="P107" s="111">
        <v>20</v>
      </c>
      <c r="Q107" s="28">
        <f t="shared" si="23"/>
        <v>0.10999999999985448</v>
      </c>
      <c r="R107" s="58">
        <f t="shared" si="24"/>
        <v>145.5</v>
      </c>
      <c r="S107" s="79">
        <f t="shared" si="25"/>
        <v>203</v>
      </c>
      <c r="T107" s="34">
        <f t="shared" si="26"/>
        <v>0.71674876847290636</v>
      </c>
      <c r="U107" s="1">
        <v>30</v>
      </c>
    </row>
    <row r="108" spans="1:22" ht="24" customHeight="1">
      <c r="A108" s="81">
        <v>58</v>
      </c>
      <c r="B108" s="121" t="s">
        <v>107</v>
      </c>
      <c r="C108" s="103" t="s">
        <v>210</v>
      </c>
      <c r="D108" s="31" t="s">
        <v>194</v>
      </c>
      <c r="E108" s="31" t="s">
        <v>212</v>
      </c>
      <c r="F108" s="104">
        <v>71640</v>
      </c>
      <c r="G108" s="104">
        <v>71790.3</v>
      </c>
      <c r="H108" s="122">
        <f t="shared" si="19"/>
        <v>150.30000000000291</v>
      </c>
      <c r="I108" s="110">
        <v>4955</v>
      </c>
      <c r="J108" s="111">
        <v>184</v>
      </c>
      <c r="K108" s="78">
        <f t="shared" si="20"/>
        <v>0.81684782608697237</v>
      </c>
      <c r="L108" s="104">
        <v>71808.5</v>
      </c>
      <c r="M108" s="112">
        <f t="shared" si="21"/>
        <v>18.19999999999709</v>
      </c>
      <c r="N108" s="110">
        <v>4966</v>
      </c>
      <c r="O108" s="107">
        <f t="shared" si="22"/>
        <v>11</v>
      </c>
      <c r="P108" s="111">
        <v>34</v>
      </c>
      <c r="Q108" s="28">
        <f t="shared" si="23"/>
        <v>0.53529411764697321</v>
      </c>
      <c r="R108" s="58">
        <f t="shared" si="24"/>
        <v>168.5</v>
      </c>
      <c r="S108" s="79">
        <f t="shared" si="25"/>
        <v>218</v>
      </c>
      <c r="T108" s="34">
        <f t="shared" si="26"/>
        <v>0.77293577981651373</v>
      </c>
      <c r="U108" s="1">
        <v>30</v>
      </c>
    </row>
    <row r="109" spans="1:22" ht="24" customHeight="1">
      <c r="A109" s="81">
        <v>59</v>
      </c>
      <c r="B109" s="121" t="s">
        <v>108</v>
      </c>
      <c r="C109" s="103" t="s">
        <v>210</v>
      </c>
      <c r="D109" s="31" t="s">
        <v>194</v>
      </c>
      <c r="E109" s="31" t="s">
        <v>212</v>
      </c>
      <c r="F109" s="104">
        <v>70767.899999999994</v>
      </c>
      <c r="G109" s="104">
        <v>70892.5</v>
      </c>
      <c r="H109" s="122">
        <f t="shared" si="19"/>
        <v>124.60000000000582</v>
      </c>
      <c r="I109" s="110">
        <v>4923</v>
      </c>
      <c r="J109" s="111">
        <v>152</v>
      </c>
      <c r="K109" s="78">
        <f t="shared" si="20"/>
        <v>0.8197368421053014</v>
      </c>
      <c r="L109" s="104">
        <v>70892.5</v>
      </c>
      <c r="M109" s="112">
        <f t="shared" si="21"/>
        <v>0</v>
      </c>
      <c r="N109" s="110">
        <v>4932</v>
      </c>
      <c r="O109" s="107">
        <f t="shared" si="22"/>
        <v>9</v>
      </c>
      <c r="P109" s="111">
        <v>0</v>
      </c>
      <c r="Q109" s="28">
        <f t="shared" si="23"/>
        <v>0</v>
      </c>
      <c r="R109" s="58">
        <f t="shared" si="24"/>
        <v>124.60000000000582</v>
      </c>
      <c r="S109" s="79">
        <f t="shared" si="25"/>
        <v>152</v>
      </c>
      <c r="T109" s="34">
        <f t="shared" si="26"/>
        <v>0.8197368421053014</v>
      </c>
      <c r="U109" s="1">
        <v>30</v>
      </c>
    </row>
    <row r="110" spans="1:22" ht="24" customHeight="1">
      <c r="A110" s="81">
        <v>60</v>
      </c>
      <c r="B110" s="121" t="s">
        <v>109</v>
      </c>
      <c r="C110" s="103" t="s">
        <v>210</v>
      </c>
      <c r="D110" s="31" t="s">
        <v>194</v>
      </c>
      <c r="E110" s="31" t="s">
        <v>212</v>
      </c>
      <c r="F110" s="104">
        <v>72680.5</v>
      </c>
      <c r="G110" s="104">
        <v>72825.399999999994</v>
      </c>
      <c r="H110" s="118">
        <f t="shared" si="19"/>
        <v>144.89999999999418</v>
      </c>
      <c r="I110" s="110">
        <v>5014</v>
      </c>
      <c r="J110" s="111">
        <v>169</v>
      </c>
      <c r="K110" s="55">
        <f t="shared" si="20"/>
        <v>0.85739644970410755</v>
      </c>
      <c r="L110" s="104">
        <v>72825.399999999994</v>
      </c>
      <c r="M110" s="119">
        <f t="shared" si="21"/>
        <v>0</v>
      </c>
      <c r="N110" s="110">
        <v>5025</v>
      </c>
      <c r="O110" s="120">
        <f t="shared" si="22"/>
        <v>11</v>
      </c>
      <c r="P110" s="111">
        <v>0</v>
      </c>
      <c r="Q110" s="28">
        <f t="shared" si="23"/>
        <v>0</v>
      </c>
      <c r="R110" s="58">
        <f t="shared" si="24"/>
        <v>144.89999999999418</v>
      </c>
      <c r="S110" s="79">
        <f t="shared" si="25"/>
        <v>169</v>
      </c>
      <c r="T110" s="34">
        <f t="shared" si="26"/>
        <v>0.85739644970410755</v>
      </c>
      <c r="U110" s="1">
        <v>32</v>
      </c>
    </row>
    <row r="111" spans="1:22" ht="24" customHeight="1">
      <c r="A111" s="81">
        <v>61</v>
      </c>
      <c r="B111" s="121" t="s">
        <v>176</v>
      </c>
      <c r="C111" s="103" t="s">
        <v>210</v>
      </c>
      <c r="D111" s="31" t="s">
        <v>194</v>
      </c>
      <c r="E111" s="31" t="s">
        <v>212</v>
      </c>
      <c r="F111" s="104">
        <v>54180.1</v>
      </c>
      <c r="G111" s="104">
        <v>54180.1</v>
      </c>
      <c r="H111" s="118">
        <f t="shared" si="19"/>
        <v>0</v>
      </c>
      <c r="I111" s="110">
        <v>4368</v>
      </c>
      <c r="J111" s="111">
        <v>0</v>
      </c>
      <c r="K111" s="55">
        <f t="shared" si="20"/>
        <v>0</v>
      </c>
      <c r="L111" s="104">
        <v>54280.5</v>
      </c>
      <c r="M111" s="119">
        <f t="shared" si="21"/>
        <v>100.40000000000146</v>
      </c>
      <c r="N111" s="110">
        <v>4375</v>
      </c>
      <c r="O111" s="120">
        <f t="shared" si="22"/>
        <v>7</v>
      </c>
      <c r="P111" s="111">
        <v>126</v>
      </c>
      <c r="Q111" s="28">
        <f t="shared" si="23"/>
        <v>0.79682539682540843</v>
      </c>
      <c r="R111" s="58">
        <f t="shared" si="24"/>
        <v>100.40000000000146</v>
      </c>
      <c r="S111" s="79">
        <f t="shared" si="25"/>
        <v>126</v>
      </c>
      <c r="T111" s="34">
        <f t="shared" si="26"/>
        <v>0.79682539682540843</v>
      </c>
      <c r="U111" s="1">
        <v>20</v>
      </c>
    </row>
    <row r="112" spans="1:22" ht="24" customHeight="1">
      <c r="A112" s="81">
        <v>62</v>
      </c>
      <c r="B112" s="121" t="s">
        <v>177</v>
      </c>
      <c r="C112" s="103" t="s">
        <v>210</v>
      </c>
      <c r="D112" s="31" t="s">
        <v>194</v>
      </c>
      <c r="E112" s="31" t="s">
        <v>212</v>
      </c>
      <c r="F112" s="104">
        <v>53404</v>
      </c>
      <c r="G112" s="104">
        <v>53557.599999999999</v>
      </c>
      <c r="H112" s="118">
        <f t="shared" si="19"/>
        <v>153.59999999999854</v>
      </c>
      <c r="I112" s="110">
        <v>4414</v>
      </c>
      <c r="J112" s="111">
        <v>192</v>
      </c>
      <c r="K112" s="55">
        <f t="shared" si="20"/>
        <v>0.79999999999999238</v>
      </c>
      <c r="L112" s="104">
        <v>53577</v>
      </c>
      <c r="M112" s="119">
        <f t="shared" si="21"/>
        <v>19.400000000001455</v>
      </c>
      <c r="N112" s="110">
        <v>4427</v>
      </c>
      <c r="O112" s="120">
        <f t="shared" si="22"/>
        <v>13</v>
      </c>
      <c r="P112" s="111">
        <v>41</v>
      </c>
      <c r="Q112" s="28">
        <f t="shared" si="23"/>
        <v>0.47317073170735258</v>
      </c>
      <c r="R112" s="58">
        <f t="shared" si="24"/>
        <v>173</v>
      </c>
      <c r="S112" s="79">
        <f t="shared" si="25"/>
        <v>233</v>
      </c>
      <c r="T112" s="34">
        <f t="shared" si="26"/>
        <v>0.74248927038626611</v>
      </c>
      <c r="U112" s="1">
        <v>33</v>
      </c>
    </row>
    <row r="113" spans="1:21" ht="24" customHeight="1">
      <c r="A113" s="81">
        <v>63</v>
      </c>
      <c r="B113" s="121" t="s">
        <v>178</v>
      </c>
      <c r="C113" s="103" t="s">
        <v>210</v>
      </c>
      <c r="D113" s="31" t="s">
        <v>194</v>
      </c>
      <c r="E113" s="31" t="s">
        <v>212</v>
      </c>
      <c r="F113" s="104">
        <v>51964.5</v>
      </c>
      <c r="G113" s="104">
        <v>52110.5</v>
      </c>
      <c r="H113" s="118">
        <f t="shared" si="19"/>
        <v>146</v>
      </c>
      <c r="I113" s="110">
        <v>4156</v>
      </c>
      <c r="J113" s="111">
        <v>210</v>
      </c>
      <c r="K113" s="55">
        <f t="shared" si="20"/>
        <v>0.69523809523809521</v>
      </c>
      <c r="L113" s="104">
        <v>52110.5</v>
      </c>
      <c r="M113" s="119">
        <f t="shared" si="21"/>
        <v>0</v>
      </c>
      <c r="N113" s="110">
        <v>4167</v>
      </c>
      <c r="O113" s="120">
        <f t="shared" si="22"/>
        <v>11</v>
      </c>
      <c r="P113" s="111">
        <v>0</v>
      </c>
      <c r="Q113" s="28">
        <f t="shared" si="23"/>
        <v>0</v>
      </c>
      <c r="R113" s="58">
        <f t="shared" si="24"/>
        <v>146</v>
      </c>
      <c r="S113" s="79">
        <f t="shared" si="25"/>
        <v>210</v>
      </c>
      <c r="T113" s="34">
        <f t="shared" si="26"/>
        <v>0.69523809523809521</v>
      </c>
      <c r="U113" s="1">
        <v>32</v>
      </c>
    </row>
    <row r="114" spans="1:21" ht="24" customHeight="1">
      <c r="A114" s="81">
        <v>64</v>
      </c>
      <c r="B114" s="121" t="s">
        <v>179</v>
      </c>
      <c r="C114" s="103" t="s">
        <v>210</v>
      </c>
      <c r="D114" s="31" t="s">
        <v>194</v>
      </c>
      <c r="E114" s="31" t="s">
        <v>212</v>
      </c>
      <c r="F114" s="104">
        <v>52850.400000000001</v>
      </c>
      <c r="G114" s="104">
        <v>52929.8</v>
      </c>
      <c r="H114" s="118">
        <f t="shared" si="19"/>
        <v>79.400000000001455</v>
      </c>
      <c r="I114" s="110">
        <v>4324</v>
      </c>
      <c r="J114" s="111">
        <v>120</v>
      </c>
      <c r="K114" s="55">
        <f t="shared" si="20"/>
        <v>0.66166666666667884</v>
      </c>
      <c r="L114" s="104">
        <v>52929.8</v>
      </c>
      <c r="M114" s="119">
        <f t="shared" si="21"/>
        <v>0</v>
      </c>
      <c r="N114" s="110">
        <v>4334</v>
      </c>
      <c r="O114" s="120">
        <f t="shared" si="22"/>
        <v>10</v>
      </c>
      <c r="P114" s="111">
        <v>0</v>
      </c>
      <c r="Q114" s="28">
        <f t="shared" si="23"/>
        <v>0</v>
      </c>
      <c r="R114" s="58">
        <f t="shared" si="24"/>
        <v>79.400000000001455</v>
      </c>
      <c r="S114" s="79">
        <f t="shared" si="25"/>
        <v>120</v>
      </c>
      <c r="T114" s="34">
        <f t="shared" si="26"/>
        <v>0.66166666666667884</v>
      </c>
      <c r="U114" s="1">
        <v>27</v>
      </c>
    </row>
    <row r="115" spans="1:21" ht="24" customHeight="1">
      <c r="A115" s="81">
        <v>65</v>
      </c>
      <c r="B115" s="121" t="s">
        <v>180</v>
      </c>
      <c r="C115" s="103" t="s">
        <v>210</v>
      </c>
      <c r="D115" s="31" t="s">
        <v>194</v>
      </c>
      <c r="E115" s="31" t="s">
        <v>212</v>
      </c>
      <c r="F115" s="104">
        <v>53129.4</v>
      </c>
      <c r="G115" s="104">
        <v>53283.6</v>
      </c>
      <c r="H115" s="118">
        <f t="shared" si="19"/>
        <v>154.19999999999709</v>
      </c>
      <c r="I115" s="110">
        <v>4264</v>
      </c>
      <c r="J115" s="111">
        <v>204</v>
      </c>
      <c r="K115" s="55">
        <f t="shared" si="20"/>
        <v>0.75588235294116224</v>
      </c>
      <c r="L115" s="104">
        <v>53301.3</v>
      </c>
      <c r="M115" s="119">
        <f t="shared" si="21"/>
        <v>17.700000000004366</v>
      </c>
      <c r="N115" s="110">
        <v>4276</v>
      </c>
      <c r="O115" s="120">
        <f t="shared" si="22"/>
        <v>12</v>
      </c>
      <c r="P115" s="111">
        <v>30</v>
      </c>
      <c r="Q115" s="28">
        <f t="shared" si="23"/>
        <v>0.59000000000014552</v>
      </c>
      <c r="R115" s="58">
        <f t="shared" si="24"/>
        <v>171.90000000000146</v>
      </c>
      <c r="S115" s="79">
        <f t="shared" si="25"/>
        <v>234</v>
      </c>
      <c r="T115" s="34">
        <f t="shared" si="26"/>
        <v>0.73461538461539089</v>
      </c>
      <c r="U115" s="1">
        <v>34</v>
      </c>
    </row>
    <row r="116" spans="1:21" ht="24" customHeight="1">
      <c r="A116" s="81">
        <v>66</v>
      </c>
      <c r="B116" s="121" t="s">
        <v>110</v>
      </c>
      <c r="C116" s="103" t="s">
        <v>210</v>
      </c>
      <c r="D116" s="31" t="s">
        <v>194</v>
      </c>
      <c r="E116" s="31" t="s">
        <v>212</v>
      </c>
      <c r="F116" s="104">
        <v>36419</v>
      </c>
      <c r="G116" s="104">
        <v>36596.199999999997</v>
      </c>
      <c r="H116" s="118">
        <f t="shared" si="19"/>
        <v>177.19999999999709</v>
      </c>
      <c r="I116" s="110">
        <v>2924</v>
      </c>
      <c r="J116" s="111">
        <v>248</v>
      </c>
      <c r="K116" s="55">
        <f t="shared" si="20"/>
        <v>0.71451612903224637</v>
      </c>
      <c r="L116" s="104">
        <v>36596.199999999997</v>
      </c>
      <c r="M116" s="119">
        <f t="shared" si="21"/>
        <v>0</v>
      </c>
      <c r="N116" s="110">
        <v>2936</v>
      </c>
      <c r="O116" s="120">
        <f t="shared" si="22"/>
        <v>12</v>
      </c>
      <c r="P116" s="111">
        <v>0</v>
      </c>
      <c r="Q116" s="28">
        <f t="shared" si="23"/>
        <v>0</v>
      </c>
      <c r="R116" s="58">
        <f t="shared" si="24"/>
        <v>177.19999999999709</v>
      </c>
      <c r="S116" s="79">
        <f t="shared" si="25"/>
        <v>248</v>
      </c>
      <c r="T116" s="34">
        <f t="shared" si="26"/>
        <v>0.71451612903224637</v>
      </c>
      <c r="U116" s="1">
        <v>32</v>
      </c>
    </row>
    <row r="117" spans="1:21" ht="22.2" customHeight="1">
      <c r="A117" s="123" t="s">
        <v>28</v>
      </c>
      <c r="B117" s="123"/>
      <c r="C117" s="123"/>
      <c r="D117" s="123"/>
      <c r="E117" s="123"/>
      <c r="F117" s="40"/>
      <c r="G117" s="123"/>
      <c r="H117" s="124">
        <f>SUM(H51:H116)</f>
        <v>5416.6999999999825</v>
      </c>
      <c r="I117" s="125"/>
      <c r="J117" s="126">
        <f>SUM(J51:J116)</f>
        <v>7877.74</v>
      </c>
      <c r="K117" s="39"/>
      <c r="L117" s="40"/>
      <c r="M117" s="40">
        <f>SUM(M51:M116)</f>
        <v>1310.3999999998268</v>
      </c>
      <c r="N117" s="127"/>
      <c r="O117" s="128">
        <f>SUM(O51:O116)</f>
        <v>691.19000000000233</v>
      </c>
      <c r="P117" s="128">
        <f>SUM(P51:P116)</f>
        <v>2341</v>
      </c>
      <c r="Q117" s="28">
        <f>IFERROR(M117/P117,0)</f>
        <v>0.55976078598881962</v>
      </c>
      <c r="R117" s="129">
        <f>SUM(R51:R116)</f>
        <v>6727.0999999998094</v>
      </c>
      <c r="S117" s="79">
        <f>J117+P117</f>
        <v>10218.74</v>
      </c>
      <c r="T117" s="34">
        <f>IFERROR(R117/S117,0)</f>
        <v>0.65831012434016423</v>
      </c>
      <c r="U117" s="130">
        <f>SUM(U51:U116)</f>
        <v>1669</v>
      </c>
    </row>
    <row r="118" spans="1:21" ht="22.2" customHeight="1" thickBot="1">
      <c r="A118" s="206" t="s">
        <v>111</v>
      </c>
      <c r="B118" s="207"/>
      <c r="C118" s="207"/>
      <c r="D118" s="207"/>
      <c r="E118" s="207"/>
      <c r="F118" s="207"/>
      <c r="G118" s="207"/>
      <c r="H118" s="207"/>
      <c r="I118" s="207"/>
      <c r="J118" s="207"/>
      <c r="K118" s="207"/>
      <c r="L118" s="207"/>
      <c r="M118" s="207"/>
      <c r="N118" s="207"/>
      <c r="O118" s="208"/>
      <c r="P118" s="131"/>
      <c r="Q118" s="132"/>
      <c r="R118" s="133"/>
    </row>
    <row r="119" spans="1:21" ht="22.2" customHeight="1">
      <c r="A119" s="209" t="s">
        <v>3</v>
      </c>
      <c r="B119" s="211" t="s">
        <v>4</v>
      </c>
      <c r="C119" s="174"/>
      <c r="D119" s="174"/>
      <c r="E119" s="174"/>
      <c r="F119" s="213" t="s">
        <v>5</v>
      </c>
      <c r="G119" s="214"/>
      <c r="H119" s="214"/>
      <c r="I119" s="214"/>
      <c r="J119" s="215"/>
      <c r="K119" s="216" t="s">
        <v>6</v>
      </c>
      <c r="L119" s="217"/>
      <c r="M119" s="217"/>
      <c r="N119" s="218"/>
      <c r="O119" s="48"/>
      <c r="P119" s="219" t="s">
        <v>7</v>
      </c>
      <c r="Q119" s="194" t="s">
        <v>8</v>
      </c>
      <c r="R119" s="37"/>
    </row>
    <row r="120" spans="1:21" ht="27.6" customHeight="1" thickBot="1">
      <c r="A120" s="210"/>
      <c r="B120" s="212"/>
      <c r="C120" s="173"/>
      <c r="D120" s="173"/>
      <c r="E120" s="173"/>
      <c r="F120" s="49" t="s">
        <v>11</v>
      </c>
      <c r="G120" s="49" t="s">
        <v>12</v>
      </c>
      <c r="H120" s="49" t="s">
        <v>13</v>
      </c>
      <c r="I120" s="6" t="s">
        <v>14</v>
      </c>
      <c r="J120" s="6" t="s">
        <v>8</v>
      </c>
      <c r="K120" s="49" t="s">
        <v>12</v>
      </c>
      <c r="L120" s="49" t="s">
        <v>13</v>
      </c>
      <c r="M120" s="49" t="s">
        <v>14</v>
      </c>
      <c r="N120" s="7" t="s">
        <v>8</v>
      </c>
      <c r="O120" s="50" t="s">
        <v>15</v>
      </c>
      <c r="P120" s="220"/>
      <c r="Q120" s="195"/>
      <c r="R120" s="37"/>
    </row>
    <row r="121" spans="1:21" ht="22.2" customHeight="1">
      <c r="A121" s="76">
        <v>1</v>
      </c>
      <c r="B121" s="186" t="s">
        <v>112</v>
      </c>
      <c r="C121" s="31"/>
      <c r="D121" s="31"/>
      <c r="E121" s="31"/>
      <c r="F121" s="35">
        <v>122082</v>
      </c>
      <c r="G121" s="35">
        <v>122082</v>
      </c>
      <c r="H121" s="17">
        <f>G121-F121</f>
        <v>0</v>
      </c>
      <c r="I121" s="33">
        <v>0</v>
      </c>
      <c r="J121" s="10">
        <f>IFERROR(I121/H121,0)</f>
        <v>0</v>
      </c>
      <c r="K121" s="35">
        <v>122082</v>
      </c>
      <c r="L121" s="19">
        <f>K121-G121</f>
        <v>0</v>
      </c>
      <c r="M121" s="33">
        <v>0</v>
      </c>
      <c r="N121" s="28">
        <f t="shared" ref="N121:N142" si="27">IFERROR(M121/L121,0)</f>
        <v>0</v>
      </c>
      <c r="O121" s="18">
        <f t="shared" ref="O121:P142" si="28">H121+L121</f>
        <v>0</v>
      </c>
      <c r="P121" s="22">
        <f>I121+M121</f>
        <v>0</v>
      </c>
      <c r="Q121" s="71">
        <f>IFERROR(O121/P121,0)</f>
        <v>0</v>
      </c>
      <c r="R121" s="37"/>
    </row>
    <row r="122" spans="1:21" ht="22.2" customHeight="1">
      <c r="A122" s="76">
        <v>2</v>
      </c>
      <c r="B122" s="186" t="s">
        <v>113</v>
      </c>
      <c r="C122" s="31"/>
      <c r="D122" s="31"/>
      <c r="E122" s="31"/>
      <c r="F122" s="35">
        <v>4298.33</v>
      </c>
      <c r="G122" s="35">
        <v>4298.33</v>
      </c>
      <c r="H122" s="17">
        <f t="shared" ref="H122:H142" si="29">G122-F122</f>
        <v>0</v>
      </c>
      <c r="I122" s="33">
        <v>0</v>
      </c>
      <c r="J122" s="10">
        <f t="shared" ref="J122:J142" si="30">IFERROR(I122/H122,0)</f>
        <v>0</v>
      </c>
      <c r="K122" s="35">
        <v>4298.33</v>
      </c>
      <c r="L122" s="19">
        <f>K122-G122</f>
        <v>0</v>
      </c>
      <c r="M122" s="33">
        <v>0</v>
      </c>
      <c r="N122" s="28">
        <f t="shared" si="27"/>
        <v>0</v>
      </c>
      <c r="O122" s="18">
        <f t="shared" si="28"/>
        <v>0</v>
      </c>
      <c r="P122" s="22">
        <f t="shared" si="28"/>
        <v>0</v>
      </c>
      <c r="Q122" s="71">
        <f t="shared" ref="Q122:Q142" si="31">IFERROR(O122/P122,0)</f>
        <v>0</v>
      </c>
      <c r="R122" s="134"/>
    </row>
    <row r="123" spans="1:21" ht="22.2" customHeight="1">
      <c r="A123" s="76">
        <v>3</v>
      </c>
      <c r="B123" s="186" t="s">
        <v>114</v>
      </c>
      <c r="C123" s="31"/>
      <c r="D123" s="31"/>
      <c r="E123" s="31"/>
      <c r="F123" s="35">
        <v>180.5</v>
      </c>
      <c r="G123" s="35">
        <v>180.5</v>
      </c>
      <c r="H123" s="17">
        <f t="shared" si="29"/>
        <v>0</v>
      </c>
      <c r="I123" s="33">
        <v>0</v>
      </c>
      <c r="J123" s="10">
        <f t="shared" si="30"/>
        <v>0</v>
      </c>
      <c r="K123" s="35">
        <v>180.5</v>
      </c>
      <c r="L123" s="19">
        <f t="shared" ref="L123:L141" si="32">K123-G123</f>
        <v>0</v>
      </c>
      <c r="M123" s="33">
        <v>0</v>
      </c>
      <c r="N123" s="28">
        <f t="shared" si="27"/>
        <v>0</v>
      </c>
      <c r="O123" s="18">
        <f t="shared" si="28"/>
        <v>0</v>
      </c>
      <c r="P123" s="22">
        <f t="shared" si="28"/>
        <v>0</v>
      </c>
      <c r="Q123" s="71">
        <f t="shared" si="31"/>
        <v>0</v>
      </c>
      <c r="R123" s="37"/>
    </row>
    <row r="124" spans="1:21" ht="22.2" customHeight="1">
      <c r="A124" s="76">
        <v>4</v>
      </c>
      <c r="B124" s="186" t="s">
        <v>115</v>
      </c>
      <c r="C124" s="31"/>
      <c r="D124" s="31"/>
      <c r="E124" s="31"/>
      <c r="F124" s="136">
        <v>141545</v>
      </c>
      <c r="G124" s="136">
        <v>141545</v>
      </c>
      <c r="H124" s="17">
        <f t="shared" si="29"/>
        <v>0</v>
      </c>
      <c r="I124" s="33">
        <v>0</v>
      </c>
      <c r="J124" s="10">
        <f t="shared" si="30"/>
        <v>0</v>
      </c>
      <c r="K124" s="136">
        <v>141545</v>
      </c>
      <c r="L124" s="19">
        <f t="shared" si="32"/>
        <v>0</v>
      </c>
      <c r="M124" s="33">
        <v>0</v>
      </c>
      <c r="N124" s="28">
        <f t="shared" si="27"/>
        <v>0</v>
      </c>
      <c r="O124" s="18">
        <f t="shared" si="28"/>
        <v>0</v>
      </c>
      <c r="P124" s="22">
        <f t="shared" si="28"/>
        <v>0</v>
      </c>
      <c r="Q124" s="71">
        <f t="shared" si="31"/>
        <v>0</v>
      </c>
      <c r="R124" s="137"/>
    </row>
    <row r="125" spans="1:21" ht="22.2" customHeight="1">
      <c r="A125" s="76">
        <v>5</v>
      </c>
      <c r="B125" s="186" t="s">
        <v>116</v>
      </c>
      <c r="C125" s="31"/>
      <c r="D125" s="31"/>
      <c r="E125" s="31"/>
      <c r="F125" s="35">
        <v>44558.9</v>
      </c>
      <c r="G125" s="35">
        <v>44558.9</v>
      </c>
      <c r="H125" s="17">
        <f t="shared" si="29"/>
        <v>0</v>
      </c>
      <c r="I125" s="33">
        <v>0</v>
      </c>
      <c r="J125" s="10">
        <f t="shared" si="30"/>
        <v>0</v>
      </c>
      <c r="K125" s="35">
        <v>44558.9</v>
      </c>
      <c r="L125" s="19">
        <f t="shared" si="32"/>
        <v>0</v>
      </c>
      <c r="M125" s="33">
        <v>0</v>
      </c>
      <c r="N125" s="28">
        <f t="shared" si="27"/>
        <v>0</v>
      </c>
      <c r="O125" s="18">
        <f t="shared" si="28"/>
        <v>0</v>
      </c>
      <c r="P125" s="22">
        <f t="shared" si="28"/>
        <v>0</v>
      </c>
      <c r="Q125" s="71">
        <f t="shared" si="31"/>
        <v>0</v>
      </c>
      <c r="R125" s="77"/>
    </row>
    <row r="126" spans="1:21" ht="22.2" customHeight="1">
      <c r="A126" s="76">
        <v>6</v>
      </c>
      <c r="B126" s="186" t="s">
        <v>117</v>
      </c>
      <c r="C126" s="31"/>
      <c r="D126" s="31"/>
      <c r="E126" s="31"/>
      <c r="F126" s="35">
        <v>100820</v>
      </c>
      <c r="G126" s="35">
        <v>100820</v>
      </c>
      <c r="H126" s="17">
        <f t="shared" si="29"/>
        <v>0</v>
      </c>
      <c r="I126" s="33">
        <v>0</v>
      </c>
      <c r="J126" s="10">
        <f t="shared" si="30"/>
        <v>0</v>
      </c>
      <c r="K126" s="35">
        <v>100820</v>
      </c>
      <c r="L126" s="19">
        <f t="shared" si="32"/>
        <v>0</v>
      </c>
      <c r="M126" s="33">
        <v>0</v>
      </c>
      <c r="N126" s="28">
        <f t="shared" si="27"/>
        <v>0</v>
      </c>
      <c r="O126" s="18">
        <f t="shared" si="28"/>
        <v>0</v>
      </c>
      <c r="P126" s="22">
        <f t="shared" si="28"/>
        <v>0</v>
      </c>
      <c r="Q126" s="71">
        <f t="shared" si="31"/>
        <v>0</v>
      </c>
      <c r="R126" s="37"/>
    </row>
    <row r="127" spans="1:21" ht="22.2" customHeight="1">
      <c r="A127" s="76">
        <v>7</v>
      </c>
      <c r="B127" s="186" t="s">
        <v>118</v>
      </c>
      <c r="C127" s="31"/>
      <c r="D127" s="31"/>
      <c r="E127" s="31"/>
      <c r="F127" s="35">
        <v>152282.79999999999</v>
      </c>
      <c r="G127" s="35">
        <v>152282.79999999999</v>
      </c>
      <c r="H127" s="17">
        <f t="shared" si="29"/>
        <v>0</v>
      </c>
      <c r="I127" s="33">
        <v>0</v>
      </c>
      <c r="J127" s="10">
        <f t="shared" si="30"/>
        <v>0</v>
      </c>
      <c r="K127" s="35">
        <v>152282.79999999999</v>
      </c>
      <c r="L127" s="19">
        <f t="shared" si="32"/>
        <v>0</v>
      </c>
      <c r="M127" s="33">
        <v>0</v>
      </c>
      <c r="N127" s="28">
        <f t="shared" si="27"/>
        <v>0</v>
      </c>
      <c r="O127" s="18">
        <f t="shared" si="28"/>
        <v>0</v>
      </c>
      <c r="P127" s="22">
        <f>I127+M127</f>
        <v>0</v>
      </c>
      <c r="Q127" s="71">
        <f t="shared" si="31"/>
        <v>0</v>
      </c>
      <c r="R127" s="37"/>
    </row>
    <row r="128" spans="1:21" ht="22.2" customHeight="1">
      <c r="A128" s="76">
        <v>8</v>
      </c>
      <c r="B128" s="187" t="s">
        <v>119</v>
      </c>
      <c r="C128" s="138"/>
      <c r="D128" s="138"/>
      <c r="E128" s="138"/>
      <c r="F128" s="136">
        <v>40766.5</v>
      </c>
      <c r="G128" s="136">
        <v>40766.5</v>
      </c>
      <c r="H128" s="17">
        <f t="shared" si="29"/>
        <v>0</v>
      </c>
      <c r="I128" s="33">
        <v>0</v>
      </c>
      <c r="J128" s="10">
        <f t="shared" si="30"/>
        <v>0</v>
      </c>
      <c r="K128" s="136">
        <v>40766.5</v>
      </c>
      <c r="L128" s="19">
        <f t="shared" si="32"/>
        <v>0</v>
      </c>
      <c r="M128" s="33">
        <v>0</v>
      </c>
      <c r="N128" s="28">
        <f t="shared" si="27"/>
        <v>0</v>
      </c>
      <c r="O128" s="18">
        <f t="shared" si="28"/>
        <v>0</v>
      </c>
      <c r="P128" s="22">
        <f>I128+M128</f>
        <v>0</v>
      </c>
      <c r="Q128" s="71">
        <f t="shared" si="31"/>
        <v>0</v>
      </c>
      <c r="R128" s="37"/>
    </row>
    <row r="129" spans="1:20" ht="22.2" customHeight="1">
      <c r="A129" s="76">
        <v>9</v>
      </c>
      <c r="B129" s="187" t="s">
        <v>120</v>
      </c>
      <c r="C129" s="138"/>
      <c r="D129" s="138"/>
      <c r="E129" s="138"/>
      <c r="F129" s="35">
        <v>33988</v>
      </c>
      <c r="G129" s="35">
        <v>33988</v>
      </c>
      <c r="H129" s="17">
        <f t="shared" si="29"/>
        <v>0</v>
      </c>
      <c r="I129" s="33">
        <v>0</v>
      </c>
      <c r="J129" s="10">
        <f t="shared" si="30"/>
        <v>0</v>
      </c>
      <c r="K129" s="35">
        <v>33988</v>
      </c>
      <c r="L129" s="19">
        <f t="shared" si="32"/>
        <v>0</v>
      </c>
      <c r="M129" s="33">
        <v>0</v>
      </c>
      <c r="N129" s="28">
        <f t="shared" si="27"/>
        <v>0</v>
      </c>
      <c r="O129" s="18">
        <f t="shared" si="28"/>
        <v>0</v>
      </c>
      <c r="P129" s="22">
        <f t="shared" si="28"/>
        <v>0</v>
      </c>
      <c r="Q129" s="71">
        <f t="shared" si="31"/>
        <v>0</v>
      </c>
      <c r="R129" s="37"/>
    </row>
    <row r="130" spans="1:20" ht="22.2" customHeight="1">
      <c r="A130" s="76">
        <v>10</v>
      </c>
      <c r="B130" s="186" t="s">
        <v>121</v>
      </c>
      <c r="C130" s="31"/>
      <c r="D130" s="31"/>
      <c r="E130" s="31"/>
      <c r="F130" s="35">
        <v>156564</v>
      </c>
      <c r="G130" s="35">
        <v>156564</v>
      </c>
      <c r="H130" s="17">
        <f t="shared" si="29"/>
        <v>0</v>
      </c>
      <c r="I130" s="33">
        <v>0</v>
      </c>
      <c r="J130" s="10">
        <f t="shared" si="30"/>
        <v>0</v>
      </c>
      <c r="K130" s="35">
        <v>156564</v>
      </c>
      <c r="L130" s="19">
        <f t="shared" si="32"/>
        <v>0</v>
      </c>
      <c r="M130" s="33">
        <v>0</v>
      </c>
      <c r="N130" s="28">
        <f t="shared" si="27"/>
        <v>0</v>
      </c>
      <c r="O130" s="18">
        <f t="shared" si="28"/>
        <v>0</v>
      </c>
      <c r="P130" s="22">
        <f t="shared" si="28"/>
        <v>0</v>
      </c>
      <c r="Q130" s="71">
        <f t="shared" si="31"/>
        <v>0</v>
      </c>
      <c r="R130" s="137"/>
    </row>
    <row r="131" spans="1:20" ht="23.4" customHeight="1">
      <c r="A131" s="76">
        <v>11</v>
      </c>
      <c r="B131" s="187" t="s">
        <v>122</v>
      </c>
      <c r="C131" s="138"/>
      <c r="D131" s="138"/>
      <c r="E131" s="138"/>
      <c r="F131" s="35">
        <v>36866</v>
      </c>
      <c r="G131" s="35">
        <v>36866</v>
      </c>
      <c r="H131" s="17">
        <f t="shared" si="29"/>
        <v>0</v>
      </c>
      <c r="I131" s="33">
        <v>0</v>
      </c>
      <c r="J131" s="10">
        <f t="shared" si="30"/>
        <v>0</v>
      </c>
      <c r="K131" s="35">
        <v>36866</v>
      </c>
      <c r="L131" s="19">
        <f t="shared" si="32"/>
        <v>0</v>
      </c>
      <c r="M131" s="33">
        <v>0</v>
      </c>
      <c r="N131" s="28">
        <f t="shared" si="27"/>
        <v>0</v>
      </c>
      <c r="O131" s="18">
        <f t="shared" si="28"/>
        <v>0</v>
      </c>
      <c r="P131" s="22">
        <f t="shared" si="28"/>
        <v>0</v>
      </c>
      <c r="Q131" s="71">
        <f t="shared" si="31"/>
        <v>0</v>
      </c>
      <c r="R131" s="37"/>
      <c r="T131" s="38"/>
    </row>
    <row r="132" spans="1:20" ht="22.2" customHeight="1">
      <c r="A132" s="76">
        <v>12</v>
      </c>
      <c r="B132" s="187" t="s">
        <v>123</v>
      </c>
      <c r="C132" s="138"/>
      <c r="D132" s="138"/>
      <c r="E132" s="138"/>
      <c r="F132" s="35">
        <v>16649</v>
      </c>
      <c r="G132" s="35">
        <v>16649</v>
      </c>
      <c r="H132" s="17">
        <f t="shared" si="29"/>
        <v>0</v>
      </c>
      <c r="I132" s="33">
        <v>0</v>
      </c>
      <c r="J132" s="78">
        <f t="shared" si="30"/>
        <v>0</v>
      </c>
      <c r="K132" s="35">
        <v>16649</v>
      </c>
      <c r="L132" s="19">
        <f t="shared" si="32"/>
        <v>0</v>
      </c>
      <c r="M132" s="33">
        <v>0</v>
      </c>
      <c r="N132" s="28">
        <f t="shared" si="27"/>
        <v>0</v>
      </c>
      <c r="O132" s="18">
        <f t="shared" si="28"/>
        <v>0</v>
      </c>
      <c r="P132" s="79">
        <f t="shared" si="28"/>
        <v>0</v>
      </c>
      <c r="Q132" s="71">
        <f t="shared" si="31"/>
        <v>0</v>
      </c>
      <c r="R132" s="37"/>
      <c r="T132" s="45"/>
    </row>
    <row r="133" spans="1:20" ht="21.6" customHeight="1">
      <c r="A133" s="76">
        <v>13</v>
      </c>
      <c r="B133" s="171" t="s">
        <v>124</v>
      </c>
      <c r="C133" s="138"/>
      <c r="D133" s="138"/>
      <c r="E133" s="138"/>
      <c r="F133" s="35">
        <v>890.2</v>
      </c>
      <c r="G133" s="35">
        <v>890.2</v>
      </c>
      <c r="H133" s="17">
        <f t="shared" si="29"/>
        <v>0</v>
      </c>
      <c r="I133" s="35">
        <v>0</v>
      </c>
      <c r="J133" s="78">
        <f t="shared" si="30"/>
        <v>0</v>
      </c>
      <c r="K133" s="35">
        <v>890.2</v>
      </c>
      <c r="L133" s="19">
        <f t="shared" si="32"/>
        <v>0</v>
      </c>
      <c r="M133" s="35">
        <v>0</v>
      </c>
      <c r="N133" s="28">
        <f t="shared" si="27"/>
        <v>0</v>
      </c>
      <c r="O133" s="18">
        <f t="shared" si="28"/>
        <v>0</v>
      </c>
      <c r="P133" s="79">
        <f t="shared" si="28"/>
        <v>0</v>
      </c>
      <c r="Q133" s="71">
        <f t="shared" si="31"/>
        <v>0</v>
      </c>
      <c r="R133" s="37"/>
      <c r="T133" s="45"/>
    </row>
    <row r="134" spans="1:20" ht="21.6" customHeight="1">
      <c r="A134" s="76">
        <v>14</v>
      </c>
      <c r="B134" s="171" t="s">
        <v>174</v>
      </c>
      <c r="C134" s="138"/>
      <c r="D134" s="138"/>
      <c r="E134" s="138"/>
      <c r="F134" s="35">
        <v>3066</v>
      </c>
      <c r="G134" s="35">
        <v>3066</v>
      </c>
      <c r="H134" s="17">
        <f t="shared" si="29"/>
        <v>0</v>
      </c>
      <c r="I134" s="35">
        <v>0</v>
      </c>
      <c r="J134" s="78">
        <f t="shared" si="30"/>
        <v>0</v>
      </c>
      <c r="K134" s="35">
        <v>3066</v>
      </c>
      <c r="L134" s="19">
        <f t="shared" si="32"/>
        <v>0</v>
      </c>
      <c r="M134" s="141">
        <v>0</v>
      </c>
      <c r="N134" s="28">
        <f t="shared" si="27"/>
        <v>0</v>
      </c>
      <c r="O134" s="18">
        <f t="shared" si="28"/>
        <v>0</v>
      </c>
      <c r="P134" s="79">
        <f t="shared" si="28"/>
        <v>0</v>
      </c>
      <c r="Q134" s="71">
        <f t="shared" si="31"/>
        <v>0</v>
      </c>
      <c r="R134" s="37"/>
      <c r="T134" s="45"/>
    </row>
    <row r="135" spans="1:20" ht="25.2" customHeight="1">
      <c r="A135" s="76">
        <v>15</v>
      </c>
      <c r="B135" s="187" t="s">
        <v>127</v>
      </c>
      <c r="C135" s="138"/>
      <c r="D135" s="138"/>
      <c r="E135" s="138"/>
      <c r="F135" s="35">
        <v>0</v>
      </c>
      <c r="G135" s="35">
        <v>0</v>
      </c>
      <c r="H135" s="17">
        <f t="shared" si="29"/>
        <v>0</v>
      </c>
      <c r="I135" s="33">
        <v>0</v>
      </c>
      <c r="J135" s="78">
        <f t="shared" si="30"/>
        <v>0</v>
      </c>
      <c r="K135" s="35">
        <v>0</v>
      </c>
      <c r="L135" s="19">
        <f t="shared" si="32"/>
        <v>0</v>
      </c>
      <c r="M135" s="33">
        <v>0</v>
      </c>
      <c r="N135" s="28">
        <f t="shared" si="27"/>
        <v>0</v>
      </c>
      <c r="O135" s="18">
        <f t="shared" si="28"/>
        <v>0</v>
      </c>
      <c r="P135" s="79">
        <f t="shared" si="28"/>
        <v>0</v>
      </c>
      <c r="Q135" s="71">
        <f t="shared" si="31"/>
        <v>0</v>
      </c>
      <c r="R135" s="77"/>
      <c r="T135" s="45"/>
    </row>
    <row r="136" spans="1:20" ht="25.2" customHeight="1">
      <c r="A136" s="76">
        <v>16</v>
      </c>
      <c r="B136" s="187" t="s">
        <v>183</v>
      </c>
      <c r="C136" s="138"/>
      <c r="D136" s="138"/>
      <c r="E136" s="138"/>
      <c r="F136" s="35">
        <v>295805</v>
      </c>
      <c r="G136" s="35">
        <v>295805</v>
      </c>
      <c r="H136" s="17">
        <f t="shared" si="29"/>
        <v>0</v>
      </c>
      <c r="I136" s="33">
        <v>0</v>
      </c>
      <c r="J136" s="78">
        <f t="shared" si="30"/>
        <v>0</v>
      </c>
      <c r="K136" s="35">
        <v>295805</v>
      </c>
      <c r="L136" s="19">
        <f t="shared" si="32"/>
        <v>0</v>
      </c>
      <c r="M136" s="33">
        <v>0</v>
      </c>
      <c r="N136" s="28">
        <f t="shared" si="27"/>
        <v>0</v>
      </c>
      <c r="O136" s="18">
        <f t="shared" si="28"/>
        <v>0</v>
      </c>
      <c r="P136" s="79">
        <f t="shared" si="28"/>
        <v>0</v>
      </c>
      <c r="Q136" s="71">
        <f t="shared" si="31"/>
        <v>0</v>
      </c>
      <c r="R136" s="77"/>
      <c r="T136" s="45"/>
    </row>
    <row r="137" spans="1:20" ht="25.2" customHeight="1">
      <c r="A137" s="76">
        <v>17</v>
      </c>
      <c r="B137" s="187" t="s">
        <v>184</v>
      </c>
      <c r="C137" s="138"/>
      <c r="D137" s="138"/>
      <c r="E137" s="138"/>
      <c r="F137" s="35">
        <v>77139.3</v>
      </c>
      <c r="G137" s="35">
        <v>77139.3</v>
      </c>
      <c r="H137" s="17">
        <f t="shared" si="29"/>
        <v>0</v>
      </c>
      <c r="I137" s="33">
        <v>0</v>
      </c>
      <c r="J137" s="78">
        <f t="shared" si="30"/>
        <v>0</v>
      </c>
      <c r="K137" s="35">
        <v>77139.3</v>
      </c>
      <c r="L137" s="19">
        <f t="shared" si="32"/>
        <v>0</v>
      </c>
      <c r="M137" s="33">
        <v>0</v>
      </c>
      <c r="N137" s="28">
        <f t="shared" si="27"/>
        <v>0</v>
      </c>
      <c r="O137" s="18">
        <f t="shared" si="28"/>
        <v>0</v>
      </c>
      <c r="P137" s="79">
        <f t="shared" si="28"/>
        <v>0</v>
      </c>
      <c r="Q137" s="71">
        <f t="shared" si="31"/>
        <v>0</v>
      </c>
      <c r="R137" s="77"/>
      <c r="T137" s="45"/>
    </row>
    <row r="138" spans="1:20" ht="25.2" customHeight="1">
      <c r="A138" s="76">
        <v>18</v>
      </c>
      <c r="B138" s="187" t="s">
        <v>185</v>
      </c>
      <c r="C138" s="138"/>
      <c r="D138" s="138"/>
      <c r="E138" s="138"/>
      <c r="F138" s="35">
        <v>113495.8</v>
      </c>
      <c r="G138" s="35">
        <v>113495.8</v>
      </c>
      <c r="H138" s="17">
        <f t="shared" si="29"/>
        <v>0</v>
      </c>
      <c r="I138" s="33">
        <v>0</v>
      </c>
      <c r="J138" s="78">
        <f t="shared" si="30"/>
        <v>0</v>
      </c>
      <c r="K138" s="35">
        <v>113495.8</v>
      </c>
      <c r="L138" s="19">
        <f t="shared" si="32"/>
        <v>0</v>
      </c>
      <c r="M138" s="33">
        <v>0</v>
      </c>
      <c r="N138" s="28">
        <f t="shared" si="27"/>
        <v>0</v>
      </c>
      <c r="O138" s="18">
        <f t="shared" si="28"/>
        <v>0</v>
      </c>
      <c r="P138" s="79">
        <f t="shared" si="28"/>
        <v>0</v>
      </c>
      <c r="Q138" s="71">
        <f t="shared" si="31"/>
        <v>0</v>
      </c>
      <c r="R138" s="77"/>
      <c r="T138" s="45"/>
    </row>
    <row r="139" spans="1:20" ht="25.2" customHeight="1">
      <c r="A139" s="76">
        <v>19</v>
      </c>
      <c r="B139" s="187" t="s">
        <v>187</v>
      </c>
      <c r="C139" s="138"/>
      <c r="D139" s="138"/>
      <c r="E139" s="138"/>
      <c r="F139" s="35">
        <v>59801.4</v>
      </c>
      <c r="G139" s="35">
        <v>59801.4</v>
      </c>
      <c r="H139" s="35">
        <f t="shared" si="29"/>
        <v>0</v>
      </c>
      <c r="I139" s="33">
        <v>0</v>
      </c>
      <c r="J139" s="78">
        <f t="shared" si="30"/>
        <v>0</v>
      </c>
      <c r="K139" s="35">
        <v>59801.4</v>
      </c>
      <c r="L139" s="56">
        <f t="shared" si="32"/>
        <v>0</v>
      </c>
      <c r="M139" s="33">
        <v>0</v>
      </c>
      <c r="N139" s="28">
        <f t="shared" si="27"/>
        <v>0</v>
      </c>
      <c r="O139" s="84">
        <f t="shared" si="28"/>
        <v>0</v>
      </c>
      <c r="P139" s="79">
        <f t="shared" si="28"/>
        <v>0</v>
      </c>
      <c r="Q139" s="34">
        <f t="shared" si="31"/>
        <v>0</v>
      </c>
      <c r="R139" s="77"/>
      <c r="T139" s="45"/>
    </row>
    <row r="140" spans="1:20" ht="25.2" customHeight="1">
      <c r="A140" s="76">
        <v>20</v>
      </c>
      <c r="B140" s="187" t="s">
        <v>188</v>
      </c>
      <c r="C140" s="138"/>
      <c r="D140" s="138"/>
      <c r="E140" s="138"/>
      <c r="F140" s="35">
        <v>485627</v>
      </c>
      <c r="G140" s="35">
        <v>485627</v>
      </c>
      <c r="H140" s="35">
        <f t="shared" si="29"/>
        <v>0</v>
      </c>
      <c r="I140" s="33">
        <v>0</v>
      </c>
      <c r="J140" s="78">
        <f t="shared" si="30"/>
        <v>0</v>
      </c>
      <c r="K140" s="35">
        <v>485627</v>
      </c>
      <c r="L140" s="56">
        <f t="shared" si="32"/>
        <v>0</v>
      </c>
      <c r="M140" s="33">
        <v>0</v>
      </c>
      <c r="N140" s="28">
        <f t="shared" si="27"/>
        <v>0</v>
      </c>
      <c r="O140" s="84">
        <f t="shared" si="28"/>
        <v>0</v>
      </c>
      <c r="P140" s="79">
        <f t="shared" si="28"/>
        <v>0</v>
      </c>
      <c r="Q140" s="34">
        <f t="shared" si="31"/>
        <v>0</v>
      </c>
      <c r="R140" s="77"/>
      <c r="T140" s="45"/>
    </row>
    <row r="141" spans="1:20" ht="25.2" customHeight="1">
      <c r="A141" s="76">
        <v>21</v>
      </c>
      <c r="B141" s="187" t="s">
        <v>189</v>
      </c>
      <c r="C141" s="138"/>
      <c r="D141" s="138"/>
      <c r="E141" s="138"/>
      <c r="F141" s="35">
        <v>46458.2</v>
      </c>
      <c r="G141" s="35">
        <v>46458.2</v>
      </c>
      <c r="H141" s="35">
        <f t="shared" si="29"/>
        <v>0</v>
      </c>
      <c r="I141" s="33">
        <v>0</v>
      </c>
      <c r="J141" s="78">
        <f t="shared" si="30"/>
        <v>0</v>
      </c>
      <c r="K141" s="35">
        <v>46458.2</v>
      </c>
      <c r="L141" s="56">
        <f t="shared" si="32"/>
        <v>0</v>
      </c>
      <c r="M141" s="33">
        <v>0</v>
      </c>
      <c r="N141" s="28">
        <f t="shared" si="27"/>
        <v>0</v>
      </c>
      <c r="O141" s="84">
        <f t="shared" si="28"/>
        <v>0</v>
      </c>
      <c r="P141" s="79">
        <f t="shared" si="28"/>
        <v>0</v>
      </c>
      <c r="Q141" s="34">
        <f t="shared" si="31"/>
        <v>0</v>
      </c>
      <c r="R141" s="77"/>
      <c r="T141" s="45"/>
    </row>
    <row r="142" spans="1:20" ht="25.2" customHeight="1">
      <c r="A142" s="144">
        <v>22</v>
      </c>
      <c r="B142" s="187" t="s">
        <v>213</v>
      </c>
      <c r="C142" s="138"/>
      <c r="D142" s="138"/>
      <c r="E142" s="138"/>
      <c r="F142" s="35">
        <v>99823.4</v>
      </c>
      <c r="G142" s="35">
        <v>99823.4</v>
      </c>
      <c r="H142" s="35">
        <f t="shared" si="29"/>
        <v>0</v>
      </c>
      <c r="I142" s="33">
        <v>0</v>
      </c>
      <c r="J142" s="78">
        <f t="shared" si="30"/>
        <v>0</v>
      </c>
      <c r="K142" s="35">
        <v>99823.4</v>
      </c>
      <c r="L142" s="35">
        <v>99823.4</v>
      </c>
      <c r="M142" s="33">
        <v>304.87</v>
      </c>
      <c r="N142" s="28">
        <f t="shared" si="27"/>
        <v>3.0540935291725191E-3</v>
      </c>
      <c r="O142" s="84">
        <f t="shared" si="28"/>
        <v>99823.4</v>
      </c>
      <c r="P142" s="79">
        <f t="shared" si="28"/>
        <v>304.87</v>
      </c>
      <c r="Q142" s="34">
        <f t="shared" si="31"/>
        <v>327.42939613605796</v>
      </c>
      <c r="R142" s="77"/>
      <c r="T142" s="45"/>
    </row>
    <row r="143" spans="1:20" ht="18">
      <c r="A143" s="196" t="s">
        <v>28</v>
      </c>
      <c r="B143" s="197"/>
      <c r="C143" s="175"/>
      <c r="D143" s="175"/>
      <c r="E143" s="175"/>
      <c r="F143" s="123"/>
      <c r="G143" s="123"/>
      <c r="H143" s="40">
        <f>SUM(H121:H142)</f>
        <v>0</v>
      </c>
      <c r="I143" s="40">
        <f>SUM(I121:I142)</f>
        <v>0</v>
      </c>
      <c r="J143" s="39"/>
      <c r="K143" s="39"/>
      <c r="L143" s="40">
        <f>SUM(L121:L142)</f>
        <v>99823.4</v>
      </c>
      <c r="M143" s="40">
        <f>SUM(M121:M142)</f>
        <v>304.87</v>
      </c>
      <c r="N143" s="145"/>
      <c r="O143" s="146">
        <f>SUM(O121:O142)</f>
        <v>99823.4</v>
      </c>
      <c r="P143" s="147">
        <f>SUM(P121:P142)</f>
        <v>304.87</v>
      </c>
      <c r="Q143" s="34"/>
      <c r="R143" s="37"/>
      <c r="S143" s="72"/>
    </row>
    <row r="144" spans="1:20" ht="21.6" thickBot="1">
      <c r="A144" s="148"/>
      <c r="B144" s="149"/>
      <c r="C144" s="149"/>
      <c r="D144" s="149"/>
      <c r="E144" s="149"/>
      <c r="F144" s="149"/>
      <c r="G144" s="149"/>
      <c r="H144" s="149" t="s">
        <v>139</v>
      </c>
      <c r="I144" s="150">
        <f>I19+I25+I34+I40+I47+J117+I143</f>
        <v>12232.66</v>
      </c>
      <c r="J144" s="149"/>
      <c r="K144" s="149"/>
      <c r="L144" s="151" t="s">
        <v>140</v>
      </c>
      <c r="M144" s="150">
        <f>M19+M25+M34+M40+M47+P117+M143</f>
        <v>4256.79</v>
      </c>
      <c r="N144" s="198" t="s">
        <v>141</v>
      </c>
      <c r="O144" s="198"/>
      <c r="P144" s="198"/>
      <c r="Q144" s="198"/>
      <c r="R144" s="152"/>
    </row>
    <row r="145" spans="1:19" ht="15">
      <c r="B145" s="153"/>
      <c r="C145" s="153"/>
      <c r="D145" s="153"/>
      <c r="E145" s="153"/>
      <c r="F145" s="152"/>
      <c r="G145" s="152"/>
      <c r="H145" s="152"/>
      <c r="I145" s="152"/>
      <c r="J145" s="152"/>
      <c r="K145" s="152"/>
      <c r="L145" s="152"/>
      <c r="M145" s="154"/>
      <c r="N145" s="155" t="s">
        <v>142</v>
      </c>
      <c r="O145" s="199">
        <f>Q2</f>
        <v>46223</v>
      </c>
      <c r="P145" s="200"/>
      <c r="Q145" s="156"/>
      <c r="R145" s="157">
        <f>P143-Q151</f>
        <v>304.87</v>
      </c>
    </row>
    <row r="146" spans="1:19" ht="18">
      <c r="B146" s="158" t="s">
        <v>143</v>
      </c>
      <c r="C146" s="158"/>
      <c r="D146" s="158"/>
      <c r="E146" s="158"/>
      <c r="F146" s="159">
        <f>I144</f>
        <v>12232.66</v>
      </c>
      <c r="G146" s="160"/>
      <c r="H146" s="160"/>
      <c r="I146" s="159"/>
      <c r="J146" s="160"/>
      <c r="K146" s="160"/>
      <c r="L146" s="160"/>
      <c r="M146" s="45"/>
      <c r="N146" s="188" t="s">
        <v>144</v>
      </c>
      <c r="O146" s="189"/>
      <c r="P146" s="190"/>
      <c r="Q146" s="161">
        <f>S117</f>
        <v>10218.74</v>
      </c>
      <c r="R146" s="152"/>
    </row>
    <row r="147" spans="1:19" ht="18">
      <c r="B147" s="158" t="s">
        <v>145</v>
      </c>
      <c r="C147" s="158"/>
      <c r="D147" s="158"/>
      <c r="E147" s="158"/>
      <c r="F147" s="159">
        <f>M144</f>
        <v>4256.79</v>
      </c>
      <c r="G147" s="160"/>
      <c r="H147" s="160"/>
      <c r="I147" s="159"/>
      <c r="J147" s="159"/>
      <c r="K147" s="160"/>
      <c r="L147" s="160"/>
      <c r="M147" s="45"/>
      <c r="N147" s="188" t="s">
        <v>146</v>
      </c>
      <c r="O147" s="189"/>
      <c r="P147" s="190"/>
      <c r="Q147" s="161">
        <f>P19</f>
        <v>3834.24</v>
      </c>
      <c r="R147" s="152"/>
    </row>
    <row r="148" spans="1:19" ht="18">
      <c r="B148" s="158" t="s">
        <v>28</v>
      </c>
      <c r="C148" s="158"/>
      <c r="D148" s="158"/>
      <c r="E148" s="158"/>
      <c r="F148" s="159">
        <f>F146+F147</f>
        <v>16489.45</v>
      </c>
      <c r="G148" s="160"/>
      <c r="H148" s="160"/>
      <c r="I148" s="160"/>
      <c r="J148" s="159"/>
      <c r="K148" s="160"/>
      <c r="L148" s="160"/>
      <c r="N148" s="188" t="s">
        <v>147</v>
      </c>
      <c r="O148" s="189"/>
      <c r="P148" s="190"/>
      <c r="Q148" s="161">
        <f>P34</f>
        <v>1330.54</v>
      </c>
    </row>
    <row r="149" spans="1:19" ht="18">
      <c r="F149" s="45"/>
      <c r="G149" s="45"/>
      <c r="H149" s="45"/>
      <c r="I149" s="45"/>
      <c r="J149" s="45"/>
      <c r="K149" s="160" t="s">
        <v>94</v>
      </c>
      <c r="L149" s="45"/>
      <c r="N149" s="188" t="s">
        <v>148</v>
      </c>
      <c r="O149" s="189"/>
      <c r="P149" s="190"/>
      <c r="Q149" s="161">
        <f>P40</f>
        <v>355</v>
      </c>
    </row>
    <row r="150" spans="1:19" ht="25.2" customHeight="1">
      <c r="B150" s="162" t="s">
        <v>149</v>
      </c>
      <c r="C150" s="162"/>
      <c r="D150" s="162"/>
      <c r="E150" s="162"/>
      <c r="F150" s="193"/>
      <c r="G150" s="193"/>
      <c r="H150" s="193"/>
      <c r="I150" s="193"/>
      <c r="J150" s="193"/>
      <c r="K150" s="193"/>
      <c r="L150" s="193"/>
      <c r="M150" s="193"/>
      <c r="N150" s="188" t="s">
        <v>150</v>
      </c>
      <c r="O150" s="189"/>
      <c r="P150" s="190"/>
      <c r="Q150" s="161">
        <f>P47</f>
        <v>0</v>
      </c>
    </row>
    <row r="151" spans="1:19" ht="18">
      <c r="F151" s="45"/>
      <c r="G151" s="45"/>
      <c r="H151" s="26"/>
      <c r="I151" s="26"/>
      <c r="J151" s="45"/>
      <c r="K151" s="160"/>
      <c r="L151" s="45"/>
      <c r="N151" s="188" t="s">
        <v>151</v>
      </c>
      <c r="O151" s="189"/>
      <c r="P151" s="190"/>
      <c r="Q151" s="161">
        <f>P125+P126+P127+P128</f>
        <v>0</v>
      </c>
    </row>
    <row r="152" spans="1:19" ht="18">
      <c r="H152" s="38"/>
      <c r="I152" s="45"/>
      <c r="J152" s="45"/>
      <c r="K152" s="160"/>
      <c r="L152" s="45"/>
      <c r="N152" s="188" t="s">
        <v>152</v>
      </c>
      <c r="O152" s="189"/>
      <c r="P152" s="190"/>
      <c r="Q152" s="161">
        <f>R145</f>
        <v>304.87</v>
      </c>
    </row>
    <row r="153" spans="1:19" ht="18.600000000000001" thickBot="1">
      <c r="F153" s="38"/>
      <c r="G153" s="38"/>
      <c r="J153" s="163"/>
      <c r="K153" s="160"/>
      <c r="N153" s="188" t="s">
        <v>153</v>
      </c>
      <c r="O153" s="189"/>
      <c r="P153" s="190"/>
      <c r="Q153" s="164">
        <f>P25</f>
        <v>446.06000000000006</v>
      </c>
      <c r="S153" s="38"/>
    </row>
    <row r="154" spans="1:19" ht="16.8" thickBot="1">
      <c r="F154" s="38"/>
      <c r="G154" s="38"/>
      <c r="H154" s="38"/>
      <c r="I154" s="38"/>
      <c r="K154" s="38"/>
      <c r="N154" s="191" t="s">
        <v>154</v>
      </c>
      <c r="O154" s="192"/>
      <c r="P154" s="192"/>
      <c r="Q154" s="165">
        <f>SUM(Q146:Q153)</f>
        <v>16489.45</v>
      </c>
    </row>
    <row r="155" spans="1:19">
      <c r="F155" s="38"/>
      <c r="G155" s="38"/>
      <c r="H155" s="159"/>
      <c r="I155" s="159"/>
      <c r="K155" s="38"/>
      <c r="L155" s="38"/>
    </row>
    <row r="156" spans="1:19">
      <c r="F156" s="38"/>
      <c r="G156" s="38"/>
      <c r="H156" s="38"/>
      <c r="I156" s="38"/>
      <c r="K156" s="160"/>
    </row>
    <row r="157" spans="1:19">
      <c r="A157" s="159"/>
      <c r="B157" s="159"/>
      <c r="C157" s="159"/>
      <c r="D157" s="159"/>
      <c r="E157" s="159"/>
      <c r="F157" s="159"/>
      <c r="G157" s="159"/>
      <c r="H157" s="159"/>
      <c r="I157" s="159"/>
      <c r="J157" s="38"/>
      <c r="K157" s="38"/>
      <c r="Q157" s="45"/>
    </row>
    <row r="158" spans="1:19">
      <c r="A158" s="159"/>
    </row>
  </sheetData>
  <mergeCells count="72">
    <mergeCell ref="A25:B25"/>
    <mergeCell ref="A27:A28"/>
    <mergeCell ref="B27:B28"/>
    <mergeCell ref="P3:P4"/>
    <mergeCell ref="A19:B19"/>
    <mergeCell ref="A21:A22"/>
    <mergeCell ref="B21:B22"/>
    <mergeCell ref="A3:A4"/>
    <mergeCell ref="B3:B4"/>
    <mergeCell ref="A26:O26"/>
    <mergeCell ref="F27:J27"/>
    <mergeCell ref="K27:N27"/>
    <mergeCell ref="P27:P28"/>
    <mergeCell ref="A40:B40"/>
    <mergeCell ref="A42:A43"/>
    <mergeCell ref="B42:B43"/>
    <mergeCell ref="A41:O41"/>
    <mergeCell ref="A143:B143"/>
    <mergeCell ref="A119:A120"/>
    <mergeCell ref="B119:B120"/>
    <mergeCell ref="A47:B47"/>
    <mergeCell ref="A49:A50"/>
    <mergeCell ref="B49:B50"/>
    <mergeCell ref="A1:Q1"/>
    <mergeCell ref="A2:O2"/>
    <mergeCell ref="F3:J3"/>
    <mergeCell ref="K3:O3"/>
    <mergeCell ref="Q3:Q4"/>
    <mergeCell ref="R3:R4"/>
    <mergeCell ref="S3:S4"/>
    <mergeCell ref="A20:O20"/>
    <mergeCell ref="F21:J21"/>
    <mergeCell ref="K21:N21"/>
    <mergeCell ref="P21:P22"/>
    <mergeCell ref="Q21:Q22"/>
    <mergeCell ref="Q27:Q28"/>
    <mergeCell ref="A35:O35"/>
    <mergeCell ref="F36:J36"/>
    <mergeCell ref="K36:N36"/>
    <mergeCell ref="P36:P37"/>
    <mergeCell ref="Q36:Q37"/>
    <mergeCell ref="A34:B34"/>
    <mergeCell ref="A36:A37"/>
    <mergeCell ref="B36:B37"/>
    <mergeCell ref="P42:P43"/>
    <mergeCell ref="Q42:Q43"/>
    <mergeCell ref="A48:O48"/>
    <mergeCell ref="F49:K49"/>
    <mergeCell ref="L49:Q49"/>
    <mergeCell ref="F42:J42"/>
    <mergeCell ref="K42:N42"/>
    <mergeCell ref="F150:M150"/>
    <mergeCell ref="N150:P150"/>
    <mergeCell ref="N151:P151"/>
    <mergeCell ref="T49:T50"/>
    <mergeCell ref="U49:U50"/>
    <mergeCell ref="A118:O118"/>
    <mergeCell ref="F119:J119"/>
    <mergeCell ref="K119:N119"/>
    <mergeCell ref="P119:P120"/>
    <mergeCell ref="Q119:Q120"/>
    <mergeCell ref="S49:S50"/>
    <mergeCell ref="O145:P145"/>
    <mergeCell ref="N146:P146"/>
    <mergeCell ref="R49:R50"/>
    <mergeCell ref="N144:Q144"/>
    <mergeCell ref="N152:P152"/>
    <mergeCell ref="N153:P153"/>
    <mergeCell ref="N154:P154"/>
    <mergeCell ref="N147:P147"/>
    <mergeCell ref="N148:P148"/>
    <mergeCell ref="N149:P149"/>
  </mergeCells>
  <conditionalFormatting sqref="Q7:Q20 Q23:Q24 Q29:Q33 Q38:Q39 Q44:Q46">
    <cfRule type="cellIs" dxfId="13" priority="2" operator="greaterThan">
      <formula>40</formula>
    </cfRule>
  </conditionalFormatting>
  <conditionalFormatting sqref="T51:T117">
    <cfRule type="cellIs" dxfId="12" priority="1" operator="lessThan">
      <formula>0.5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9986B-665C-4081-AD4B-2C4EF78A923E}">
  <dimension ref="A1:AD158"/>
  <sheetViews>
    <sheetView zoomScale="74" zoomScaleNormal="74" workbookViewId="0">
      <pane ySplit="1" topLeftCell="A11" activePane="bottomLeft" state="frozen"/>
      <selection pane="bottomLeft" activeCell="Q3" sqref="Q3:Q4"/>
    </sheetView>
  </sheetViews>
  <sheetFormatPr defaultColWidth="9" defaultRowHeight="14.4"/>
  <cols>
    <col min="1" max="1" width="8.5546875" customWidth="1"/>
    <col min="2" max="2" width="29.44140625" bestFit="1" customWidth="1"/>
    <col min="3" max="3" width="18.88671875" customWidth="1"/>
    <col min="4" max="4" width="17.109375" customWidth="1"/>
    <col min="5" max="5" width="18.88671875" customWidth="1"/>
    <col min="6" max="6" width="11.6640625" customWidth="1"/>
    <col min="7" max="7" width="11.21875" customWidth="1"/>
    <col min="8" max="8" width="9.77734375" customWidth="1"/>
    <col min="9" max="9" width="13.6640625" customWidth="1"/>
    <col min="10" max="10" width="10" customWidth="1"/>
    <col min="11" max="11" width="9.77734375" customWidth="1"/>
    <col min="12" max="12" width="12.77734375" bestFit="1" customWidth="1"/>
    <col min="13" max="13" width="10.6640625" bestFit="1" customWidth="1"/>
    <col min="14" max="14" width="15.77734375" customWidth="1"/>
    <col min="15" max="15" width="10.77734375" customWidth="1"/>
    <col min="16" max="16" width="12.5546875" customWidth="1"/>
    <col min="17" max="17" width="17.88671875" customWidth="1"/>
    <col min="18" max="18" width="13.44140625" customWidth="1"/>
    <col min="19" max="19" width="17" customWidth="1"/>
    <col min="20" max="20" width="11.109375" bestFit="1" customWidth="1"/>
    <col min="22" max="22" width="9.21875" bestFit="1" customWidth="1"/>
    <col min="23" max="23" width="8.21875" bestFit="1" customWidth="1"/>
    <col min="24" max="25" width="11.21875" customWidth="1"/>
  </cols>
  <sheetData>
    <row r="1" spans="1:25" ht="18.600000000000001" thickBot="1">
      <c r="A1" s="249" t="s">
        <v>0</v>
      </c>
      <c r="B1" s="249"/>
      <c r="C1" s="249"/>
      <c r="D1" s="249"/>
      <c r="E1" s="249"/>
      <c r="F1" s="249"/>
      <c r="G1" s="249"/>
      <c r="H1" s="249"/>
      <c r="I1" s="249"/>
      <c r="J1" s="249"/>
      <c r="K1" s="249"/>
      <c r="L1" s="249"/>
      <c r="M1" s="249"/>
      <c r="N1" s="249"/>
      <c r="O1" s="249"/>
      <c r="P1" s="249"/>
      <c r="Q1" s="249"/>
      <c r="R1" s="1"/>
      <c r="Y1" s="2"/>
    </row>
    <row r="2" spans="1:25" ht="19.8" customHeight="1" thickBot="1">
      <c r="A2" s="250" t="s">
        <v>1</v>
      </c>
      <c r="B2" s="251"/>
      <c r="C2" s="252"/>
      <c r="D2" s="252"/>
      <c r="E2" s="252"/>
      <c r="F2" s="252"/>
      <c r="G2" s="252"/>
      <c r="H2" s="252"/>
      <c r="I2" s="252"/>
      <c r="J2" s="252"/>
      <c r="K2" s="252"/>
      <c r="L2" s="252"/>
      <c r="M2" s="252"/>
      <c r="N2" s="252"/>
      <c r="O2" s="251"/>
      <c r="P2" s="3" t="s">
        <v>2</v>
      </c>
      <c r="Q2" s="4">
        <v>46224</v>
      </c>
      <c r="R2" s="1"/>
    </row>
    <row r="3" spans="1:25" ht="18" customHeight="1">
      <c r="A3" s="209" t="s">
        <v>3</v>
      </c>
      <c r="B3" s="211" t="s">
        <v>4</v>
      </c>
      <c r="C3" s="174"/>
      <c r="D3" s="174"/>
      <c r="E3" s="174"/>
      <c r="F3" s="213" t="s">
        <v>5</v>
      </c>
      <c r="G3" s="214"/>
      <c r="H3" s="214"/>
      <c r="I3" s="214"/>
      <c r="J3" s="215"/>
      <c r="K3" s="253" t="s">
        <v>6</v>
      </c>
      <c r="L3" s="254"/>
      <c r="M3" s="254"/>
      <c r="N3" s="254"/>
      <c r="O3" s="255"/>
      <c r="P3" s="219" t="s">
        <v>7</v>
      </c>
      <c r="Q3" s="194" t="s">
        <v>8</v>
      </c>
      <c r="R3" s="243" t="s">
        <v>9</v>
      </c>
      <c r="S3" s="222" t="s">
        <v>10</v>
      </c>
    </row>
    <row r="4" spans="1:25" ht="22.8" customHeight="1">
      <c r="A4" s="247"/>
      <c r="B4" s="248"/>
      <c r="C4" s="183" t="s">
        <v>190</v>
      </c>
      <c r="D4" s="183" t="s">
        <v>191</v>
      </c>
      <c r="E4" s="183" t="s">
        <v>192</v>
      </c>
      <c r="F4" s="6" t="s">
        <v>11</v>
      </c>
      <c r="G4" s="6" t="s">
        <v>12</v>
      </c>
      <c r="H4" s="6" t="s">
        <v>13</v>
      </c>
      <c r="I4" s="6" t="s">
        <v>14</v>
      </c>
      <c r="J4" s="6" t="s">
        <v>8</v>
      </c>
      <c r="K4" s="6" t="s">
        <v>12</v>
      </c>
      <c r="L4" s="6" t="s">
        <v>13</v>
      </c>
      <c r="M4" s="6" t="s">
        <v>14</v>
      </c>
      <c r="N4" s="7" t="s">
        <v>8</v>
      </c>
      <c r="O4" s="8" t="s">
        <v>15</v>
      </c>
      <c r="P4" s="236"/>
      <c r="Q4" s="237"/>
      <c r="R4" s="248"/>
      <c r="S4" s="243"/>
    </row>
    <row r="5" spans="1:25" ht="22.8" customHeight="1">
      <c r="A5" s="5">
        <v>1</v>
      </c>
      <c r="B5" s="9" t="s">
        <v>175</v>
      </c>
      <c r="C5" s="9" t="s">
        <v>193</v>
      </c>
      <c r="D5" s="9" t="s">
        <v>194</v>
      </c>
      <c r="E5" s="9" t="s">
        <v>214</v>
      </c>
      <c r="F5" s="2">
        <v>32132.1</v>
      </c>
      <c r="G5" s="2">
        <v>32132.1</v>
      </c>
      <c r="H5" s="2">
        <f>G5-F5</f>
        <v>0</v>
      </c>
      <c r="I5" s="2">
        <v>0</v>
      </c>
      <c r="J5" s="10">
        <f>IFERROR(I5/H5,0)</f>
        <v>0</v>
      </c>
      <c r="K5" s="2">
        <v>32132.1</v>
      </c>
      <c r="L5" s="167">
        <f>K5-G5</f>
        <v>0</v>
      </c>
      <c r="M5" s="2">
        <v>0</v>
      </c>
      <c r="N5" s="11">
        <f>IFERROR(M5/L5,0)</f>
        <v>0</v>
      </c>
      <c r="O5" s="12">
        <f t="shared" ref="O5:P17" si="0">H5+L5</f>
        <v>0</v>
      </c>
      <c r="P5" s="13">
        <f t="shared" si="0"/>
        <v>0</v>
      </c>
      <c r="Q5" s="14">
        <f>IFERROR(P5/O5,0)</f>
        <v>0</v>
      </c>
      <c r="R5" s="2">
        <v>0</v>
      </c>
      <c r="S5" s="5"/>
    </row>
    <row r="6" spans="1:25" ht="22.8" customHeight="1">
      <c r="A6" s="81">
        <v>2</v>
      </c>
      <c r="B6" s="16" t="s">
        <v>170</v>
      </c>
      <c r="C6" s="9" t="s">
        <v>193</v>
      </c>
      <c r="D6" s="9" t="s">
        <v>194</v>
      </c>
      <c r="E6" s="9" t="s">
        <v>214</v>
      </c>
      <c r="F6" s="49">
        <v>33931.699999999997</v>
      </c>
      <c r="G6" s="49">
        <v>33931.699999999997</v>
      </c>
      <c r="H6" s="2">
        <f>G6-F6</f>
        <v>0</v>
      </c>
      <c r="I6" s="49">
        <v>0</v>
      </c>
      <c r="J6" s="10">
        <f>IFERROR(I6/H6,0)</f>
        <v>0</v>
      </c>
      <c r="K6" s="49">
        <v>33931.699999999997</v>
      </c>
      <c r="L6" s="167">
        <f>K6-G6</f>
        <v>0</v>
      </c>
      <c r="M6" s="49">
        <v>0</v>
      </c>
      <c r="N6" s="11">
        <f>IFERROR(M6/L6,0)</f>
        <v>0</v>
      </c>
      <c r="O6" s="12">
        <f t="shared" si="0"/>
        <v>0</v>
      </c>
      <c r="P6" s="13">
        <f t="shared" si="0"/>
        <v>0</v>
      </c>
      <c r="Q6" s="14">
        <f>IFERROR(P6/O6,0)</f>
        <v>0</v>
      </c>
      <c r="R6" s="49">
        <v>0</v>
      </c>
      <c r="S6" s="81"/>
    </row>
    <row r="7" spans="1:25" ht="24" customHeight="1">
      <c r="A7" s="5">
        <v>3</v>
      </c>
      <c r="B7" s="16" t="s">
        <v>17</v>
      </c>
      <c r="C7" s="9" t="s">
        <v>193</v>
      </c>
      <c r="D7" s="9" t="s">
        <v>194</v>
      </c>
      <c r="E7" s="9" t="s">
        <v>214</v>
      </c>
      <c r="F7" s="17">
        <v>32493.3</v>
      </c>
      <c r="G7" s="17">
        <v>32493.3</v>
      </c>
      <c r="H7" s="17">
        <f t="shared" ref="H7:H18" si="1">G7-F7</f>
        <v>0</v>
      </c>
      <c r="I7" s="18">
        <v>0</v>
      </c>
      <c r="J7" s="10">
        <f>IFERROR(I7/H7,0)</f>
        <v>0</v>
      </c>
      <c r="K7" s="17">
        <v>32493.3</v>
      </c>
      <c r="L7" s="19">
        <f t="shared" ref="L7:L14" si="2">K7-G7</f>
        <v>0</v>
      </c>
      <c r="M7" s="20">
        <v>0</v>
      </c>
      <c r="N7" s="21">
        <f>IFERROR(M7/L7,0)</f>
        <v>0</v>
      </c>
      <c r="O7" s="18">
        <f t="shared" si="0"/>
        <v>0</v>
      </c>
      <c r="P7" s="22">
        <f t="shared" si="0"/>
        <v>0</v>
      </c>
      <c r="Q7" s="23">
        <f>IFERROR(P7/O7,0)</f>
        <v>0</v>
      </c>
      <c r="R7" s="24">
        <v>0</v>
      </c>
      <c r="S7" s="25"/>
      <c r="T7" s="26"/>
    </row>
    <row r="8" spans="1:25" ht="25.8" customHeight="1">
      <c r="A8" s="81">
        <v>4</v>
      </c>
      <c r="B8" s="16" t="s">
        <v>18</v>
      </c>
      <c r="C8" s="9" t="s">
        <v>193</v>
      </c>
      <c r="D8" s="9" t="s">
        <v>194</v>
      </c>
      <c r="E8" s="9" t="s">
        <v>214</v>
      </c>
      <c r="F8" s="17">
        <v>24795.7</v>
      </c>
      <c r="G8" s="17">
        <v>24795.7</v>
      </c>
      <c r="H8" s="17">
        <f t="shared" si="1"/>
        <v>0</v>
      </c>
      <c r="I8" s="18">
        <v>0</v>
      </c>
      <c r="J8" s="10">
        <f t="shared" ref="J8:J13" si="3">IFERROR(I8/H8,0)</f>
        <v>0</v>
      </c>
      <c r="K8" s="17">
        <v>24795.7</v>
      </c>
      <c r="L8" s="19">
        <f t="shared" si="2"/>
        <v>0</v>
      </c>
      <c r="M8" s="20">
        <v>0</v>
      </c>
      <c r="N8" s="28">
        <f t="shared" ref="N8:N14" si="4">IFERROR(M8/L8,0)</f>
        <v>0</v>
      </c>
      <c r="O8" s="18">
        <f t="shared" si="0"/>
        <v>0</v>
      </c>
      <c r="P8" s="22">
        <f t="shared" si="0"/>
        <v>0</v>
      </c>
      <c r="Q8" s="23">
        <f t="shared" ref="Q8:Q18" si="5">IFERROR(P8/O8,0)</f>
        <v>0</v>
      </c>
      <c r="R8" s="29">
        <v>0</v>
      </c>
      <c r="S8" s="30"/>
      <c r="T8" s="26"/>
      <c r="V8" s="26"/>
    </row>
    <row r="9" spans="1:25" ht="25.8" customHeight="1">
      <c r="A9" s="5">
        <v>5</v>
      </c>
      <c r="B9" s="31" t="s">
        <v>19</v>
      </c>
      <c r="C9" s="9" t="s">
        <v>193</v>
      </c>
      <c r="D9" s="9" t="s">
        <v>194</v>
      </c>
      <c r="E9" s="9" t="s">
        <v>214</v>
      </c>
      <c r="F9" s="17">
        <v>32708.3</v>
      </c>
      <c r="G9" s="17">
        <v>32708.3</v>
      </c>
      <c r="H9" s="17">
        <f t="shared" si="1"/>
        <v>0</v>
      </c>
      <c r="I9" s="32">
        <v>0</v>
      </c>
      <c r="J9" s="10">
        <f t="shared" si="3"/>
        <v>0</v>
      </c>
      <c r="K9" s="17">
        <v>32708.3</v>
      </c>
      <c r="L9" s="19">
        <f t="shared" si="2"/>
        <v>0</v>
      </c>
      <c r="M9" s="33">
        <v>0</v>
      </c>
      <c r="N9" s="28">
        <f t="shared" si="4"/>
        <v>0</v>
      </c>
      <c r="O9" s="18">
        <f t="shared" si="0"/>
        <v>0</v>
      </c>
      <c r="P9" s="22">
        <f t="shared" si="0"/>
        <v>0</v>
      </c>
      <c r="Q9" s="23">
        <f t="shared" si="5"/>
        <v>0</v>
      </c>
      <c r="R9" s="29">
        <v>0</v>
      </c>
      <c r="S9" s="30"/>
      <c r="T9" s="26"/>
      <c r="V9" s="26"/>
    </row>
    <row r="10" spans="1:25" ht="25.8" customHeight="1">
      <c r="A10" s="81">
        <v>6</v>
      </c>
      <c r="B10" s="16" t="s">
        <v>20</v>
      </c>
      <c r="C10" s="9" t="s">
        <v>193</v>
      </c>
      <c r="D10" s="9" t="s">
        <v>195</v>
      </c>
      <c r="E10" s="184" t="s">
        <v>215</v>
      </c>
      <c r="F10" s="17">
        <v>33642.400000000001</v>
      </c>
      <c r="G10" s="17">
        <v>33642.400000000001</v>
      </c>
      <c r="H10" s="17">
        <f>G10-F10</f>
        <v>0</v>
      </c>
      <c r="I10" s="34">
        <v>0</v>
      </c>
      <c r="J10" s="10">
        <f>IFERROR(I10/H10,0)</f>
        <v>0</v>
      </c>
      <c r="K10" s="17">
        <v>33642.400000000001</v>
      </c>
      <c r="L10" s="19">
        <f>K10-G10</f>
        <v>0</v>
      </c>
      <c r="M10" s="33">
        <v>0</v>
      </c>
      <c r="N10" s="28">
        <f>IFERROR(M10/L10,0)</f>
        <v>0</v>
      </c>
      <c r="O10" s="18">
        <f>H10+L10</f>
        <v>0</v>
      </c>
      <c r="P10" s="22">
        <f>I10+M10</f>
        <v>0</v>
      </c>
      <c r="Q10" s="23">
        <f>IFERROR(P10/O10,0)</f>
        <v>0</v>
      </c>
      <c r="R10" s="29">
        <v>0</v>
      </c>
      <c r="S10" s="30"/>
      <c r="T10" s="26"/>
      <c r="V10" s="26"/>
    </row>
    <row r="11" spans="1:25" ht="22.8" customHeight="1">
      <c r="A11" s="5">
        <v>7</v>
      </c>
      <c r="B11" s="16" t="s">
        <v>21</v>
      </c>
      <c r="C11" s="9" t="s">
        <v>193</v>
      </c>
      <c r="D11" s="16" t="s">
        <v>194</v>
      </c>
      <c r="E11" s="16" t="s">
        <v>214</v>
      </c>
      <c r="F11" s="17">
        <v>28183.4</v>
      </c>
      <c r="G11" s="17">
        <v>28183.4</v>
      </c>
      <c r="H11" s="17">
        <f t="shared" si="1"/>
        <v>0</v>
      </c>
      <c r="I11" s="32">
        <v>0</v>
      </c>
      <c r="J11" s="10">
        <f t="shared" si="3"/>
        <v>0</v>
      </c>
      <c r="K11" s="17">
        <v>28183.4</v>
      </c>
      <c r="L11" s="19">
        <f t="shared" si="2"/>
        <v>0</v>
      </c>
      <c r="M11" s="20">
        <v>0</v>
      </c>
      <c r="N11" s="28">
        <f t="shared" si="4"/>
        <v>0</v>
      </c>
      <c r="O11" s="18">
        <f t="shared" si="0"/>
        <v>0</v>
      </c>
      <c r="P11" s="22">
        <f t="shared" si="0"/>
        <v>0</v>
      </c>
      <c r="Q11" s="23">
        <f t="shared" si="5"/>
        <v>0</v>
      </c>
      <c r="R11" s="29">
        <v>0</v>
      </c>
      <c r="S11" s="30"/>
      <c r="T11" s="26"/>
      <c r="V11" s="26"/>
    </row>
    <row r="12" spans="1:25" ht="22.8" customHeight="1">
      <c r="A12" s="81">
        <v>8</v>
      </c>
      <c r="B12" s="31" t="s">
        <v>22</v>
      </c>
      <c r="C12" s="9" t="s">
        <v>193</v>
      </c>
      <c r="D12" s="31" t="s">
        <v>194</v>
      </c>
      <c r="E12" s="31" t="s">
        <v>214</v>
      </c>
      <c r="F12" s="35">
        <v>27568.799999999999</v>
      </c>
      <c r="G12" s="35">
        <v>27568.799999999999</v>
      </c>
      <c r="H12" s="17">
        <f t="shared" si="1"/>
        <v>0</v>
      </c>
      <c r="I12" s="32">
        <v>0</v>
      </c>
      <c r="J12" s="10">
        <f t="shared" si="3"/>
        <v>0</v>
      </c>
      <c r="K12" s="35">
        <v>27568.799999999999</v>
      </c>
      <c r="L12" s="19">
        <f t="shared" si="2"/>
        <v>0</v>
      </c>
      <c r="M12" s="33">
        <v>0</v>
      </c>
      <c r="N12" s="28">
        <f t="shared" si="4"/>
        <v>0</v>
      </c>
      <c r="O12" s="18">
        <f t="shared" si="0"/>
        <v>0</v>
      </c>
      <c r="P12" s="22">
        <f t="shared" si="0"/>
        <v>0</v>
      </c>
      <c r="Q12" s="23">
        <f t="shared" si="5"/>
        <v>0</v>
      </c>
      <c r="R12" s="29">
        <v>0</v>
      </c>
      <c r="S12" s="30"/>
      <c r="T12" s="26"/>
      <c r="V12" s="26"/>
    </row>
    <row r="13" spans="1:25" ht="24" customHeight="1">
      <c r="A13" s="5">
        <v>9</v>
      </c>
      <c r="B13" s="31" t="s">
        <v>23</v>
      </c>
      <c r="C13" s="9" t="s">
        <v>193</v>
      </c>
      <c r="D13" s="16" t="s">
        <v>196</v>
      </c>
      <c r="E13" s="16" t="s">
        <v>216</v>
      </c>
      <c r="F13" s="17">
        <v>22709.11</v>
      </c>
      <c r="G13" s="17">
        <v>22709.11</v>
      </c>
      <c r="H13" s="17">
        <f t="shared" si="1"/>
        <v>0</v>
      </c>
      <c r="I13" s="34">
        <v>0</v>
      </c>
      <c r="J13" s="10">
        <f t="shared" si="3"/>
        <v>0</v>
      </c>
      <c r="K13" s="17">
        <v>22709.11</v>
      </c>
      <c r="L13" s="19">
        <f t="shared" si="2"/>
        <v>0</v>
      </c>
      <c r="M13" s="20">
        <v>0</v>
      </c>
      <c r="N13" s="28">
        <f t="shared" si="4"/>
        <v>0</v>
      </c>
      <c r="O13" s="18">
        <f t="shared" si="0"/>
        <v>0</v>
      </c>
      <c r="P13" s="22">
        <f t="shared" si="0"/>
        <v>0</v>
      </c>
      <c r="Q13" s="23">
        <f t="shared" si="5"/>
        <v>0</v>
      </c>
      <c r="R13" s="29">
        <v>0</v>
      </c>
      <c r="S13" s="36"/>
      <c r="T13" s="26"/>
      <c r="V13" s="26"/>
    </row>
    <row r="14" spans="1:25" ht="24" customHeight="1">
      <c r="A14" s="81">
        <v>10</v>
      </c>
      <c r="B14" s="31" t="s">
        <v>24</v>
      </c>
      <c r="C14" s="9" t="s">
        <v>193</v>
      </c>
      <c r="D14" s="16" t="s">
        <v>196</v>
      </c>
      <c r="E14" s="16" t="s">
        <v>216</v>
      </c>
      <c r="F14" s="17">
        <v>22665.24</v>
      </c>
      <c r="G14" s="17">
        <v>22665.24</v>
      </c>
      <c r="H14" s="17">
        <f t="shared" si="1"/>
        <v>0</v>
      </c>
      <c r="I14" s="32">
        <v>0</v>
      </c>
      <c r="J14" s="10">
        <f>IFERROR(I14/H14,0)</f>
        <v>0</v>
      </c>
      <c r="K14" s="17">
        <v>22665.24</v>
      </c>
      <c r="L14" s="19">
        <f t="shared" si="2"/>
        <v>0</v>
      </c>
      <c r="M14" s="20">
        <v>0</v>
      </c>
      <c r="N14" s="28">
        <f t="shared" si="4"/>
        <v>0</v>
      </c>
      <c r="O14" s="18">
        <f t="shared" si="0"/>
        <v>0</v>
      </c>
      <c r="P14" s="22">
        <f t="shared" si="0"/>
        <v>0</v>
      </c>
      <c r="Q14" s="23">
        <f t="shared" si="5"/>
        <v>0</v>
      </c>
      <c r="R14" s="29">
        <v>0</v>
      </c>
      <c r="S14" s="37"/>
      <c r="T14" s="26"/>
      <c r="V14" s="26"/>
    </row>
    <row r="15" spans="1:25" ht="24" customHeight="1">
      <c r="A15" s="5">
        <v>11</v>
      </c>
      <c r="B15" s="31" t="s">
        <v>25</v>
      </c>
      <c r="C15" s="9" t="s">
        <v>193</v>
      </c>
      <c r="D15" s="16" t="s">
        <v>196</v>
      </c>
      <c r="E15" s="16" t="s">
        <v>216</v>
      </c>
      <c r="F15" s="17">
        <v>20153.150000000001</v>
      </c>
      <c r="G15" s="17">
        <v>20153.150000000001</v>
      </c>
      <c r="H15" s="17">
        <f t="shared" si="1"/>
        <v>0</v>
      </c>
      <c r="I15" s="32">
        <v>0</v>
      </c>
      <c r="J15" s="10">
        <f>IFERROR(I15/H15,0)</f>
        <v>0</v>
      </c>
      <c r="K15" s="17">
        <v>20153.150000000001</v>
      </c>
      <c r="L15" s="19">
        <f>K15-G15</f>
        <v>0</v>
      </c>
      <c r="M15" s="20">
        <v>0</v>
      </c>
      <c r="N15" s="28">
        <f>IFERROR(M15/L15,0)</f>
        <v>0</v>
      </c>
      <c r="O15" s="18">
        <f>H15+L15</f>
        <v>0</v>
      </c>
      <c r="P15" s="22">
        <f t="shared" si="0"/>
        <v>0</v>
      </c>
      <c r="Q15" s="23">
        <f t="shared" si="5"/>
        <v>0</v>
      </c>
      <c r="R15" s="29">
        <v>0</v>
      </c>
      <c r="S15" s="37"/>
      <c r="T15" s="26"/>
      <c r="V15" s="26"/>
      <c r="W15" s="38"/>
    </row>
    <row r="16" spans="1:25" ht="24" customHeight="1">
      <c r="A16" s="81">
        <v>12</v>
      </c>
      <c r="B16" s="31" t="s">
        <v>181</v>
      </c>
      <c r="C16" s="9" t="s">
        <v>193</v>
      </c>
      <c r="D16" s="16" t="s">
        <v>196</v>
      </c>
      <c r="E16" s="16" t="s">
        <v>217</v>
      </c>
      <c r="F16" s="17">
        <v>10196.35</v>
      </c>
      <c r="G16" s="17">
        <v>10196.35</v>
      </c>
      <c r="H16" s="17">
        <f t="shared" si="1"/>
        <v>0</v>
      </c>
      <c r="I16" s="32">
        <v>0</v>
      </c>
      <c r="J16" s="10">
        <f>IFERROR(I16/H16,0)</f>
        <v>0</v>
      </c>
      <c r="K16" s="17">
        <v>10196.35</v>
      </c>
      <c r="L16" s="19">
        <f>K16-G16</f>
        <v>0</v>
      </c>
      <c r="M16" s="20">
        <v>0</v>
      </c>
      <c r="N16" s="28">
        <f>IFERROR(M16/L16,0)</f>
        <v>0</v>
      </c>
      <c r="O16" s="18">
        <f>H16+L16</f>
        <v>0</v>
      </c>
      <c r="P16" s="22">
        <f t="shared" si="0"/>
        <v>0</v>
      </c>
      <c r="Q16" s="23">
        <f t="shared" si="5"/>
        <v>0</v>
      </c>
      <c r="R16" s="29">
        <v>0</v>
      </c>
      <c r="S16" s="37"/>
      <c r="T16" s="26"/>
      <c r="V16" s="26"/>
      <c r="W16" s="38"/>
    </row>
    <row r="17" spans="1:23" ht="24" customHeight="1">
      <c r="A17" s="5">
        <v>13</v>
      </c>
      <c r="B17" s="31" t="s">
        <v>27</v>
      </c>
      <c r="C17" s="9" t="s">
        <v>193</v>
      </c>
      <c r="D17" s="16" t="s">
        <v>197</v>
      </c>
      <c r="E17" s="16" t="s">
        <v>218</v>
      </c>
      <c r="F17" s="17">
        <v>18305.7</v>
      </c>
      <c r="G17" s="17">
        <v>18305.7</v>
      </c>
      <c r="H17" s="17">
        <f t="shared" si="1"/>
        <v>0</v>
      </c>
      <c r="I17" s="18">
        <v>0</v>
      </c>
      <c r="J17" s="10">
        <f>IFERROR(I17/H17,0)</f>
        <v>0</v>
      </c>
      <c r="K17" s="17">
        <v>18305.7</v>
      </c>
      <c r="L17" s="19">
        <f t="shared" ref="L17" si="6">K17-G17</f>
        <v>0</v>
      </c>
      <c r="M17" s="20">
        <v>0</v>
      </c>
      <c r="N17" s="28">
        <f t="shared" ref="N17" si="7">IFERROR(M17/L17,0)</f>
        <v>0</v>
      </c>
      <c r="O17" s="18">
        <f t="shared" ref="O17" si="8">H17+L17</f>
        <v>0</v>
      </c>
      <c r="P17" s="22">
        <f t="shared" si="0"/>
        <v>0</v>
      </c>
      <c r="Q17" s="23">
        <f t="shared" si="5"/>
        <v>0</v>
      </c>
      <c r="R17" s="29">
        <v>0</v>
      </c>
      <c r="S17" s="172"/>
      <c r="T17" s="26"/>
      <c r="V17" s="26"/>
      <c r="W17" s="38"/>
    </row>
    <row r="18" spans="1:23" ht="24" customHeight="1">
      <c r="A18" s="81">
        <v>14</v>
      </c>
      <c r="B18" s="31" t="s">
        <v>26</v>
      </c>
      <c r="C18" s="9" t="s">
        <v>193</v>
      </c>
      <c r="D18" s="185" t="s">
        <v>198</v>
      </c>
      <c r="E18" s="178" t="s">
        <v>199</v>
      </c>
      <c r="F18" s="17">
        <v>15234.3</v>
      </c>
      <c r="G18" s="17">
        <v>15234.3</v>
      </c>
      <c r="H18" s="17">
        <f t="shared" si="1"/>
        <v>0</v>
      </c>
      <c r="I18" s="32">
        <v>0</v>
      </c>
      <c r="J18" s="10">
        <f>IFERROR(I18/H18,0)</f>
        <v>0</v>
      </c>
      <c r="K18" s="17">
        <v>15234.3</v>
      </c>
      <c r="L18" s="19">
        <f>K18-G18</f>
        <v>0</v>
      </c>
      <c r="M18" s="20">
        <v>0</v>
      </c>
      <c r="N18" s="28">
        <f>IFERROR(M18/L18,0)</f>
        <v>0</v>
      </c>
      <c r="O18" s="18">
        <f>H18+L18</f>
        <v>0</v>
      </c>
      <c r="P18" s="22">
        <f>I18+M18</f>
        <v>0</v>
      </c>
      <c r="Q18" s="23">
        <f t="shared" si="5"/>
        <v>0</v>
      </c>
      <c r="R18" s="29">
        <v>0</v>
      </c>
      <c r="S18" s="37"/>
      <c r="T18" s="26"/>
      <c r="V18" s="26"/>
      <c r="W18" s="38"/>
    </row>
    <row r="19" spans="1:23" ht="24" customHeight="1">
      <c r="A19" s="196" t="s">
        <v>28</v>
      </c>
      <c r="B19" s="197"/>
      <c r="C19" s="175"/>
      <c r="D19" s="175"/>
      <c r="E19" s="175"/>
      <c r="F19" s="39"/>
      <c r="G19" s="39"/>
      <c r="H19" s="40">
        <f>SUM(H7:H18)</f>
        <v>0</v>
      </c>
      <c r="I19" s="41">
        <f>SUM(I5:I18)</f>
        <v>0</v>
      </c>
      <c r="J19" s="39"/>
      <c r="K19" s="39"/>
      <c r="L19" s="40">
        <f>SUM(L7:L18)</f>
        <v>0</v>
      </c>
      <c r="M19" s="41">
        <f>SUM(M5:M18)</f>
        <v>0</v>
      </c>
      <c r="N19" s="28">
        <f>IFERROR(M19/L19,0)</f>
        <v>0</v>
      </c>
      <c r="O19" s="42">
        <f>SUM(O7:O18)</f>
        <v>0</v>
      </c>
      <c r="P19" s="43">
        <f>SUM(P5:P18)</f>
        <v>0</v>
      </c>
      <c r="Q19" s="23">
        <f>IFERROR(P19/O19,0)</f>
        <v>0</v>
      </c>
      <c r="R19" s="44">
        <f>SUM(R5:R18)</f>
        <v>0</v>
      </c>
      <c r="S19" s="45"/>
      <c r="V19" s="26"/>
    </row>
    <row r="20" spans="1:23" ht="18" customHeight="1" thickBot="1">
      <c r="A20" s="206" t="s">
        <v>29</v>
      </c>
      <c r="B20" s="207"/>
      <c r="C20" s="207"/>
      <c r="D20" s="207"/>
      <c r="E20" s="207"/>
      <c r="F20" s="207"/>
      <c r="G20" s="207"/>
      <c r="H20" s="207"/>
      <c r="I20" s="207"/>
      <c r="J20" s="207"/>
      <c r="K20" s="207"/>
      <c r="L20" s="207"/>
      <c r="M20" s="207"/>
      <c r="N20" s="207"/>
      <c r="O20" s="208"/>
      <c r="P20" s="46"/>
      <c r="Q20" s="47"/>
      <c r="R20" s="37"/>
    </row>
    <row r="21" spans="1:23" ht="22.8" customHeight="1">
      <c r="A21" s="209" t="s">
        <v>3</v>
      </c>
      <c r="B21" s="211" t="s">
        <v>4</v>
      </c>
      <c r="C21" s="173"/>
      <c r="D21" s="173"/>
      <c r="E21" s="173"/>
      <c r="F21" s="234" t="s">
        <v>5</v>
      </c>
      <c r="G21" s="234"/>
      <c r="H21" s="234"/>
      <c r="I21" s="234"/>
      <c r="J21" s="234"/>
      <c r="K21" s="235" t="s">
        <v>6</v>
      </c>
      <c r="L21" s="235"/>
      <c r="M21" s="235"/>
      <c r="N21" s="235"/>
      <c r="O21" s="48"/>
      <c r="P21" s="219" t="s">
        <v>7</v>
      </c>
      <c r="Q21" s="194" t="s">
        <v>8</v>
      </c>
      <c r="R21" s="37"/>
    </row>
    <row r="22" spans="1:23" s="51" customFormat="1" ht="24" customHeight="1" thickBot="1">
      <c r="A22" s="210"/>
      <c r="B22" s="212"/>
      <c r="C22" s="183" t="s">
        <v>190</v>
      </c>
      <c r="D22" s="183" t="s">
        <v>191</v>
      </c>
      <c r="E22" s="183" t="s">
        <v>192</v>
      </c>
      <c r="F22" s="49" t="s">
        <v>11</v>
      </c>
      <c r="G22" s="49" t="s">
        <v>12</v>
      </c>
      <c r="H22" s="49" t="s">
        <v>13</v>
      </c>
      <c r="I22" s="2" t="s">
        <v>14</v>
      </c>
      <c r="J22" s="2" t="s">
        <v>8</v>
      </c>
      <c r="K22" s="49" t="s">
        <v>12</v>
      </c>
      <c r="L22" s="49" t="s">
        <v>13</v>
      </c>
      <c r="M22" s="49" t="s">
        <v>14</v>
      </c>
      <c r="N22" s="7" t="s">
        <v>8</v>
      </c>
      <c r="O22" s="50" t="s">
        <v>15</v>
      </c>
      <c r="P22" s="220"/>
      <c r="Q22" s="195"/>
      <c r="R22" s="37"/>
      <c r="T22"/>
      <c r="U22"/>
      <c r="V22"/>
      <c r="W22"/>
    </row>
    <row r="23" spans="1:23" s="51" customFormat="1" ht="24" customHeight="1">
      <c r="A23" s="27">
        <v>1</v>
      </c>
      <c r="B23" s="52" t="s">
        <v>30</v>
      </c>
      <c r="C23" s="179" t="s">
        <v>200</v>
      </c>
      <c r="D23" s="179" t="s">
        <v>197</v>
      </c>
      <c r="E23" s="179" t="s">
        <v>201</v>
      </c>
      <c r="F23" s="6">
        <v>18948.599999999999</v>
      </c>
      <c r="G23" s="6">
        <v>18948.599999999999</v>
      </c>
      <c r="H23" s="53">
        <f>G23-F23</f>
        <v>0</v>
      </c>
      <c r="I23" s="54">
        <v>0</v>
      </c>
      <c r="J23" s="55">
        <f>IFERROR(I23/H23,0)</f>
        <v>0</v>
      </c>
      <c r="K23" s="6">
        <v>18948.599999999999</v>
      </c>
      <c r="L23" s="56">
        <f>K23-G23</f>
        <v>0</v>
      </c>
      <c r="M23" s="54">
        <v>0</v>
      </c>
      <c r="N23" s="57">
        <f>IFERROR(M23/L23,0)</f>
        <v>0</v>
      </c>
      <c r="O23" s="58">
        <f>H23+L23</f>
        <v>0</v>
      </c>
      <c r="P23" s="59">
        <f t="shared" ref="P23:P24" si="9">I23+M23</f>
        <v>0</v>
      </c>
      <c r="Q23" s="60">
        <f>IFERROR(P23/O23,0)</f>
        <v>0</v>
      </c>
      <c r="R23" s="61"/>
      <c r="T23"/>
      <c r="U23"/>
      <c r="V23"/>
      <c r="W23"/>
    </row>
    <row r="24" spans="1:23" ht="24" customHeight="1">
      <c r="A24" s="62">
        <v>2</v>
      </c>
      <c r="B24" s="52" t="s">
        <v>31</v>
      </c>
      <c r="C24" s="52" t="s">
        <v>200</v>
      </c>
      <c r="D24" s="52" t="s">
        <v>197</v>
      </c>
      <c r="E24" s="52" t="s">
        <v>201</v>
      </c>
      <c r="F24" s="63">
        <v>11321.6</v>
      </c>
      <c r="G24" s="63">
        <v>11321.6</v>
      </c>
      <c r="H24" s="53">
        <f>G24-F24</f>
        <v>0</v>
      </c>
      <c r="I24" s="54">
        <v>0</v>
      </c>
      <c r="J24" s="55">
        <f>IFERROR(I24/H24,0)</f>
        <v>0</v>
      </c>
      <c r="K24" s="63">
        <v>11321.6</v>
      </c>
      <c r="L24" s="64">
        <f>K24-G24</f>
        <v>0</v>
      </c>
      <c r="M24" s="54">
        <v>0</v>
      </c>
      <c r="N24" s="57">
        <f>IFERROR(M24/L24,0)</f>
        <v>0</v>
      </c>
      <c r="O24" s="58">
        <f>H24+L24</f>
        <v>0</v>
      </c>
      <c r="P24" s="59">
        <f t="shared" si="9"/>
        <v>0</v>
      </c>
      <c r="Q24" s="60">
        <f>IFERROR(P24/O24,0)</f>
        <v>0</v>
      </c>
      <c r="R24" s="65"/>
    </row>
    <row r="25" spans="1:23" ht="24" customHeight="1" thickBot="1">
      <c r="A25" s="238" t="s">
        <v>28</v>
      </c>
      <c r="B25" s="239"/>
      <c r="C25" s="180"/>
      <c r="D25" s="180"/>
      <c r="E25" s="180"/>
      <c r="F25" s="66"/>
      <c r="G25" s="66"/>
      <c r="H25" s="67">
        <f>SUM(H23:H24)</f>
        <v>0</v>
      </c>
      <c r="I25" s="67">
        <f>SUM(I23:I24)</f>
        <v>0</v>
      </c>
      <c r="J25" s="68"/>
      <c r="K25" s="68"/>
      <c r="L25" s="67">
        <f>SUM(L23:L24)</f>
        <v>0</v>
      </c>
      <c r="M25" s="67">
        <f>SUM(M23:M24)</f>
        <v>0</v>
      </c>
      <c r="N25" s="69">
        <f>SUM(N23:N24)</f>
        <v>0</v>
      </c>
      <c r="O25" s="70">
        <f>SUM(O23:O24)</f>
        <v>0</v>
      </c>
      <c r="P25" s="43">
        <f>SUM(P23:P24)</f>
        <v>0</v>
      </c>
      <c r="Q25" s="71"/>
      <c r="R25" s="37"/>
      <c r="S25" s="72"/>
    </row>
    <row r="26" spans="1:23" ht="18" customHeight="1" thickBot="1">
      <c r="A26" s="245" t="s">
        <v>32</v>
      </c>
      <c r="B26" s="246"/>
      <c r="C26" s="226"/>
      <c r="D26" s="226"/>
      <c r="E26" s="226"/>
      <c r="F26" s="226"/>
      <c r="G26" s="226"/>
      <c r="H26" s="226"/>
      <c r="I26" s="226"/>
      <c r="J26" s="226"/>
      <c r="K26" s="226"/>
      <c r="L26" s="226"/>
      <c r="M26" s="226"/>
      <c r="N26" s="226"/>
      <c r="O26" s="246"/>
      <c r="P26" s="46"/>
      <c r="Q26" s="47"/>
      <c r="R26" s="37"/>
    </row>
    <row r="27" spans="1:23" ht="22.8" customHeight="1">
      <c r="A27" s="209" t="s">
        <v>3</v>
      </c>
      <c r="B27" s="211" t="s">
        <v>4</v>
      </c>
      <c r="C27" s="173"/>
      <c r="D27" s="173"/>
      <c r="E27" s="173"/>
      <c r="F27" s="234" t="s">
        <v>5</v>
      </c>
      <c r="G27" s="234"/>
      <c r="H27" s="234"/>
      <c r="I27" s="234"/>
      <c r="J27" s="234"/>
      <c r="K27" s="235" t="s">
        <v>6</v>
      </c>
      <c r="L27" s="235"/>
      <c r="M27" s="235"/>
      <c r="N27" s="235"/>
      <c r="O27" s="48"/>
      <c r="P27" s="219" t="s">
        <v>7</v>
      </c>
      <c r="Q27" s="194" t="s">
        <v>8</v>
      </c>
      <c r="R27" s="37"/>
      <c r="V27" s="51"/>
    </row>
    <row r="28" spans="1:23" ht="24" customHeight="1">
      <c r="A28" s="247"/>
      <c r="B28" s="248"/>
      <c r="C28" s="183" t="s">
        <v>190</v>
      </c>
      <c r="D28" s="183" t="s">
        <v>191</v>
      </c>
      <c r="E28" s="183" t="s">
        <v>192</v>
      </c>
      <c r="F28" s="6" t="s">
        <v>11</v>
      </c>
      <c r="G28" s="6" t="s">
        <v>12</v>
      </c>
      <c r="H28" s="6" t="s">
        <v>13</v>
      </c>
      <c r="I28" s="6" t="s">
        <v>14</v>
      </c>
      <c r="J28" s="6" t="s">
        <v>8</v>
      </c>
      <c r="K28" s="6" t="s">
        <v>12</v>
      </c>
      <c r="L28" s="6" t="s">
        <v>13</v>
      </c>
      <c r="M28" s="6" t="s">
        <v>14</v>
      </c>
      <c r="N28" s="7" t="s">
        <v>8</v>
      </c>
      <c r="O28" s="73" t="s">
        <v>15</v>
      </c>
      <c r="P28" s="236"/>
      <c r="Q28" s="237"/>
      <c r="R28" s="61"/>
      <c r="S28" s="74"/>
      <c r="V28" s="51"/>
      <c r="W28" s="75"/>
    </row>
    <row r="29" spans="1:23" ht="24" customHeight="1">
      <c r="A29" s="76">
        <v>1</v>
      </c>
      <c r="B29" s="31" t="s">
        <v>33</v>
      </c>
      <c r="C29" s="31" t="s">
        <v>202</v>
      </c>
      <c r="D29" s="31" t="s">
        <v>203</v>
      </c>
      <c r="E29" s="31" t="s">
        <v>219</v>
      </c>
      <c r="F29" s="35">
        <v>21776.3</v>
      </c>
      <c r="G29" s="35">
        <v>21776.3</v>
      </c>
      <c r="H29" s="35">
        <f>G29-F29</f>
        <v>0</v>
      </c>
      <c r="I29" s="33">
        <v>0</v>
      </c>
      <c r="J29" s="10">
        <f t="shared" ref="J29:J33" si="10">IFERROR(I29/H29,0)</f>
        <v>0</v>
      </c>
      <c r="K29" s="35">
        <v>21776.3</v>
      </c>
      <c r="L29" s="56">
        <f>K29-G29</f>
        <v>0</v>
      </c>
      <c r="M29" s="33">
        <v>0</v>
      </c>
      <c r="N29" s="28">
        <f t="shared" ref="N29:N33" si="11">IFERROR(M29/L29,0)</f>
        <v>0</v>
      </c>
      <c r="O29" s="84">
        <f t="shared" ref="O29:P33" si="12">H29+L29</f>
        <v>0</v>
      </c>
      <c r="P29" s="79">
        <f t="shared" si="12"/>
        <v>0</v>
      </c>
      <c r="Q29" s="34">
        <f>IFERROR(P29/O29,0)</f>
        <v>0</v>
      </c>
      <c r="R29" s="37"/>
    </row>
    <row r="30" spans="1:23" ht="24" customHeight="1">
      <c r="A30" s="76">
        <v>2</v>
      </c>
      <c r="B30" s="31" t="s">
        <v>34</v>
      </c>
      <c r="C30" s="31" t="s">
        <v>202</v>
      </c>
      <c r="D30" s="31" t="s">
        <v>203</v>
      </c>
      <c r="E30" s="31" t="s">
        <v>219</v>
      </c>
      <c r="F30" s="35">
        <v>21207.200000000001</v>
      </c>
      <c r="G30" s="35">
        <v>21207.200000000001</v>
      </c>
      <c r="H30" s="35">
        <f>G30-F30</f>
        <v>0</v>
      </c>
      <c r="I30" s="33">
        <v>0</v>
      </c>
      <c r="J30" s="10">
        <f t="shared" si="10"/>
        <v>0</v>
      </c>
      <c r="K30" s="35">
        <v>21207.200000000001</v>
      </c>
      <c r="L30" s="56">
        <f>K30-G30</f>
        <v>0</v>
      </c>
      <c r="M30" s="33">
        <v>0</v>
      </c>
      <c r="N30" s="28">
        <f>IFERROR(M30/L30,0)</f>
        <v>0</v>
      </c>
      <c r="O30" s="18">
        <f t="shared" si="12"/>
        <v>0</v>
      </c>
      <c r="P30" s="22">
        <f t="shared" si="12"/>
        <v>0</v>
      </c>
      <c r="Q30" s="23">
        <f>IFERROR(P30/O30,0)</f>
        <v>0</v>
      </c>
      <c r="R30" s="37"/>
    </row>
    <row r="31" spans="1:23" ht="24" customHeight="1">
      <c r="A31" s="76">
        <v>3</v>
      </c>
      <c r="B31" s="31" t="s">
        <v>35</v>
      </c>
      <c r="C31" s="31" t="s">
        <v>202</v>
      </c>
      <c r="D31" s="31" t="s">
        <v>197</v>
      </c>
      <c r="E31" s="31" t="s">
        <v>220</v>
      </c>
      <c r="F31" s="35">
        <v>8994.7000000000007</v>
      </c>
      <c r="G31" s="35">
        <v>8994.7000000000007</v>
      </c>
      <c r="H31" s="17">
        <f t="shared" ref="H31:H33" si="13">G31-F31</f>
        <v>0</v>
      </c>
      <c r="I31" s="33">
        <v>0</v>
      </c>
      <c r="J31" s="10">
        <f t="shared" si="10"/>
        <v>0</v>
      </c>
      <c r="K31" s="35">
        <v>8994.7000000000007</v>
      </c>
      <c r="L31" s="19">
        <f>K31-G31</f>
        <v>0</v>
      </c>
      <c r="M31" s="33">
        <v>0</v>
      </c>
      <c r="N31" s="28">
        <f t="shared" si="11"/>
        <v>0</v>
      </c>
      <c r="O31" s="18">
        <f t="shared" si="12"/>
        <v>0</v>
      </c>
      <c r="P31" s="22">
        <f t="shared" si="12"/>
        <v>0</v>
      </c>
      <c r="Q31" s="23">
        <f>IFERROR(P31/O31,0)</f>
        <v>0</v>
      </c>
      <c r="R31" s="77"/>
    </row>
    <row r="32" spans="1:23" ht="24.6" customHeight="1">
      <c r="A32" s="76">
        <v>4</v>
      </c>
      <c r="B32" s="31" t="s">
        <v>36</v>
      </c>
      <c r="C32" s="31" t="s">
        <v>202</v>
      </c>
      <c r="D32" s="31" t="s">
        <v>203</v>
      </c>
      <c r="E32" s="31" t="s">
        <v>219</v>
      </c>
      <c r="F32" s="35">
        <v>3505.8</v>
      </c>
      <c r="G32" s="35">
        <v>3505.8</v>
      </c>
      <c r="H32" s="17">
        <f t="shared" si="13"/>
        <v>0</v>
      </c>
      <c r="I32" s="33">
        <v>0</v>
      </c>
      <c r="J32" s="78">
        <f t="shared" si="10"/>
        <v>0</v>
      </c>
      <c r="K32" s="35">
        <v>3505.8</v>
      </c>
      <c r="L32" s="19">
        <f t="shared" ref="L32:L33" si="14">K32-G32</f>
        <v>0</v>
      </c>
      <c r="M32" s="33">
        <v>0</v>
      </c>
      <c r="N32" s="28">
        <f t="shared" si="11"/>
        <v>0</v>
      </c>
      <c r="O32" s="18">
        <f t="shared" si="12"/>
        <v>0</v>
      </c>
      <c r="P32" s="79">
        <f t="shared" si="12"/>
        <v>0</v>
      </c>
      <c r="Q32" s="23">
        <f>IFERROR(P32/O32,0)</f>
        <v>0</v>
      </c>
      <c r="R32" s="80"/>
    </row>
    <row r="33" spans="1:22" ht="24.6" customHeight="1">
      <c r="A33" s="76">
        <v>5</v>
      </c>
      <c r="B33" s="31" t="s">
        <v>37</v>
      </c>
      <c r="C33" s="31" t="s">
        <v>202</v>
      </c>
      <c r="D33" s="31" t="s">
        <v>203</v>
      </c>
      <c r="E33" s="31" t="s">
        <v>221</v>
      </c>
      <c r="F33" s="35">
        <v>841.1</v>
      </c>
      <c r="G33" s="35">
        <v>841.1</v>
      </c>
      <c r="H33" s="17">
        <f t="shared" si="13"/>
        <v>0</v>
      </c>
      <c r="I33" s="33">
        <v>0</v>
      </c>
      <c r="J33" s="78">
        <f t="shared" si="10"/>
        <v>0</v>
      </c>
      <c r="K33" s="35">
        <v>841.1</v>
      </c>
      <c r="L33" s="19">
        <f t="shared" si="14"/>
        <v>0</v>
      </c>
      <c r="M33" s="33">
        <v>0</v>
      </c>
      <c r="N33" s="28">
        <f t="shared" si="11"/>
        <v>0</v>
      </c>
      <c r="O33" s="18">
        <f t="shared" si="12"/>
        <v>0</v>
      </c>
      <c r="P33" s="79">
        <f t="shared" si="12"/>
        <v>0</v>
      </c>
      <c r="Q33" s="23">
        <f>IFERROR(P33/O33,0)</f>
        <v>0</v>
      </c>
      <c r="R33" s="80"/>
    </row>
    <row r="34" spans="1:22" ht="22.8" customHeight="1" thickBot="1">
      <c r="A34" s="238" t="s">
        <v>28</v>
      </c>
      <c r="B34" s="239"/>
      <c r="C34" s="180"/>
      <c r="D34" s="180"/>
      <c r="E34" s="180"/>
      <c r="F34" s="66"/>
      <c r="G34" s="66"/>
      <c r="H34" s="67">
        <f>SUM(H29:H33)</f>
        <v>0</v>
      </c>
      <c r="I34" s="67">
        <f>SUM(I29:I33)</f>
        <v>0</v>
      </c>
      <c r="J34" s="68"/>
      <c r="K34" s="68"/>
      <c r="L34" s="67">
        <f>SUM(L29:L33)</f>
        <v>0</v>
      </c>
      <c r="M34" s="67">
        <f>SUM(M29:M33)</f>
        <v>0</v>
      </c>
      <c r="N34" s="69">
        <f>SUM(N29:N33)</f>
        <v>0</v>
      </c>
      <c r="O34" s="70">
        <f>SUM(O29:O33)</f>
        <v>0</v>
      </c>
      <c r="P34" s="43">
        <f>SUM(P29:P33)</f>
        <v>0</v>
      </c>
      <c r="Q34" s="71">
        <f>IFERROR(P34/N34,0)</f>
        <v>0</v>
      </c>
      <c r="R34" s="37"/>
      <c r="S34" s="72"/>
      <c r="V34" s="51"/>
    </row>
    <row r="35" spans="1:22" ht="24" customHeight="1">
      <c r="A35" s="240" t="s">
        <v>38</v>
      </c>
      <c r="B35" s="241"/>
      <c r="C35" s="241"/>
      <c r="D35" s="241"/>
      <c r="E35" s="241"/>
      <c r="F35" s="241"/>
      <c r="G35" s="241"/>
      <c r="H35" s="241"/>
      <c r="I35" s="241"/>
      <c r="J35" s="241"/>
      <c r="K35" s="241"/>
      <c r="L35" s="241"/>
      <c r="M35" s="241"/>
      <c r="N35" s="241"/>
      <c r="O35" s="242"/>
      <c r="P35" s="46"/>
      <c r="Q35" s="47"/>
      <c r="R35" s="61"/>
      <c r="V35" s="51"/>
    </row>
    <row r="36" spans="1:22" ht="24" customHeight="1">
      <c r="A36" s="243" t="s">
        <v>3</v>
      </c>
      <c r="B36" s="243" t="s">
        <v>4</v>
      </c>
      <c r="C36" s="181"/>
      <c r="D36" s="181"/>
      <c r="E36" s="181"/>
      <c r="F36" s="213" t="s">
        <v>5</v>
      </c>
      <c r="G36" s="214"/>
      <c r="H36" s="214"/>
      <c r="I36" s="214"/>
      <c r="J36" s="215"/>
      <c r="K36" s="216" t="s">
        <v>6</v>
      </c>
      <c r="L36" s="217"/>
      <c r="M36" s="217"/>
      <c r="N36" s="218"/>
      <c r="O36" s="5"/>
      <c r="P36" s="221" t="s">
        <v>7</v>
      </c>
      <c r="Q36" s="222" t="s">
        <v>8</v>
      </c>
      <c r="R36" s="37"/>
    </row>
    <row r="37" spans="1:22" ht="24" customHeight="1">
      <c r="A37" s="244"/>
      <c r="B37" s="244"/>
      <c r="C37" s="183" t="s">
        <v>190</v>
      </c>
      <c r="D37" s="183" t="s">
        <v>191</v>
      </c>
      <c r="E37" s="183" t="s">
        <v>192</v>
      </c>
      <c r="F37" s="2" t="s">
        <v>11</v>
      </c>
      <c r="G37" s="2" t="s">
        <v>12</v>
      </c>
      <c r="H37" s="2" t="s">
        <v>13</v>
      </c>
      <c r="I37" s="2" t="s">
        <v>14</v>
      </c>
      <c r="J37" s="2" t="s">
        <v>8</v>
      </c>
      <c r="K37" s="2" t="s">
        <v>12</v>
      </c>
      <c r="L37" s="2" t="s">
        <v>13</v>
      </c>
      <c r="M37" s="2" t="s">
        <v>14</v>
      </c>
      <c r="N37" s="82" t="s">
        <v>8</v>
      </c>
      <c r="O37" s="12" t="s">
        <v>15</v>
      </c>
      <c r="P37" s="221"/>
      <c r="Q37" s="222"/>
      <c r="R37" s="37"/>
    </row>
    <row r="38" spans="1:22" ht="24" customHeight="1">
      <c r="A38" s="76">
        <v>1</v>
      </c>
      <c r="B38" s="31" t="s">
        <v>39</v>
      </c>
      <c r="C38" s="31" t="s">
        <v>204</v>
      </c>
      <c r="D38" s="31" t="s">
        <v>205</v>
      </c>
      <c r="E38" s="31" t="s">
        <v>206</v>
      </c>
      <c r="F38" s="83">
        <v>16663.599999999999</v>
      </c>
      <c r="G38" s="83">
        <v>16663.599999999999</v>
      </c>
      <c r="H38" s="35">
        <f>G38-F38</f>
        <v>0</v>
      </c>
      <c r="I38" s="33">
        <v>0</v>
      </c>
      <c r="J38" s="78">
        <f t="shared" ref="J38:J39" si="15">IFERROR(I38/H38,0)</f>
        <v>0</v>
      </c>
      <c r="K38" s="83">
        <v>16663.599999999999</v>
      </c>
      <c r="L38" s="56">
        <f>K38-G38</f>
        <v>0</v>
      </c>
      <c r="M38" s="33">
        <v>0</v>
      </c>
      <c r="N38" s="28">
        <f>IFERROR(M38/L38,0)</f>
        <v>0</v>
      </c>
      <c r="O38" s="84">
        <f t="shared" ref="O38:O39" si="16">H38+L38</f>
        <v>0</v>
      </c>
      <c r="P38" s="79">
        <f>I38+M38</f>
        <v>0</v>
      </c>
      <c r="Q38" s="34">
        <f>IFERROR(P38/O38,0)</f>
        <v>0</v>
      </c>
      <c r="R38" s="37"/>
    </row>
    <row r="39" spans="1:22" ht="27" customHeight="1">
      <c r="A39" s="76">
        <v>2</v>
      </c>
      <c r="B39" s="31" t="s">
        <v>40</v>
      </c>
      <c r="C39" s="31" t="s">
        <v>204</v>
      </c>
      <c r="D39" s="31" t="s">
        <v>197</v>
      </c>
      <c r="E39" s="31" t="s">
        <v>207</v>
      </c>
      <c r="F39" s="35">
        <v>4550.8</v>
      </c>
      <c r="G39" s="35">
        <v>4550.8</v>
      </c>
      <c r="H39" s="17">
        <f>G39-F39</f>
        <v>0</v>
      </c>
      <c r="I39" s="33">
        <v>0</v>
      </c>
      <c r="J39" s="10">
        <f t="shared" si="15"/>
        <v>0</v>
      </c>
      <c r="K39" s="35">
        <v>4550.8</v>
      </c>
      <c r="L39" s="19">
        <f>K39-G39</f>
        <v>0</v>
      </c>
      <c r="M39" s="33">
        <v>0</v>
      </c>
      <c r="N39" s="28">
        <f>IFERROR(M39/L39,0)</f>
        <v>0</v>
      </c>
      <c r="O39" s="18">
        <f t="shared" si="16"/>
        <v>0</v>
      </c>
      <c r="P39" s="22">
        <f>I39+M39</f>
        <v>0</v>
      </c>
      <c r="Q39" s="23">
        <f>IFERROR(P39/O39,0)</f>
        <v>0</v>
      </c>
      <c r="R39" s="37"/>
      <c r="V39" s="51"/>
    </row>
    <row r="40" spans="1:22" ht="22.8" customHeight="1" thickBot="1">
      <c r="A40" s="196" t="s">
        <v>28</v>
      </c>
      <c r="B40" s="233"/>
      <c r="C40" s="176"/>
      <c r="D40" s="176"/>
      <c r="E40" s="176"/>
      <c r="F40" s="68"/>
      <c r="G40" s="66"/>
      <c r="H40" s="67">
        <f>SUM(H38:H39)</f>
        <v>0</v>
      </c>
      <c r="I40" s="67">
        <f>SUM(I38:I39:I39)</f>
        <v>0</v>
      </c>
      <c r="J40" s="68"/>
      <c r="K40" s="68"/>
      <c r="L40" s="67">
        <f>SUM(L38:L39)</f>
        <v>0</v>
      </c>
      <c r="M40" s="67">
        <f>SUM(M38:M39)</f>
        <v>0</v>
      </c>
      <c r="N40" s="69">
        <f>SUM(N38:N39)</f>
        <v>0</v>
      </c>
      <c r="O40" s="70">
        <f>SUM(O38:O39)</f>
        <v>0</v>
      </c>
      <c r="P40" s="43">
        <f>SUM(P38:P39)</f>
        <v>0</v>
      </c>
      <c r="Q40" s="71">
        <f>IFERROR(P40/N40,0)</f>
        <v>0</v>
      </c>
      <c r="R40" s="37"/>
      <c r="S40" s="72"/>
      <c r="V40" s="51"/>
    </row>
    <row r="41" spans="1:22" ht="24" customHeight="1">
      <c r="A41" s="225" t="s">
        <v>41</v>
      </c>
      <c r="B41" s="226"/>
      <c r="C41" s="226"/>
      <c r="D41" s="226"/>
      <c r="E41" s="226"/>
      <c r="F41" s="226"/>
      <c r="G41" s="226"/>
      <c r="H41" s="226"/>
      <c r="I41" s="226"/>
      <c r="J41" s="226"/>
      <c r="K41" s="226"/>
      <c r="L41" s="226"/>
      <c r="M41" s="226"/>
      <c r="N41" s="226"/>
      <c r="O41" s="226"/>
      <c r="P41" s="46"/>
      <c r="Q41" s="47"/>
      <c r="R41" s="61"/>
    </row>
    <row r="42" spans="1:22" ht="24" customHeight="1">
      <c r="A42" s="222" t="s">
        <v>3</v>
      </c>
      <c r="B42" s="222" t="s">
        <v>4</v>
      </c>
      <c r="C42" s="5"/>
      <c r="D42" s="5"/>
      <c r="E42" s="5"/>
      <c r="F42" s="234" t="s">
        <v>5</v>
      </c>
      <c r="G42" s="234"/>
      <c r="H42" s="234"/>
      <c r="I42" s="234"/>
      <c r="J42" s="234"/>
      <c r="K42" s="235" t="s">
        <v>6</v>
      </c>
      <c r="L42" s="235"/>
      <c r="M42" s="235"/>
      <c r="N42" s="235"/>
      <c r="O42" s="5"/>
      <c r="P42" s="221" t="s">
        <v>7</v>
      </c>
      <c r="Q42" s="222" t="s">
        <v>8</v>
      </c>
      <c r="R42" s="37"/>
    </row>
    <row r="43" spans="1:22" ht="25.8" customHeight="1">
      <c r="A43" s="222"/>
      <c r="B43" s="222"/>
      <c r="C43" s="183" t="s">
        <v>190</v>
      </c>
      <c r="D43" s="183" t="s">
        <v>191</v>
      </c>
      <c r="E43" s="183" t="s">
        <v>192</v>
      </c>
      <c r="F43" s="2" t="s">
        <v>11</v>
      </c>
      <c r="G43" s="2" t="s">
        <v>12</v>
      </c>
      <c r="H43" s="2" t="s">
        <v>13</v>
      </c>
      <c r="I43" s="2" t="s">
        <v>14</v>
      </c>
      <c r="J43" s="2" t="s">
        <v>8</v>
      </c>
      <c r="K43" s="2" t="s">
        <v>12</v>
      </c>
      <c r="L43" s="2" t="s">
        <v>13</v>
      </c>
      <c r="M43" s="2" t="s">
        <v>14</v>
      </c>
      <c r="N43" s="82" t="s">
        <v>8</v>
      </c>
      <c r="O43" s="12" t="s">
        <v>15</v>
      </c>
      <c r="P43" s="221"/>
      <c r="Q43" s="222"/>
      <c r="R43" s="37"/>
    </row>
    <row r="44" spans="1:22" ht="25.8" customHeight="1">
      <c r="A44" s="5">
        <v>1</v>
      </c>
      <c r="B44" s="85" t="s">
        <v>186</v>
      </c>
      <c r="C44" s="85" t="s">
        <v>208</v>
      </c>
      <c r="D44" s="85" t="s">
        <v>197</v>
      </c>
      <c r="E44" s="178" t="s">
        <v>209</v>
      </c>
      <c r="F44" s="2">
        <v>0</v>
      </c>
      <c r="G44" s="2">
        <v>0</v>
      </c>
      <c r="H44" s="20">
        <f>G44-F44</f>
        <v>0</v>
      </c>
      <c r="I44" s="2">
        <v>0</v>
      </c>
      <c r="J44" s="10">
        <f t="shared" ref="J44:J46" si="17">IFERROR(I44/H44,0)</f>
        <v>0</v>
      </c>
      <c r="K44" s="2">
        <v>0</v>
      </c>
      <c r="L44" s="86">
        <f>K44-G44</f>
        <v>0</v>
      </c>
      <c r="M44" s="2">
        <v>0</v>
      </c>
      <c r="N44" s="28">
        <f>IFERROR(M44/L44,0)</f>
        <v>0</v>
      </c>
      <c r="O44" s="18">
        <f>H44+L44</f>
        <v>0</v>
      </c>
      <c r="P44" s="22">
        <f>I44+M44</f>
        <v>0</v>
      </c>
      <c r="Q44" s="23">
        <f>IFERROR(P44/O44,0)</f>
        <v>0</v>
      </c>
      <c r="R44" s="37"/>
    </row>
    <row r="45" spans="1:22" ht="24.6" customHeight="1">
      <c r="A45" s="76">
        <v>2</v>
      </c>
      <c r="B45" s="85" t="s">
        <v>42</v>
      </c>
      <c r="C45" s="85" t="s">
        <v>208</v>
      </c>
      <c r="D45" s="85" t="s">
        <v>197</v>
      </c>
      <c r="E45" s="178" t="s">
        <v>209</v>
      </c>
      <c r="F45" s="33">
        <v>8726.9</v>
      </c>
      <c r="G45" s="33">
        <v>8726.9</v>
      </c>
      <c r="H45" s="20">
        <f>G45-F45</f>
        <v>0</v>
      </c>
      <c r="I45" s="33">
        <v>0</v>
      </c>
      <c r="J45" s="10">
        <f t="shared" si="17"/>
        <v>0</v>
      </c>
      <c r="K45" s="33">
        <v>8726.9</v>
      </c>
      <c r="L45" s="86">
        <f>K45-G45</f>
        <v>0</v>
      </c>
      <c r="M45" s="2">
        <v>0</v>
      </c>
      <c r="N45" s="28">
        <f>IFERROR(M45/L45,0)</f>
        <v>0</v>
      </c>
      <c r="O45" s="18">
        <f>H45+L45</f>
        <v>0</v>
      </c>
      <c r="P45" s="22">
        <f>I45+M45</f>
        <v>0</v>
      </c>
      <c r="Q45" s="23">
        <f>IFERROR(P45/O45,0)</f>
        <v>0</v>
      </c>
      <c r="R45" s="87"/>
      <c r="V45" s="51"/>
    </row>
    <row r="46" spans="1:22" ht="22.8" customHeight="1">
      <c r="A46" s="76">
        <v>3</v>
      </c>
      <c r="B46" s="85" t="s">
        <v>43</v>
      </c>
      <c r="C46" s="85" t="s">
        <v>208</v>
      </c>
      <c r="D46" s="85" t="s">
        <v>197</v>
      </c>
      <c r="E46" s="178" t="s">
        <v>209</v>
      </c>
      <c r="F46" s="33">
        <v>1686</v>
      </c>
      <c r="G46" s="33">
        <v>1686</v>
      </c>
      <c r="H46" s="20">
        <f>G46-F46</f>
        <v>0</v>
      </c>
      <c r="I46" s="33">
        <v>0</v>
      </c>
      <c r="J46" s="10">
        <f t="shared" si="17"/>
        <v>0</v>
      </c>
      <c r="K46" s="33">
        <v>1686</v>
      </c>
      <c r="L46" s="86">
        <f>K46-G46</f>
        <v>0</v>
      </c>
      <c r="M46" s="2">
        <v>0</v>
      </c>
      <c r="N46" s="28">
        <f>IFERROR(M46/L46,0)</f>
        <v>0</v>
      </c>
      <c r="O46" s="18">
        <f>H46+L46</f>
        <v>0</v>
      </c>
      <c r="P46" s="22">
        <f t="shared" ref="P46" si="18">I46+M46</f>
        <v>0</v>
      </c>
      <c r="Q46" s="23">
        <f>IFERROR(P46/O46,0)</f>
        <v>0</v>
      </c>
      <c r="R46" s="87"/>
      <c r="S46" s="88"/>
      <c r="T46" s="89"/>
    </row>
    <row r="47" spans="1:22" ht="24" customHeight="1" thickBot="1">
      <c r="A47" s="223" t="s">
        <v>28</v>
      </c>
      <c r="B47" s="224"/>
      <c r="C47" s="177"/>
      <c r="D47" s="177"/>
      <c r="E47" s="177"/>
      <c r="F47" s="90"/>
      <c r="G47" s="90"/>
      <c r="H47" s="91">
        <f>SUM(H45:H46)</f>
        <v>0</v>
      </c>
      <c r="I47" s="91">
        <f>SUM(I45:I46)</f>
        <v>0</v>
      </c>
      <c r="J47" s="92"/>
      <c r="K47" s="92"/>
      <c r="L47" s="91">
        <f>SUM(L44:L46)</f>
        <v>0</v>
      </c>
      <c r="M47" s="91">
        <f>SUM(M44:M46)</f>
        <v>0</v>
      </c>
      <c r="N47" s="93">
        <f>SUM(N44:N46)</f>
        <v>0</v>
      </c>
      <c r="O47" s="94">
        <f>SUM(O44:O46)</f>
        <v>0</v>
      </c>
      <c r="P47" s="95">
        <f>SUM(P44:P46)</f>
        <v>0</v>
      </c>
      <c r="Q47" s="96" t="e">
        <f>P47/O47</f>
        <v>#DIV/0!</v>
      </c>
      <c r="R47" s="37"/>
      <c r="S47" s="97"/>
      <c r="T47" s="89"/>
    </row>
    <row r="48" spans="1:22" ht="24" customHeight="1">
      <c r="A48" s="225" t="s">
        <v>44</v>
      </c>
      <c r="B48" s="226"/>
      <c r="C48" s="226"/>
      <c r="D48" s="226"/>
      <c r="E48" s="226"/>
      <c r="F48" s="226"/>
      <c r="G48" s="226"/>
      <c r="H48" s="226"/>
      <c r="I48" s="226"/>
      <c r="J48" s="226"/>
      <c r="K48" s="226"/>
      <c r="L48" s="226"/>
      <c r="M48" s="226"/>
      <c r="N48" s="226"/>
      <c r="O48" s="226"/>
      <c r="P48" s="98"/>
      <c r="Q48" s="99"/>
      <c r="R48" s="37"/>
      <c r="S48" s="100"/>
      <c r="T48" s="100"/>
    </row>
    <row r="49" spans="1:30" ht="24" customHeight="1">
      <c r="A49" s="222" t="s">
        <v>3</v>
      </c>
      <c r="B49" s="222" t="s">
        <v>4</v>
      </c>
      <c r="C49" s="182"/>
      <c r="D49" s="182"/>
      <c r="E49" s="182"/>
      <c r="F49" s="227" t="s">
        <v>5</v>
      </c>
      <c r="G49" s="228"/>
      <c r="H49" s="228"/>
      <c r="I49" s="228"/>
      <c r="J49" s="228"/>
      <c r="K49" s="229"/>
      <c r="L49" s="230" t="s">
        <v>6</v>
      </c>
      <c r="M49" s="231"/>
      <c r="N49" s="231"/>
      <c r="O49" s="231"/>
      <c r="P49" s="231"/>
      <c r="Q49" s="232"/>
      <c r="R49" s="201" t="s">
        <v>45</v>
      </c>
      <c r="S49" s="203" t="s">
        <v>46</v>
      </c>
      <c r="T49" s="203" t="s">
        <v>47</v>
      </c>
      <c r="U49" s="205" t="s">
        <v>48</v>
      </c>
      <c r="AC49" s="101"/>
    </row>
    <row r="50" spans="1:30" ht="33" customHeight="1">
      <c r="A50" s="222"/>
      <c r="B50" s="222"/>
      <c r="C50" s="183" t="s">
        <v>190</v>
      </c>
      <c r="D50" s="183" t="s">
        <v>191</v>
      </c>
      <c r="E50" s="183" t="s">
        <v>192</v>
      </c>
      <c r="F50" s="2" t="s">
        <v>49</v>
      </c>
      <c r="G50" s="2" t="s">
        <v>50</v>
      </c>
      <c r="H50" s="2" t="s">
        <v>51</v>
      </c>
      <c r="I50" s="102" t="s">
        <v>11</v>
      </c>
      <c r="J50" s="2" t="s">
        <v>14</v>
      </c>
      <c r="K50" s="2" t="s">
        <v>8</v>
      </c>
      <c r="L50" s="2" t="s">
        <v>50</v>
      </c>
      <c r="M50" s="2" t="s">
        <v>45</v>
      </c>
      <c r="N50" s="102" t="s">
        <v>12</v>
      </c>
      <c r="O50" s="102" t="s">
        <v>15</v>
      </c>
      <c r="P50" s="2" t="s">
        <v>14</v>
      </c>
      <c r="Q50" s="82" t="s">
        <v>8</v>
      </c>
      <c r="R50" s="202"/>
      <c r="S50" s="204"/>
      <c r="T50" s="204"/>
      <c r="U50" s="205"/>
    </row>
    <row r="51" spans="1:30" ht="21" customHeight="1">
      <c r="A51" s="81">
        <v>1</v>
      </c>
      <c r="B51" s="103" t="s">
        <v>52</v>
      </c>
      <c r="C51" s="103" t="s">
        <v>210</v>
      </c>
      <c r="D51" s="103" t="s">
        <v>194</v>
      </c>
      <c r="E51" s="178" t="s">
        <v>211</v>
      </c>
      <c r="F51" s="2">
        <v>279975.59999999998</v>
      </c>
      <c r="G51" s="2">
        <v>279975.59999999998</v>
      </c>
      <c r="H51" s="104">
        <f t="shared" ref="H51:H116" si="19">G51-F51</f>
        <v>0</v>
      </c>
      <c r="I51" s="105">
        <v>22177.02</v>
      </c>
      <c r="J51" s="49">
        <v>0</v>
      </c>
      <c r="K51" s="10">
        <f t="shared" ref="K51:K116" si="20">IFERROR(H51/J51,0)</f>
        <v>0</v>
      </c>
      <c r="L51" s="2">
        <v>279975.59999999998</v>
      </c>
      <c r="M51" s="106">
        <f t="shared" ref="M51:M116" si="21">L51-G51</f>
        <v>0</v>
      </c>
      <c r="N51" s="105">
        <v>22177.02</v>
      </c>
      <c r="O51" s="107">
        <f t="shared" ref="O51:O116" si="22">N51-I51</f>
        <v>0</v>
      </c>
      <c r="P51" s="2">
        <v>0</v>
      </c>
      <c r="Q51" s="28">
        <f t="shared" ref="Q51:Q116" si="23">IFERROR(M51/P51,0)</f>
        <v>0</v>
      </c>
      <c r="R51" s="84">
        <f t="shared" ref="R51:R116" si="24">M51+H51</f>
        <v>0</v>
      </c>
      <c r="S51" s="79">
        <f t="shared" ref="S51:S116" si="25">J51+P51</f>
        <v>0</v>
      </c>
      <c r="T51" s="34">
        <f t="shared" ref="T51:T116" si="26">IFERROR(R51/S51,0)</f>
        <v>0</v>
      </c>
      <c r="U51" s="108">
        <v>28</v>
      </c>
    </row>
    <row r="52" spans="1:30" ht="21" customHeight="1">
      <c r="A52" s="81">
        <v>2</v>
      </c>
      <c r="B52" s="103" t="s">
        <v>155</v>
      </c>
      <c r="C52" s="103" t="s">
        <v>210</v>
      </c>
      <c r="D52" s="103" t="s">
        <v>194</v>
      </c>
      <c r="E52" s="178" t="s">
        <v>223</v>
      </c>
      <c r="F52" s="2">
        <v>303038</v>
      </c>
      <c r="G52" s="2">
        <v>303038</v>
      </c>
      <c r="H52" s="104">
        <f t="shared" si="19"/>
        <v>0</v>
      </c>
      <c r="I52" s="105">
        <v>30635</v>
      </c>
      <c r="J52" s="49">
        <v>0</v>
      </c>
      <c r="K52" s="10">
        <f t="shared" si="20"/>
        <v>0</v>
      </c>
      <c r="L52" s="2">
        <v>303038</v>
      </c>
      <c r="M52" s="106">
        <f t="shared" si="21"/>
        <v>0</v>
      </c>
      <c r="N52" s="105">
        <v>30635</v>
      </c>
      <c r="O52" s="107">
        <f t="shared" si="22"/>
        <v>0</v>
      </c>
      <c r="P52" s="2">
        <v>0</v>
      </c>
      <c r="Q52" s="28">
        <f t="shared" si="23"/>
        <v>0</v>
      </c>
      <c r="R52" s="84">
        <f t="shared" si="24"/>
        <v>0</v>
      </c>
      <c r="S52" s="79">
        <f t="shared" si="25"/>
        <v>0</v>
      </c>
      <c r="T52" s="34">
        <f t="shared" si="26"/>
        <v>0</v>
      </c>
      <c r="U52" s="108">
        <v>44</v>
      </c>
    </row>
    <row r="53" spans="1:30" ht="21" customHeight="1">
      <c r="A53" s="81">
        <v>3</v>
      </c>
      <c r="B53" s="103" t="s">
        <v>171</v>
      </c>
      <c r="C53" s="103" t="s">
        <v>210</v>
      </c>
      <c r="D53" s="103" t="s">
        <v>194</v>
      </c>
      <c r="E53" s="178" t="s">
        <v>223</v>
      </c>
      <c r="F53" s="2">
        <v>312059</v>
      </c>
      <c r="G53" s="2">
        <v>312059</v>
      </c>
      <c r="H53" s="104">
        <f t="shared" si="19"/>
        <v>0</v>
      </c>
      <c r="I53" s="105">
        <v>31170</v>
      </c>
      <c r="J53" s="49">
        <v>0</v>
      </c>
      <c r="K53" s="10">
        <f t="shared" si="20"/>
        <v>0</v>
      </c>
      <c r="L53" s="2">
        <v>312059</v>
      </c>
      <c r="M53" s="106">
        <f t="shared" si="21"/>
        <v>0</v>
      </c>
      <c r="N53" s="105">
        <v>31170</v>
      </c>
      <c r="O53" s="107">
        <f t="shared" si="22"/>
        <v>0</v>
      </c>
      <c r="P53" s="2">
        <v>0</v>
      </c>
      <c r="Q53" s="28">
        <f t="shared" si="23"/>
        <v>0</v>
      </c>
      <c r="R53" s="84">
        <f t="shared" si="24"/>
        <v>0</v>
      </c>
      <c r="S53" s="79">
        <f t="shared" si="25"/>
        <v>0</v>
      </c>
      <c r="T53" s="34">
        <f t="shared" si="26"/>
        <v>0</v>
      </c>
      <c r="U53" s="108">
        <v>31</v>
      </c>
    </row>
    <row r="54" spans="1:30" ht="21" customHeight="1">
      <c r="A54" s="81">
        <v>4</v>
      </c>
      <c r="B54" s="103" t="s">
        <v>156</v>
      </c>
      <c r="C54" s="103" t="s">
        <v>210</v>
      </c>
      <c r="D54" s="103" t="s">
        <v>194</v>
      </c>
      <c r="E54" s="178" t="s">
        <v>223</v>
      </c>
      <c r="F54" s="2">
        <v>263031</v>
      </c>
      <c r="G54" s="2">
        <v>263031</v>
      </c>
      <c r="H54" s="104">
        <f t="shared" si="19"/>
        <v>0</v>
      </c>
      <c r="I54" s="105">
        <v>27867</v>
      </c>
      <c r="J54" s="49">
        <v>0</v>
      </c>
      <c r="K54" s="10">
        <f t="shared" si="20"/>
        <v>0</v>
      </c>
      <c r="L54" s="2">
        <v>263031</v>
      </c>
      <c r="M54" s="106">
        <f t="shared" si="21"/>
        <v>0</v>
      </c>
      <c r="N54" s="105">
        <v>27867</v>
      </c>
      <c r="O54" s="107">
        <f t="shared" si="22"/>
        <v>0</v>
      </c>
      <c r="P54" s="2">
        <v>0</v>
      </c>
      <c r="Q54" s="28">
        <f t="shared" si="23"/>
        <v>0</v>
      </c>
      <c r="R54" s="84">
        <f t="shared" si="24"/>
        <v>0</v>
      </c>
      <c r="S54" s="79">
        <f t="shared" si="25"/>
        <v>0</v>
      </c>
      <c r="T54" s="34">
        <f t="shared" si="26"/>
        <v>0</v>
      </c>
      <c r="U54" s="108">
        <v>35</v>
      </c>
    </row>
    <row r="55" spans="1:30" ht="21" customHeight="1">
      <c r="A55" s="81">
        <v>5</v>
      </c>
      <c r="B55" s="103" t="s">
        <v>157</v>
      </c>
      <c r="C55" s="103" t="s">
        <v>210</v>
      </c>
      <c r="D55" s="103" t="s">
        <v>194</v>
      </c>
      <c r="E55" s="178" t="s">
        <v>223</v>
      </c>
      <c r="F55" s="2">
        <v>278101</v>
      </c>
      <c r="G55" s="2">
        <v>278101</v>
      </c>
      <c r="H55" s="104">
        <f t="shared" si="19"/>
        <v>0</v>
      </c>
      <c r="I55" s="105">
        <v>28190</v>
      </c>
      <c r="J55" s="49">
        <v>0</v>
      </c>
      <c r="K55" s="10">
        <f t="shared" si="20"/>
        <v>0</v>
      </c>
      <c r="L55" s="2">
        <v>278101</v>
      </c>
      <c r="M55" s="106">
        <f t="shared" si="21"/>
        <v>0</v>
      </c>
      <c r="N55" s="105">
        <v>28190</v>
      </c>
      <c r="O55" s="107">
        <f t="shared" si="22"/>
        <v>0</v>
      </c>
      <c r="P55" s="2">
        <v>0</v>
      </c>
      <c r="Q55" s="28">
        <f t="shared" si="23"/>
        <v>0</v>
      </c>
      <c r="R55" s="84">
        <f t="shared" si="24"/>
        <v>0</v>
      </c>
      <c r="S55" s="79">
        <f t="shared" si="25"/>
        <v>0</v>
      </c>
      <c r="T55" s="34">
        <f t="shared" si="26"/>
        <v>0</v>
      </c>
      <c r="U55" s="108">
        <v>29</v>
      </c>
    </row>
    <row r="56" spans="1:30" ht="21" customHeight="1">
      <c r="A56" s="81">
        <v>6</v>
      </c>
      <c r="B56" s="103" t="s">
        <v>172</v>
      </c>
      <c r="C56" s="103" t="s">
        <v>210</v>
      </c>
      <c r="D56" s="103" t="s">
        <v>194</v>
      </c>
      <c r="E56" s="178" t="s">
        <v>223</v>
      </c>
      <c r="F56" s="2">
        <v>267330</v>
      </c>
      <c r="G56" s="2">
        <v>267330</v>
      </c>
      <c r="H56" s="104">
        <f t="shared" si="19"/>
        <v>0</v>
      </c>
      <c r="I56" s="105">
        <v>26455</v>
      </c>
      <c r="J56" s="49">
        <v>0</v>
      </c>
      <c r="K56" s="10">
        <f t="shared" si="20"/>
        <v>0</v>
      </c>
      <c r="L56" s="2">
        <v>267330</v>
      </c>
      <c r="M56" s="106">
        <f t="shared" si="21"/>
        <v>0</v>
      </c>
      <c r="N56" s="105">
        <v>26455</v>
      </c>
      <c r="O56" s="107">
        <f t="shared" si="22"/>
        <v>0</v>
      </c>
      <c r="P56" s="2">
        <v>0</v>
      </c>
      <c r="Q56" s="28">
        <f t="shared" si="23"/>
        <v>0</v>
      </c>
      <c r="R56" s="84">
        <f t="shared" si="24"/>
        <v>0</v>
      </c>
      <c r="S56" s="79">
        <f t="shared" si="25"/>
        <v>0</v>
      </c>
      <c r="T56" s="34">
        <f t="shared" si="26"/>
        <v>0</v>
      </c>
      <c r="U56" s="108">
        <v>11</v>
      </c>
    </row>
    <row r="57" spans="1:30" ht="21" customHeight="1">
      <c r="A57" s="81">
        <v>7</v>
      </c>
      <c r="B57" s="103" t="s">
        <v>173</v>
      </c>
      <c r="C57" s="103" t="s">
        <v>210</v>
      </c>
      <c r="D57" s="103" t="s">
        <v>194</v>
      </c>
      <c r="E57" s="178" t="s">
        <v>223</v>
      </c>
      <c r="F57" s="2">
        <v>295972</v>
      </c>
      <c r="G57" s="2">
        <v>295972</v>
      </c>
      <c r="H57" s="104">
        <f t="shared" si="19"/>
        <v>0</v>
      </c>
      <c r="I57" s="105">
        <v>28802</v>
      </c>
      <c r="J57" s="49">
        <v>0</v>
      </c>
      <c r="K57" s="10">
        <f t="shared" si="20"/>
        <v>0</v>
      </c>
      <c r="L57" s="2">
        <v>295972</v>
      </c>
      <c r="M57" s="106">
        <f t="shared" si="21"/>
        <v>0</v>
      </c>
      <c r="N57" s="105">
        <v>28802</v>
      </c>
      <c r="O57" s="107">
        <f t="shared" si="22"/>
        <v>0</v>
      </c>
      <c r="P57" s="2">
        <v>0</v>
      </c>
      <c r="Q57" s="28">
        <f t="shared" si="23"/>
        <v>0</v>
      </c>
      <c r="R57" s="84">
        <f t="shared" si="24"/>
        <v>0</v>
      </c>
      <c r="S57" s="79">
        <f t="shared" si="25"/>
        <v>0</v>
      </c>
      <c r="T57" s="34">
        <f t="shared" si="26"/>
        <v>0</v>
      </c>
      <c r="U57" s="108">
        <v>0</v>
      </c>
    </row>
    <row r="58" spans="1:30" ht="24" customHeight="1">
      <c r="A58" s="81">
        <v>8</v>
      </c>
      <c r="B58" s="31" t="s">
        <v>53</v>
      </c>
      <c r="C58" s="103" t="s">
        <v>210</v>
      </c>
      <c r="D58" s="103" t="s">
        <v>194</v>
      </c>
      <c r="E58" s="178" t="s">
        <v>211</v>
      </c>
      <c r="F58" s="35">
        <v>335472.09999999998</v>
      </c>
      <c r="G58" s="35">
        <v>335472.09999999998</v>
      </c>
      <c r="H58" s="104">
        <f t="shared" si="19"/>
        <v>0</v>
      </c>
      <c r="I58" s="110">
        <v>29974.18</v>
      </c>
      <c r="J58" s="111">
        <v>0</v>
      </c>
      <c r="K58" s="10">
        <f t="shared" si="20"/>
        <v>0</v>
      </c>
      <c r="L58" s="35">
        <v>335472.09999999998</v>
      </c>
      <c r="M58" s="106">
        <f t="shared" si="21"/>
        <v>0</v>
      </c>
      <c r="N58" s="110">
        <v>29974.18</v>
      </c>
      <c r="O58" s="107">
        <f t="shared" si="22"/>
        <v>0</v>
      </c>
      <c r="P58" s="112">
        <v>0</v>
      </c>
      <c r="Q58" s="28">
        <f t="shared" si="23"/>
        <v>0</v>
      </c>
      <c r="R58" s="84">
        <f t="shared" si="24"/>
        <v>0</v>
      </c>
      <c r="S58" s="79">
        <f t="shared" si="25"/>
        <v>0</v>
      </c>
      <c r="T58" s="34">
        <f t="shared" si="26"/>
        <v>0</v>
      </c>
      <c r="U58" s="1">
        <v>38</v>
      </c>
    </row>
    <row r="59" spans="1:30" ht="24" customHeight="1">
      <c r="A59" s="81">
        <v>9</v>
      </c>
      <c r="B59" s="31" t="s">
        <v>54</v>
      </c>
      <c r="C59" s="103" t="s">
        <v>210</v>
      </c>
      <c r="D59" s="103" t="s">
        <v>194</v>
      </c>
      <c r="E59" s="178" t="s">
        <v>211</v>
      </c>
      <c r="F59" s="104">
        <v>294295</v>
      </c>
      <c r="G59" s="104">
        <v>294295</v>
      </c>
      <c r="H59" s="104">
        <f t="shared" si="19"/>
        <v>0</v>
      </c>
      <c r="I59" s="110">
        <v>28202.11</v>
      </c>
      <c r="J59" s="111">
        <v>0</v>
      </c>
      <c r="K59" s="10">
        <f t="shared" si="20"/>
        <v>0</v>
      </c>
      <c r="L59" s="104">
        <v>294295</v>
      </c>
      <c r="M59" s="106">
        <f>L59-G59</f>
        <v>0</v>
      </c>
      <c r="N59" s="110">
        <v>28202.11</v>
      </c>
      <c r="O59" s="107">
        <f t="shared" si="22"/>
        <v>0</v>
      </c>
      <c r="P59" s="111">
        <v>0</v>
      </c>
      <c r="Q59" s="28">
        <f t="shared" si="23"/>
        <v>0</v>
      </c>
      <c r="R59" s="84">
        <f t="shared" si="24"/>
        <v>0</v>
      </c>
      <c r="S59" s="79">
        <f t="shared" si="25"/>
        <v>0</v>
      </c>
      <c r="T59" s="34">
        <f t="shared" si="26"/>
        <v>0</v>
      </c>
      <c r="U59" s="1">
        <v>39</v>
      </c>
      <c r="AD59" s="101"/>
    </row>
    <row r="60" spans="1:30" ht="24" customHeight="1">
      <c r="A60" s="81">
        <v>10</v>
      </c>
      <c r="B60" s="31" t="s">
        <v>55</v>
      </c>
      <c r="C60" s="103" t="s">
        <v>210</v>
      </c>
      <c r="D60" s="103" t="s">
        <v>194</v>
      </c>
      <c r="E60" s="178" t="s">
        <v>211</v>
      </c>
      <c r="F60" s="104">
        <v>298966.09999999998</v>
      </c>
      <c r="G60" s="104">
        <v>298966.09999999998</v>
      </c>
      <c r="H60" s="104">
        <f t="shared" si="19"/>
        <v>0</v>
      </c>
      <c r="I60" s="110">
        <v>27108.58</v>
      </c>
      <c r="J60" s="111">
        <v>0</v>
      </c>
      <c r="K60" s="10">
        <f t="shared" si="20"/>
        <v>0</v>
      </c>
      <c r="L60" s="104">
        <v>298966.09999999998</v>
      </c>
      <c r="M60" s="106">
        <f>L60-G60</f>
        <v>0</v>
      </c>
      <c r="N60" s="110">
        <v>27108.58</v>
      </c>
      <c r="O60" s="107">
        <f t="shared" si="22"/>
        <v>0</v>
      </c>
      <c r="P60" s="111">
        <v>0</v>
      </c>
      <c r="Q60" s="28">
        <f t="shared" si="23"/>
        <v>0</v>
      </c>
      <c r="R60" s="84">
        <f t="shared" si="24"/>
        <v>0</v>
      </c>
      <c r="S60" s="79">
        <f t="shared" si="25"/>
        <v>0</v>
      </c>
      <c r="T60" s="34">
        <f t="shared" si="26"/>
        <v>0</v>
      </c>
      <c r="U60" s="1">
        <v>0</v>
      </c>
      <c r="AD60" s="101"/>
    </row>
    <row r="61" spans="1:30" ht="24" customHeight="1">
      <c r="A61" s="81">
        <v>11</v>
      </c>
      <c r="B61" s="31" t="s">
        <v>56</v>
      </c>
      <c r="C61" s="103" t="s">
        <v>210</v>
      </c>
      <c r="D61" s="103" t="s">
        <v>194</v>
      </c>
      <c r="E61" s="178" t="s">
        <v>211</v>
      </c>
      <c r="F61" s="104">
        <v>341845</v>
      </c>
      <c r="G61" s="104">
        <v>341845</v>
      </c>
      <c r="H61" s="104">
        <f t="shared" si="19"/>
        <v>0</v>
      </c>
      <c r="I61" s="110">
        <v>27024.46</v>
      </c>
      <c r="J61" s="111">
        <v>0</v>
      </c>
      <c r="K61" s="10">
        <f t="shared" si="20"/>
        <v>0</v>
      </c>
      <c r="L61" s="104">
        <v>341845</v>
      </c>
      <c r="M61" s="106">
        <f>L61-G61</f>
        <v>0</v>
      </c>
      <c r="N61" s="110">
        <v>27024.46</v>
      </c>
      <c r="O61" s="107">
        <f t="shared" si="22"/>
        <v>0</v>
      </c>
      <c r="P61" s="111">
        <v>0</v>
      </c>
      <c r="Q61" s="28">
        <f t="shared" si="23"/>
        <v>0</v>
      </c>
      <c r="R61" s="84">
        <f t="shared" si="24"/>
        <v>0</v>
      </c>
      <c r="S61" s="79">
        <f t="shared" si="25"/>
        <v>0</v>
      </c>
      <c r="T61" s="34">
        <f t="shared" si="26"/>
        <v>0</v>
      </c>
      <c r="U61" s="1">
        <v>17</v>
      </c>
      <c r="AD61" s="101"/>
    </row>
    <row r="62" spans="1:30" ht="24" customHeight="1">
      <c r="A62" s="81">
        <v>12</v>
      </c>
      <c r="B62" s="31" t="s">
        <v>57</v>
      </c>
      <c r="C62" s="103" t="s">
        <v>210</v>
      </c>
      <c r="D62" s="103" t="s">
        <v>194</v>
      </c>
      <c r="E62" s="178" t="s">
        <v>211</v>
      </c>
      <c r="F62" s="104">
        <v>344876.4</v>
      </c>
      <c r="G62" s="104">
        <v>344876.4</v>
      </c>
      <c r="H62" s="104">
        <f t="shared" si="19"/>
        <v>0</v>
      </c>
      <c r="I62" s="110">
        <v>26835.33</v>
      </c>
      <c r="J62" s="111">
        <v>0</v>
      </c>
      <c r="K62" s="10">
        <f t="shared" si="20"/>
        <v>0</v>
      </c>
      <c r="L62" s="104">
        <v>344876.4</v>
      </c>
      <c r="M62" s="106">
        <f>L62-G62</f>
        <v>0</v>
      </c>
      <c r="N62" s="110">
        <v>26835.33</v>
      </c>
      <c r="O62" s="107">
        <f t="shared" si="22"/>
        <v>0</v>
      </c>
      <c r="P62" s="111">
        <v>0</v>
      </c>
      <c r="Q62" s="28">
        <f t="shared" si="23"/>
        <v>0</v>
      </c>
      <c r="R62" s="84">
        <f t="shared" si="24"/>
        <v>0</v>
      </c>
      <c r="S62" s="79">
        <f t="shared" si="25"/>
        <v>0</v>
      </c>
      <c r="T62" s="34">
        <f t="shared" si="26"/>
        <v>0</v>
      </c>
      <c r="U62" s="1">
        <v>8</v>
      </c>
      <c r="AD62" s="101"/>
    </row>
    <row r="63" spans="1:30" ht="24" customHeight="1">
      <c r="A63" s="81">
        <v>13</v>
      </c>
      <c r="B63" s="31" t="s">
        <v>58</v>
      </c>
      <c r="C63" s="103" t="s">
        <v>210</v>
      </c>
      <c r="D63" s="103" t="s">
        <v>194</v>
      </c>
      <c r="E63" s="178" t="s">
        <v>211</v>
      </c>
      <c r="F63" s="35">
        <v>301656.7</v>
      </c>
      <c r="G63" s="35">
        <v>301656.7</v>
      </c>
      <c r="H63" s="104">
        <f t="shared" si="19"/>
        <v>0</v>
      </c>
      <c r="I63" s="110">
        <v>26829.040000000001</v>
      </c>
      <c r="J63" s="111">
        <v>0</v>
      </c>
      <c r="K63" s="10">
        <f t="shared" si="20"/>
        <v>0</v>
      </c>
      <c r="L63" s="35">
        <v>301656.7</v>
      </c>
      <c r="M63" s="106">
        <f t="shared" si="21"/>
        <v>0</v>
      </c>
      <c r="N63" s="110">
        <v>26829.040000000001</v>
      </c>
      <c r="O63" s="107">
        <f t="shared" si="22"/>
        <v>0</v>
      </c>
      <c r="P63" s="112">
        <v>0</v>
      </c>
      <c r="Q63" s="28">
        <f>IFERROR(M63/P63,0)</f>
        <v>0</v>
      </c>
      <c r="R63" s="84">
        <f t="shared" si="24"/>
        <v>0</v>
      </c>
      <c r="S63" s="79">
        <f t="shared" si="25"/>
        <v>0</v>
      </c>
      <c r="T63" s="34">
        <f t="shared" si="26"/>
        <v>0</v>
      </c>
      <c r="U63" s="1">
        <v>30</v>
      </c>
      <c r="X63" s="113"/>
    </row>
    <row r="64" spans="1:30" ht="24" customHeight="1">
      <c r="A64" s="81">
        <v>14</v>
      </c>
      <c r="B64" s="31" t="s">
        <v>59</v>
      </c>
      <c r="C64" s="103" t="s">
        <v>210</v>
      </c>
      <c r="D64" s="103" t="s">
        <v>194</v>
      </c>
      <c r="E64" s="178" t="s">
        <v>211</v>
      </c>
      <c r="F64" s="35">
        <v>273623.8</v>
      </c>
      <c r="G64" s="35">
        <v>273623.8</v>
      </c>
      <c r="H64" s="104">
        <f t="shared" si="19"/>
        <v>0</v>
      </c>
      <c r="I64" s="110">
        <v>25585.32</v>
      </c>
      <c r="J64" s="111">
        <v>0</v>
      </c>
      <c r="K64" s="10">
        <f t="shared" si="20"/>
        <v>0</v>
      </c>
      <c r="L64" s="35">
        <v>273623.8</v>
      </c>
      <c r="M64" s="106">
        <f>L64-G64</f>
        <v>0</v>
      </c>
      <c r="N64" s="110">
        <v>25585.32</v>
      </c>
      <c r="O64" s="107">
        <f t="shared" si="22"/>
        <v>0</v>
      </c>
      <c r="P64" s="111">
        <v>0</v>
      </c>
      <c r="Q64" s="28">
        <f>IFERROR(M64/P64,0)</f>
        <v>0</v>
      </c>
      <c r="R64" s="84">
        <f t="shared" si="24"/>
        <v>0</v>
      </c>
      <c r="S64" s="79">
        <f t="shared" si="25"/>
        <v>0</v>
      </c>
      <c r="T64" s="34">
        <f t="shared" si="26"/>
        <v>0</v>
      </c>
      <c r="U64" s="1">
        <v>11</v>
      </c>
      <c r="AA64" t="s">
        <v>60</v>
      </c>
    </row>
    <row r="65" spans="1:21" ht="24" customHeight="1">
      <c r="A65" s="81">
        <v>15</v>
      </c>
      <c r="B65" s="31" t="s">
        <v>61</v>
      </c>
      <c r="C65" s="103" t="s">
        <v>210</v>
      </c>
      <c r="D65" s="103" t="s">
        <v>194</v>
      </c>
      <c r="E65" s="178" t="s">
        <v>211</v>
      </c>
      <c r="F65" s="104">
        <v>286761.59999999998</v>
      </c>
      <c r="G65" s="104">
        <v>286761.59999999998</v>
      </c>
      <c r="H65" s="104">
        <f t="shared" si="19"/>
        <v>0</v>
      </c>
      <c r="I65" s="110">
        <v>26775.52</v>
      </c>
      <c r="J65" s="111">
        <v>0</v>
      </c>
      <c r="K65" s="10">
        <f t="shared" si="20"/>
        <v>0</v>
      </c>
      <c r="L65" s="104">
        <v>286761.59999999998</v>
      </c>
      <c r="M65" s="106">
        <f>L65-G65</f>
        <v>0</v>
      </c>
      <c r="N65" s="110">
        <v>26775.52</v>
      </c>
      <c r="O65" s="107">
        <f t="shared" si="22"/>
        <v>0</v>
      </c>
      <c r="P65" s="112">
        <v>0</v>
      </c>
      <c r="Q65" s="28">
        <f t="shared" si="23"/>
        <v>0</v>
      </c>
      <c r="R65" s="84">
        <f t="shared" si="24"/>
        <v>0</v>
      </c>
      <c r="S65" s="79">
        <f t="shared" si="25"/>
        <v>0</v>
      </c>
      <c r="T65" s="34">
        <f t="shared" si="26"/>
        <v>0</v>
      </c>
      <c r="U65" s="1">
        <v>10</v>
      </c>
    </row>
    <row r="66" spans="1:21" ht="24" customHeight="1">
      <c r="A66" s="81">
        <v>16</v>
      </c>
      <c r="B66" s="31" t="s">
        <v>62</v>
      </c>
      <c r="C66" s="103" t="s">
        <v>210</v>
      </c>
      <c r="D66" s="103" t="s">
        <v>194</v>
      </c>
      <c r="E66" s="178" t="s">
        <v>211</v>
      </c>
      <c r="F66" s="35">
        <v>304622</v>
      </c>
      <c r="G66" s="35">
        <v>304622</v>
      </c>
      <c r="H66" s="104">
        <f t="shared" si="19"/>
        <v>0</v>
      </c>
      <c r="I66" s="110">
        <v>27412.22</v>
      </c>
      <c r="J66" s="111">
        <v>0</v>
      </c>
      <c r="K66" s="10">
        <f t="shared" si="20"/>
        <v>0</v>
      </c>
      <c r="L66" s="35">
        <v>304622</v>
      </c>
      <c r="M66" s="106">
        <f t="shared" si="21"/>
        <v>0</v>
      </c>
      <c r="N66" s="110">
        <v>27412.22</v>
      </c>
      <c r="O66" s="107">
        <f t="shared" si="22"/>
        <v>0</v>
      </c>
      <c r="P66" s="112">
        <v>0</v>
      </c>
      <c r="Q66" s="28">
        <f t="shared" si="23"/>
        <v>0</v>
      </c>
      <c r="R66" s="84">
        <f t="shared" si="24"/>
        <v>0</v>
      </c>
      <c r="S66" s="79">
        <f t="shared" si="25"/>
        <v>0</v>
      </c>
      <c r="T66" s="34">
        <f t="shared" si="26"/>
        <v>0</v>
      </c>
      <c r="U66" s="1">
        <v>0</v>
      </c>
    </row>
    <row r="67" spans="1:21" ht="24" customHeight="1">
      <c r="A67" s="81">
        <v>17</v>
      </c>
      <c r="B67" s="31" t="s">
        <v>158</v>
      </c>
      <c r="C67" s="103" t="s">
        <v>210</v>
      </c>
      <c r="D67" s="103" t="s">
        <v>194</v>
      </c>
      <c r="E67" s="178" t="s">
        <v>222</v>
      </c>
      <c r="F67" s="17">
        <v>276563</v>
      </c>
      <c r="G67" s="17">
        <v>276563</v>
      </c>
      <c r="H67" s="104">
        <f t="shared" si="19"/>
        <v>0</v>
      </c>
      <c r="I67" s="110">
        <v>25223</v>
      </c>
      <c r="J67" s="111">
        <v>0</v>
      </c>
      <c r="K67" s="10">
        <f t="shared" si="20"/>
        <v>0</v>
      </c>
      <c r="L67" s="17">
        <v>276563</v>
      </c>
      <c r="M67" s="106">
        <f t="shared" si="21"/>
        <v>0</v>
      </c>
      <c r="N67" s="110">
        <v>25223</v>
      </c>
      <c r="O67" s="107">
        <f t="shared" si="22"/>
        <v>0</v>
      </c>
      <c r="P67" s="111">
        <v>0</v>
      </c>
      <c r="Q67" s="28">
        <f t="shared" si="23"/>
        <v>0</v>
      </c>
      <c r="R67" s="84">
        <f t="shared" si="24"/>
        <v>0</v>
      </c>
      <c r="S67" s="79">
        <f t="shared" si="25"/>
        <v>0</v>
      </c>
      <c r="T67" s="34">
        <f t="shared" si="26"/>
        <v>0</v>
      </c>
      <c r="U67" s="1">
        <v>33</v>
      </c>
    </row>
    <row r="68" spans="1:21" ht="24" customHeight="1">
      <c r="A68" s="81">
        <v>18</v>
      </c>
      <c r="B68" s="31" t="s">
        <v>159</v>
      </c>
      <c r="C68" s="103" t="s">
        <v>210</v>
      </c>
      <c r="D68" s="103" t="s">
        <v>194</v>
      </c>
      <c r="E68" s="178" t="s">
        <v>222</v>
      </c>
      <c r="F68" s="17">
        <v>279844</v>
      </c>
      <c r="G68" s="17">
        <v>279844</v>
      </c>
      <c r="H68" s="104">
        <f t="shared" si="19"/>
        <v>0</v>
      </c>
      <c r="I68" s="110">
        <v>26071</v>
      </c>
      <c r="J68" s="111">
        <v>0</v>
      </c>
      <c r="K68" s="10">
        <f t="shared" si="20"/>
        <v>0</v>
      </c>
      <c r="L68" s="17">
        <v>279844</v>
      </c>
      <c r="M68" s="106">
        <f t="shared" si="21"/>
        <v>0</v>
      </c>
      <c r="N68" s="110">
        <v>26071</v>
      </c>
      <c r="O68" s="107">
        <f t="shared" si="22"/>
        <v>0</v>
      </c>
      <c r="P68" s="111">
        <v>0</v>
      </c>
      <c r="Q68" s="28">
        <f t="shared" si="23"/>
        <v>0</v>
      </c>
      <c r="R68" s="84">
        <f t="shared" si="24"/>
        <v>0</v>
      </c>
      <c r="S68" s="79">
        <f t="shared" si="25"/>
        <v>0</v>
      </c>
      <c r="T68" s="34">
        <f t="shared" si="26"/>
        <v>0</v>
      </c>
      <c r="U68" s="1">
        <v>17</v>
      </c>
    </row>
    <row r="69" spans="1:21" ht="24" customHeight="1">
      <c r="A69" s="81">
        <v>19</v>
      </c>
      <c r="B69" s="31" t="s">
        <v>160</v>
      </c>
      <c r="C69" s="103" t="s">
        <v>210</v>
      </c>
      <c r="D69" s="103" t="s">
        <v>194</v>
      </c>
      <c r="E69" s="178" t="s">
        <v>222</v>
      </c>
      <c r="F69" s="17">
        <v>306575</v>
      </c>
      <c r="G69" s="17">
        <v>306575</v>
      </c>
      <c r="H69" s="104">
        <f t="shared" si="19"/>
        <v>0</v>
      </c>
      <c r="I69" s="110">
        <v>25232</v>
      </c>
      <c r="J69" s="111">
        <v>0</v>
      </c>
      <c r="K69" s="10">
        <f t="shared" si="20"/>
        <v>0</v>
      </c>
      <c r="L69" s="17">
        <v>306575</v>
      </c>
      <c r="M69" s="106">
        <f t="shared" si="21"/>
        <v>0</v>
      </c>
      <c r="N69" s="110">
        <v>25232</v>
      </c>
      <c r="O69" s="107">
        <f t="shared" si="22"/>
        <v>0</v>
      </c>
      <c r="P69" s="111">
        <v>0</v>
      </c>
      <c r="Q69" s="28">
        <f t="shared" si="23"/>
        <v>0</v>
      </c>
      <c r="R69" s="84">
        <f t="shared" si="24"/>
        <v>0</v>
      </c>
      <c r="S69" s="79">
        <f t="shared" si="25"/>
        <v>0</v>
      </c>
      <c r="T69" s="34">
        <f t="shared" si="26"/>
        <v>0</v>
      </c>
      <c r="U69" s="1">
        <v>0</v>
      </c>
    </row>
    <row r="70" spans="1:21" ht="24" customHeight="1">
      <c r="A70" s="81">
        <v>20</v>
      </c>
      <c r="B70" s="31" t="s">
        <v>161</v>
      </c>
      <c r="C70" s="103" t="s">
        <v>210</v>
      </c>
      <c r="D70" s="103" t="s">
        <v>194</v>
      </c>
      <c r="E70" s="178" t="s">
        <v>222</v>
      </c>
      <c r="F70" s="17">
        <v>306347</v>
      </c>
      <c r="G70" s="17">
        <v>306347</v>
      </c>
      <c r="H70" s="104">
        <f t="shared" si="19"/>
        <v>0</v>
      </c>
      <c r="I70" s="110">
        <v>25598</v>
      </c>
      <c r="J70" s="116">
        <v>0</v>
      </c>
      <c r="K70" s="10">
        <f t="shared" si="20"/>
        <v>0</v>
      </c>
      <c r="L70" s="17">
        <v>306347</v>
      </c>
      <c r="M70" s="106">
        <f t="shared" si="21"/>
        <v>0</v>
      </c>
      <c r="N70" s="110">
        <v>25598</v>
      </c>
      <c r="O70" s="107">
        <f t="shared" si="22"/>
        <v>0</v>
      </c>
      <c r="P70" s="111">
        <v>0</v>
      </c>
      <c r="Q70" s="28">
        <f t="shared" si="23"/>
        <v>0</v>
      </c>
      <c r="R70" s="84">
        <f t="shared" si="24"/>
        <v>0</v>
      </c>
      <c r="S70" s="79">
        <f t="shared" si="25"/>
        <v>0</v>
      </c>
      <c r="T70" s="34">
        <f t="shared" si="26"/>
        <v>0</v>
      </c>
      <c r="U70" s="1">
        <v>31</v>
      </c>
    </row>
    <row r="71" spans="1:21" ht="24" customHeight="1">
      <c r="A71" s="81">
        <v>21</v>
      </c>
      <c r="B71" s="31" t="s">
        <v>162</v>
      </c>
      <c r="C71" s="103" t="s">
        <v>210</v>
      </c>
      <c r="D71" s="103" t="s">
        <v>194</v>
      </c>
      <c r="E71" s="178" t="s">
        <v>222</v>
      </c>
      <c r="F71" s="17">
        <v>322412</v>
      </c>
      <c r="G71" s="17">
        <v>322412</v>
      </c>
      <c r="H71" s="104">
        <f t="shared" si="19"/>
        <v>0</v>
      </c>
      <c r="I71" s="110">
        <v>26753</v>
      </c>
      <c r="J71" s="111">
        <v>0</v>
      </c>
      <c r="K71" s="10">
        <f t="shared" si="20"/>
        <v>0</v>
      </c>
      <c r="L71" s="17">
        <v>322412</v>
      </c>
      <c r="M71" s="106">
        <f t="shared" si="21"/>
        <v>0</v>
      </c>
      <c r="N71" s="110">
        <v>26753</v>
      </c>
      <c r="O71" s="107">
        <f t="shared" si="22"/>
        <v>0</v>
      </c>
      <c r="P71" s="111">
        <v>0</v>
      </c>
      <c r="Q71" s="28">
        <f t="shared" si="23"/>
        <v>0</v>
      </c>
      <c r="R71" s="84">
        <f t="shared" si="24"/>
        <v>0</v>
      </c>
      <c r="S71" s="79">
        <f t="shared" si="25"/>
        <v>0</v>
      </c>
      <c r="T71" s="34">
        <f t="shared" si="26"/>
        <v>0</v>
      </c>
      <c r="U71" s="1">
        <v>0</v>
      </c>
    </row>
    <row r="72" spans="1:21" ht="24" customHeight="1">
      <c r="A72" s="81">
        <v>22</v>
      </c>
      <c r="B72" s="31" t="s">
        <v>68</v>
      </c>
      <c r="C72" s="103" t="s">
        <v>210</v>
      </c>
      <c r="D72" s="103" t="s">
        <v>194</v>
      </c>
      <c r="E72" s="178" t="s">
        <v>211</v>
      </c>
      <c r="F72" s="17">
        <v>278470.59999999998</v>
      </c>
      <c r="G72" s="17">
        <v>278470.59999999998</v>
      </c>
      <c r="H72" s="104">
        <f t="shared" si="19"/>
        <v>0</v>
      </c>
      <c r="I72" s="110">
        <v>22620</v>
      </c>
      <c r="J72" s="111">
        <v>0</v>
      </c>
      <c r="K72" s="10">
        <f t="shared" si="20"/>
        <v>0</v>
      </c>
      <c r="L72" s="17">
        <v>278470.59999999998</v>
      </c>
      <c r="M72" s="106">
        <f t="shared" si="21"/>
        <v>0</v>
      </c>
      <c r="N72" s="110">
        <v>22620</v>
      </c>
      <c r="O72" s="107">
        <f t="shared" si="22"/>
        <v>0</v>
      </c>
      <c r="P72" s="112">
        <v>0</v>
      </c>
      <c r="Q72" s="28">
        <f t="shared" si="23"/>
        <v>0</v>
      </c>
      <c r="R72" s="84">
        <f t="shared" si="24"/>
        <v>0</v>
      </c>
      <c r="S72" s="79">
        <f t="shared" si="25"/>
        <v>0</v>
      </c>
      <c r="T72" s="34">
        <f t="shared" si="26"/>
        <v>0</v>
      </c>
      <c r="U72" s="1">
        <v>23</v>
      </c>
    </row>
    <row r="73" spans="1:21" ht="24" customHeight="1">
      <c r="A73" s="81">
        <v>23</v>
      </c>
      <c r="B73" s="31" t="s">
        <v>69</v>
      </c>
      <c r="C73" s="103" t="s">
        <v>210</v>
      </c>
      <c r="D73" s="103" t="s">
        <v>194</v>
      </c>
      <c r="E73" s="178" t="s">
        <v>211</v>
      </c>
      <c r="F73" s="17">
        <v>260470.8</v>
      </c>
      <c r="G73" s="17">
        <v>260470.8</v>
      </c>
      <c r="H73" s="104">
        <f t="shared" si="19"/>
        <v>0</v>
      </c>
      <c r="I73" s="110">
        <v>19985</v>
      </c>
      <c r="J73" s="111">
        <v>0</v>
      </c>
      <c r="K73" s="10">
        <f t="shared" si="20"/>
        <v>0</v>
      </c>
      <c r="L73" s="17">
        <v>260470.8</v>
      </c>
      <c r="M73" s="106">
        <f t="shared" si="21"/>
        <v>0</v>
      </c>
      <c r="N73" s="110">
        <v>19985</v>
      </c>
      <c r="O73" s="107">
        <f t="shared" si="22"/>
        <v>0</v>
      </c>
      <c r="P73" s="112">
        <v>0</v>
      </c>
      <c r="Q73" s="28">
        <f t="shared" si="23"/>
        <v>0</v>
      </c>
      <c r="R73" s="84">
        <f t="shared" si="24"/>
        <v>0</v>
      </c>
      <c r="S73" s="79">
        <f t="shared" si="25"/>
        <v>0</v>
      </c>
      <c r="T73" s="34">
        <f t="shared" si="26"/>
        <v>0</v>
      </c>
      <c r="U73" s="1">
        <v>30</v>
      </c>
    </row>
    <row r="74" spans="1:21" ht="24" customHeight="1">
      <c r="A74" s="81">
        <v>24</v>
      </c>
      <c r="B74" s="31" t="s">
        <v>70</v>
      </c>
      <c r="C74" s="103" t="s">
        <v>210</v>
      </c>
      <c r="D74" s="103" t="s">
        <v>194</v>
      </c>
      <c r="E74" s="178" t="s">
        <v>211</v>
      </c>
      <c r="F74" s="104">
        <v>304898.8</v>
      </c>
      <c r="G74" s="104">
        <v>304898.8</v>
      </c>
      <c r="H74" s="104">
        <f t="shared" si="19"/>
        <v>0</v>
      </c>
      <c r="I74" s="110">
        <v>5163</v>
      </c>
      <c r="J74" s="111">
        <v>0</v>
      </c>
      <c r="K74" s="10">
        <f t="shared" si="20"/>
        <v>0</v>
      </c>
      <c r="L74" s="104">
        <v>304898.8</v>
      </c>
      <c r="M74" s="106">
        <f t="shared" si="21"/>
        <v>0</v>
      </c>
      <c r="N74" s="110">
        <v>5163</v>
      </c>
      <c r="O74" s="107">
        <f t="shared" si="22"/>
        <v>0</v>
      </c>
      <c r="P74" s="111">
        <v>0</v>
      </c>
      <c r="Q74" s="28">
        <f t="shared" si="23"/>
        <v>0</v>
      </c>
      <c r="R74" s="84">
        <f t="shared" si="24"/>
        <v>0</v>
      </c>
      <c r="S74" s="79">
        <f t="shared" si="25"/>
        <v>0</v>
      </c>
      <c r="T74" s="34">
        <f t="shared" si="26"/>
        <v>0</v>
      </c>
      <c r="U74" s="1">
        <v>24</v>
      </c>
    </row>
    <row r="75" spans="1:21" ht="24" customHeight="1">
      <c r="A75" s="81">
        <v>25</v>
      </c>
      <c r="B75" s="31" t="s">
        <v>71</v>
      </c>
      <c r="C75" s="103" t="s">
        <v>210</v>
      </c>
      <c r="D75" s="103" t="s">
        <v>194</v>
      </c>
      <c r="E75" s="178" t="s">
        <v>211</v>
      </c>
      <c r="F75" s="35">
        <v>314820.90000000002</v>
      </c>
      <c r="G75" s="35">
        <v>314820.90000000002</v>
      </c>
      <c r="H75" s="104">
        <f t="shared" si="19"/>
        <v>0</v>
      </c>
      <c r="I75" s="110">
        <v>23049</v>
      </c>
      <c r="J75" s="111">
        <v>0</v>
      </c>
      <c r="K75" s="10">
        <f t="shared" si="20"/>
        <v>0</v>
      </c>
      <c r="L75" s="35">
        <v>314820.90000000002</v>
      </c>
      <c r="M75" s="106">
        <f t="shared" si="21"/>
        <v>0</v>
      </c>
      <c r="N75" s="110">
        <v>23049</v>
      </c>
      <c r="O75" s="107">
        <f t="shared" si="22"/>
        <v>0</v>
      </c>
      <c r="P75" s="111">
        <v>0</v>
      </c>
      <c r="Q75" s="28">
        <f>IFERROR(M75/P75,0)</f>
        <v>0</v>
      </c>
      <c r="R75" s="84">
        <f t="shared" si="24"/>
        <v>0</v>
      </c>
      <c r="S75" s="79">
        <f>J75+P75</f>
        <v>0</v>
      </c>
      <c r="T75" s="34">
        <f t="shared" si="26"/>
        <v>0</v>
      </c>
      <c r="U75" s="1">
        <v>25</v>
      </c>
    </row>
    <row r="76" spans="1:21" ht="24" customHeight="1">
      <c r="A76" s="81">
        <v>26</v>
      </c>
      <c r="B76" s="31" t="s">
        <v>72</v>
      </c>
      <c r="C76" s="103" t="s">
        <v>210</v>
      </c>
      <c r="D76" s="103" t="s">
        <v>194</v>
      </c>
      <c r="E76" s="178" t="s">
        <v>211</v>
      </c>
      <c r="F76" s="35">
        <v>285551</v>
      </c>
      <c r="G76" s="35">
        <v>285551</v>
      </c>
      <c r="H76" s="104">
        <f t="shared" si="19"/>
        <v>0</v>
      </c>
      <c r="I76" s="110">
        <v>20683</v>
      </c>
      <c r="J76" s="111">
        <v>0</v>
      </c>
      <c r="K76" s="10">
        <f t="shared" si="20"/>
        <v>0</v>
      </c>
      <c r="L76" s="35">
        <v>285551</v>
      </c>
      <c r="M76" s="106">
        <f t="shared" si="21"/>
        <v>0</v>
      </c>
      <c r="N76" s="110">
        <v>20683</v>
      </c>
      <c r="O76" s="107">
        <f t="shared" si="22"/>
        <v>0</v>
      </c>
      <c r="P76" s="112">
        <v>0</v>
      </c>
      <c r="Q76" s="28">
        <f t="shared" si="23"/>
        <v>0</v>
      </c>
      <c r="R76" s="84">
        <f t="shared" si="24"/>
        <v>0</v>
      </c>
      <c r="S76" s="79">
        <f t="shared" si="25"/>
        <v>0</v>
      </c>
      <c r="T76" s="34">
        <f t="shared" si="26"/>
        <v>0</v>
      </c>
      <c r="U76" s="1">
        <v>44</v>
      </c>
    </row>
    <row r="77" spans="1:21" ht="24" customHeight="1">
      <c r="A77" s="81">
        <v>27</v>
      </c>
      <c r="B77" s="31" t="s">
        <v>73</v>
      </c>
      <c r="C77" s="103" t="s">
        <v>210</v>
      </c>
      <c r="D77" s="103" t="s">
        <v>194</v>
      </c>
      <c r="E77" s="178" t="s">
        <v>211</v>
      </c>
      <c r="F77" s="104">
        <v>313847.09999999998</v>
      </c>
      <c r="G77" s="104">
        <v>313847.09999999998</v>
      </c>
      <c r="H77" s="104">
        <f t="shared" si="19"/>
        <v>0</v>
      </c>
      <c r="I77" s="110">
        <v>22817</v>
      </c>
      <c r="J77" s="111">
        <v>0</v>
      </c>
      <c r="K77" s="10">
        <f t="shared" si="20"/>
        <v>0</v>
      </c>
      <c r="L77" s="104">
        <v>313847.09999999998</v>
      </c>
      <c r="M77" s="106">
        <f t="shared" si="21"/>
        <v>0</v>
      </c>
      <c r="N77" s="110">
        <v>22817</v>
      </c>
      <c r="O77" s="107">
        <f t="shared" si="22"/>
        <v>0</v>
      </c>
      <c r="P77" s="112">
        <v>0</v>
      </c>
      <c r="Q77" s="28">
        <f t="shared" si="23"/>
        <v>0</v>
      </c>
      <c r="R77" s="84">
        <f t="shared" si="24"/>
        <v>0</v>
      </c>
      <c r="S77" s="79">
        <f t="shared" si="25"/>
        <v>0</v>
      </c>
      <c r="T77" s="34">
        <f t="shared" si="26"/>
        <v>0</v>
      </c>
      <c r="U77" s="1">
        <v>42</v>
      </c>
    </row>
    <row r="78" spans="1:21" ht="24" customHeight="1">
      <c r="A78" s="81">
        <v>28</v>
      </c>
      <c r="B78" s="31" t="s">
        <v>74</v>
      </c>
      <c r="C78" s="103" t="s">
        <v>210</v>
      </c>
      <c r="D78" s="103" t="s">
        <v>194</v>
      </c>
      <c r="E78" s="178" t="s">
        <v>211</v>
      </c>
      <c r="F78" s="35">
        <v>284089</v>
      </c>
      <c r="G78" s="35">
        <v>284089</v>
      </c>
      <c r="H78" s="104">
        <f t="shared" si="19"/>
        <v>0</v>
      </c>
      <c r="I78" s="110">
        <v>4335</v>
      </c>
      <c r="J78" s="111">
        <v>0</v>
      </c>
      <c r="K78" s="10">
        <f t="shared" si="20"/>
        <v>0</v>
      </c>
      <c r="L78" s="35">
        <v>284089</v>
      </c>
      <c r="M78" s="106">
        <f t="shared" si="21"/>
        <v>0</v>
      </c>
      <c r="N78" s="110">
        <v>4335</v>
      </c>
      <c r="O78" s="107">
        <f>N78-I78</f>
        <v>0</v>
      </c>
      <c r="P78" s="111">
        <v>0</v>
      </c>
      <c r="Q78" s="28">
        <f t="shared" si="23"/>
        <v>0</v>
      </c>
      <c r="R78" s="84">
        <f t="shared" si="24"/>
        <v>0</v>
      </c>
      <c r="S78" s="79">
        <f t="shared" si="25"/>
        <v>0</v>
      </c>
      <c r="T78" s="34">
        <f t="shared" si="26"/>
        <v>0</v>
      </c>
      <c r="U78" s="1">
        <v>32</v>
      </c>
    </row>
    <row r="79" spans="1:21" ht="24" customHeight="1">
      <c r="A79" s="81">
        <v>29</v>
      </c>
      <c r="B79" s="31" t="s">
        <v>75</v>
      </c>
      <c r="C79" s="103" t="s">
        <v>210</v>
      </c>
      <c r="D79" s="103" t="s">
        <v>194</v>
      </c>
      <c r="E79" s="178" t="s">
        <v>211</v>
      </c>
      <c r="F79" s="104">
        <v>301894.59999999998</v>
      </c>
      <c r="G79" s="104">
        <v>301894.59999999998</v>
      </c>
      <c r="H79" s="104">
        <f t="shared" si="19"/>
        <v>0</v>
      </c>
      <c r="I79" s="110">
        <v>21762</v>
      </c>
      <c r="J79" s="111">
        <v>0</v>
      </c>
      <c r="K79" s="10">
        <f t="shared" si="20"/>
        <v>0</v>
      </c>
      <c r="L79" s="104">
        <v>301894.59999999998</v>
      </c>
      <c r="M79" s="106">
        <f t="shared" si="21"/>
        <v>0</v>
      </c>
      <c r="N79" s="110">
        <v>21762</v>
      </c>
      <c r="O79" s="107">
        <f t="shared" si="22"/>
        <v>0</v>
      </c>
      <c r="P79" s="112">
        <v>0</v>
      </c>
      <c r="Q79" s="28">
        <f t="shared" si="23"/>
        <v>0</v>
      </c>
      <c r="R79" s="84">
        <f t="shared" si="24"/>
        <v>0</v>
      </c>
      <c r="S79" s="79">
        <f t="shared" si="25"/>
        <v>0</v>
      </c>
      <c r="T79" s="34">
        <f t="shared" si="26"/>
        <v>0</v>
      </c>
      <c r="U79" s="1">
        <v>30</v>
      </c>
    </row>
    <row r="80" spans="1:21" ht="24" customHeight="1">
      <c r="A80" s="81">
        <v>30</v>
      </c>
      <c r="B80" s="31" t="s">
        <v>76</v>
      </c>
      <c r="C80" s="103" t="s">
        <v>210</v>
      </c>
      <c r="D80" s="103" t="s">
        <v>194</v>
      </c>
      <c r="E80" s="178" t="s">
        <v>211</v>
      </c>
      <c r="F80" s="104">
        <v>266504.90000000002</v>
      </c>
      <c r="G80" s="104">
        <v>266504.90000000002</v>
      </c>
      <c r="H80" s="104">
        <f t="shared" si="19"/>
        <v>0</v>
      </c>
      <c r="I80" s="110">
        <v>19714</v>
      </c>
      <c r="J80" s="111">
        <v>0</v>
      </c>
      <c r="K80" s="10">
        <f t="shared" si="20"/>
        <v>0</v>
      </c>
      <c r="L80" s="104">
        <v>266504.90000000002</v>
      </c>
      <c r="M80" s="106">
        <f t="shared" si="21"/>
        <v>0</v>
      </c>
      <c r="N80" s="110">
        <v>19714</v>
      </c>
      <c r="O80" s="107">
        <f t="shared" si="22"/>
        <v>0</v>
      </c>
      <c r="P80" s="111">
        <v>0</v>
      </c>
      <c r="Q80" s="28">
        <f t="shared" si="23"/>
        <v>0</v>
      </c>
      <c r="R80" s="84">
        <f t="shared" si="24"/>
        <v>0</v>
      </c>
      <c r="S80" s="79">
        <f t="shared" si="25"/>
        <v>0</v>
      </c>
      <c r="T80" s="34">
        <f t="shared" si="26"/>
        <v>0</v>
      </c>
      <c r="U80" s="1">
        <v>30</v>
      </c>
    </row>
    <row r="81" spans="1:21" ht="24" customHeight="1">
      <c r="A81" s="81">
        <v>31</v>
      </c>
      <c r="B81" s="31" t="s">
        <v>77</v>
      </c>
      <c r="C81" s="103" t="s">
        <v>210</v>
      </c>
      <c r="D81" s="103" t="s">
        <v>194</v>
      </c>
      <c r="E81" s="178" t="s">
        <v>211</v>
      </c>
      <c r="F81" s="83">
        <v>264143.8</v>
      </c>
      <c r="G81" s="83">
        <v>264143.8</v>
      </c>
      <c r="H81" s="104">
        <f t="shared" si="19"/>
        <v>0</v>
      </c>
      <c r="I81" s="110">
        <v>19388</v>
      </c>
      <c r="J81" s="111">
        <v>0</v>
      </c>
      <c r="K81" s="10">
        <f t="shared" si="20"/>
        <v>0</v>
      </c>
      <c r="L81" s="83">
        <v>264143.8</v>
      </c>
      <c r="M81" s="106">
        <f t="shared" si="21"/>
        <v>0</v>
      </c>
      <c r="N81" s="110">
        <v>19388</v>
      </c>
      <c r="O81" s="107">
        <f>N81-I81</f>
        <v>0</v>
      </c>
      <c r="P81" s="111">
        <v>0</v>
      </c>
      <c r="Q81" s="28">
        <f t="shared" si="23"/>
        <v>0</v>
      </c>
      <c r="R81" s="84">
        <f t="shared" si="24"/>
        <v>0</v>
      </c>
      <c r="S81" s="79">
        <f t="shared" si="25"/>
        <v>0</v>
      </c>
      <c r="T81" s="34">
        <f t="shared" si="26"/>
        <v>0</v>
      </c>
      <c r="U81" s="1">
        <v>31</v>
      </c>
    </row>
    <row r="82" spans="1:21" ht="24" customHeight="1">
      <c r="A82" s="81">
        <v>32</v>
      </c>
      <c r="B82" s="31" t="s">
        <v>78</v>
      </c>
      <c r="C82" s="103" t="s">
        <v>210</v>
      </c>
      <c r="D82" s="103" t="s">
        <v>194</v>
      </c>
      <c r="E82" s="178" t="s">
        <v>211</v>
      </c>
      <c r="F82" s="104">
        <v>290366</v>
      </c>
      <c r="G82" s="104">
        <v>290366</v>
      </c>
      <c r="H82" s="104">
        <f t="shared" si="19"/>
        <v>0</v>
      </c>
      <c r="I82" s="110">
        <v>20992</v>
      </c>
      <c r="J82" s="111">
        <v>0</v>
      </c>
      <c r="K82" s="10">
        <f t="shared" si="20"/>
        <v>0</v>
      </c>
      <c r="L82" s="104">
        <v>290366</v>
      </c>
      <c r="M82" s="106">
        <f t="shared" si="21"/>
        <v>0</v>
      </c>
      <c r="N82" s="110">
        <v>20992</v>
      </c>
      <c r="O82" s="107">
        <f t="shared" si="22"/>
        <v>0</v>
      </c>
      <c r="P82" s="111">
        <v>0</v>
      </c>
      <c r="Q82" s="28">
        <f t="shared" si="23"/>
        <v>0</v>
      </c>
      <c r="R82" s="84">
        <f t="shared" si="24"/>
        <v>0</v>
      </c>
      <c r="S82" s="79">
        <f t="shared" si="25"/>
        <v>0</v>
      </c>
      <c r="T82" s="34">
        <f t="shared" si="26"/>
        <v>0</v>
      </c>
      <c r="U82" s="1">
        <v>31</v>
      </c>
    </row>
    <row r="83" spans="1:21" ht="24" customHeight="1">
      <c r="A83" s="81">
        <v>33</v>
      </c>
      <c r="B83" s="31" t="s">
        <v>79</v>
      </c>
      <c r="C83" s="103" t="s">
        <v>210</v>
      </c>
      <c r="D83" s="103" t="s">
        <v>194</v>
      </c>
      <c r="E83" s="178" t="s">
        <v>211</v>
      </c>
      <c r="F83" s="104">
        <v>305109.90000000002</v>
      </c>
      <c r="G83" s="104">
        <v>305109.90000000002</v>
      </c>
      <c r="H83" s="104">
        <f t="shared" si="19"/>
        <v>0</v>
      </c>
      <c r="I83" s="110">
        <v>21738</v>
      </c>
      <c r="J83" s="111">
        <v>0</v>
      </c>
      <c r="K83" s="10">
        <f t="shared" si="20"/>
        <v>0</v>
      </c>
      <c r="L83" s="104">
        <v>305109.90000000002</v>
      </c>
      <c r="M83" s="106">
        <f t="shared" si="21"/>
        <v>0</v>
      </c>
      <c r="N83" s="110">
        <v>21738</v>
      </c>
      <c r="O83" s="107">
        <f t="shared" si="22"/>
        <v>0</v>
      </c>
      <c r="P83" s="111">
        <v>0</v>
      </c>
      <c r="Q83" s="28">
        <f t="shared" si="23"/>
        <v>0</v>
      </c>
      <c r="R83" s="84">
        <f t="shared" si="24"/>
        <v>0</v>
      </c>
      <c r="S83" s="79">
        <f t="shared" si="25"/>
        <v>0</v>
      </c>
      <c r="T83" s="34">
        <f t="shared" si="26"/>
        <v>0</v>
      </c>
      <c r="U83" s="1">
        <v>44</v>
      </c>
    </row>
    <row r="84" spans="1:21" ht="24" customHeight="1">
      <c r="A84" s="81">
        <v>34</v>
      </c>
      <c r="B84" s="31" t="s">
        <v>163</v>
      </c>
      <c r="C84" s="103" t="s">
        <v>210</v>
      </c>
      <c r="D84" s="103" t="s">
        <v>194</v>
      </c>
      <c r="E84" s="178" t="s">
        <v>211</v>
      </c>
      <c r="F84" s="104">
        <v>246141.8</v>
      </c>
      <c r="G84" s="104">
        <v>246141.8</v>
      </c>
      <c r="H84" s="104">
        <f t="shared" si="19"/>
        <v>0</v>
      </c>
      <c r="I84" s="110">
        <v>18390</v>
      </c>
      <c r="J84" s="111">
        <v>0</v>
      </c>
      <c r="K84" s="10">
        <f t="shared" si="20"/>
        <v>0</v>
      </c>
      <c r="L84" s="104">
        <v>246141.8</v>
      </c>
      <c r="M84" s="106">
        <f t="shared" si="21"/>
        <v>0</v>
      </c>
      <c r="N84" s="110">
        <v>18390</v>
      </c>
      <c r="O84" s="107">
        <f t="shared" si="22"/>
        <v>0</v>
      </c>
      <c r="P84" s="111">
        <v>0</v>
      </c>
      <c r="Q84" s="28">
        <f t="shared" si="23"/>
        <v>0</v>
      </c>
      <c r="R84" s="84">
        <f t="shared" si="24"/>
        <v>0</v>
      </c>
      <c r="S84" s="79">
        <f t="shared" si="25"/>
        <v>0</v>
      </c>
      <c r="T84" s="34">
        <f t="shared" si="26"/>
        <v>0</v>
      </c>
      <c r="U84" s="1">
        <v>21</v>
      </c>
    </row>
    <row r="85" spans="1:21" ht="24" customHeight="1">
      <c r="A85" s="81">
        <v>35</v>
      </c>
      <c r="B85" s="31" t="s">
        <v>164</v>
      </c>
      <c r="C85" s="103" t="s">
        <v>210</v>
      </c>
      <c r="D85" s="103" t="s">
        <v>194</v>
      </c>
      <c r="E85" s="178" t="s">
        <v>211</v>
      </c>
      <c r="F85" s="104">
        <v>245713.5</v>
      </c>
      <c r="G85" s="104">
        <v>245713.5</v>
      </c>
      <c r="H85" s="104">
        <f t="shared" si="19"/>
        <v>0</v>
      </c>
      <c r="I85" s="110">
        <v>18373</v>
      </c>
      <c r="J85" s="111">
        <v>0</v>
      </c>
      <c r="K85" s="10">
        <f t="shared" si="20"/>
        <v>0</v>
      </c>
      <c r="L85" s="104">
        <v>245713.5</v>
      </c>
      <c r="M85" s="106">
        <f t="shared" si="21"/>
        <v>0</v>
      </c>
      <c r="N85" s="110">
        <v>18373</v>
      </c>
      <c r="O85" s="107">
        <f t="shared" si="22"/>
        <v>0</v>
      </c>
      <c r="P85" s="111">
        <v>0</v>
      </c>
      <c r="Q85" s="28">
        <f t="shared" si="23"/>
        <v>0</v>
      </c>
      <c r="R85" s="84">
        <f t="shared" si="24"/>
        <v>0</v>
      </c>
      <c r="S85" s="79">
        <f t="shared" si="25"/>
        <v>0</v>
      </c>
      <c r="T85" s="34">
        <f t="shared" si="26"/>
        <v>0</v>
      </c>
      <c r="U85" s="1">
        <v>30</v>
      </c>
    </row>
    <row r="86" spans="1:21" ht="24" customHeight="1">
      <c r="A86" s="81">
        <v>36</v>
      </c>
      <c r="B86" s="31" t="s">
        <v>165</v>
      </c>
      <c r="C86" s="103" t="s">
        <v>210</v>
      </c>
      <c r="D86" s="103" t="s">
        <v>194</v>
      </c>
      <c r="E86" s="178" t="s">
        <v>211</v>
      </c>
      <c r="F86" s="104">
        <v>252475</v>
      </c>
      <c r="G86" s="104">
        <v>252475</v>
      </c>
      <c r="H86" s="104">
        <f t="shared" si="19"/>
        <v>0</v>
      </c>
      <c r="I86" s="110">
        <v>18011</v>
      </c>
      <c r="J86" s="111">
        <v>0</v>
      </c>
      <c r="K86" s="10">
        <f t="shared" si="20"/>
        <v>0</v>
      </c>
      <c r="L86" s="104">
        <v>252475</v>
      </c>
      <c r="M86" s="106">
        <f t="shared" si="21"/>
        <v>0</v>
      </c>
      <c r="N86" s="110">
        <v>18011</v>
      </c>
      <c r="O86" s="107">
        <f t="shared" si="22"/>
        <v>0</v>
      </c>
      <c r="P86" s="112">
        <v>0</v>
      </c>
      <c r="Q86" s="28">
        <f t="shared" si="23"/>
        <v>0</v>
      </c>
      <c r="R86" s="84">
        <f t="shared" si="24"/>
        <v>0</v>
      </c>
      <c r="S86" s="79">
        <f t="shared" si="25"/>
        <v>0</v>
      </c>
      <c r="T86" s="34">
        <f t="shared" si="26"/>
        <v>0</v>
      </c>
      <c r="U86" s="1">
        <v>16</v>
      </c>
    </row>
    <row r="87" spans="1:21" ht="24" customHeight="1">
      <c r="A87" s="81">
        <v>37</v>
      </c>
      <c r="B87" s="31" t="s">
        <v>83</v>
      </c>
      <c r="C87" s="103" t="s">
        <v>210</v>
      </c>
      <c r="D87" s="103" t="s">
        <v>194</v>
      </c>
      <c r="E87" s="178" t="s">
        <v>211</v>
      </c>
      <c r="F87" s="104">
        <v>261013.6</v>
      </c>
      <c r="G87" s="104">
        <v>261013.6</v>
      </c>
      <c r="H87" s="104">
        <f t="shared" si="19"/>
        <v>0</v>
      </c>
      <c r="I87" s="110">
        <v>18536</v>
      </c>
      <c r="J87" s="111">
        <v>0</v>
      </c>
      <c r="K87" s="10">
        <f t="shared" si="20"/>
        <v>0</v>
      </c>
      <c r="L87" s="104">
        <v>261013.6</v>
      </c>
      <c r="M87" s="106">
        <f t="shared" si="21"/>
        <v>0</v>
      </c>
      <c r="N87" s="110">
        <v>18536</v>
      </c>
      <c r="O87" s="107">
        <f t="shared" si="22"/>
        <v>0</v>
      </c>
      <c r="P87" s="112">
        <v>0</v>
      </c>
      <c r="Q87" s="28">
        <f t="shared" si="23"/>
        <v>0</v>
      </c>
      <c r="R87" s="84">
        <f t="shared" si="24"/>
        <v>0</v>
      </c>
      <c r="S87" s="79">
        <f t="shared" si="25"/>
        <v>0</v>
      </c>
      <c r="T87" s="34">
        <f t="shared" si="26"/>
        <v>0</v>
      </c>
      <c r="U87" s="1">
        <v>29</v>
      </c>
    </row>
    <row r="88" spans="1:21" ht="24" customHeight="1">
      <c r="A88" s="81">
        <v>38</v>
      </c>
      <c r="B88" s="31" t="s">
        <v>84</v>
      </c>
      <c r="C88" s="103" t="s">
        <v>210</v>
      </c>
      <c r="D88" s="103" t="s">
        <v>194</v>
      </c>
      <c r="E88" s="178" t="s">
        <v>211</v>
      </c>
      <c r="F88" s="104">
        <v>272728.59999999998</v>
      </c>
      <c r="G88" s="104">
        <v>272728.59999999998</v>
      </c>
      <c r="H88" s="104">
        <f t="shared" si="19"/>
        <v>0</v>
      </c>
      <c r="I88" s="110">
        <v>17898</v>
      </c>
      <c r="J88" s="111">
        <v>0</v>
      </c>
      <c r="K88" s="10">
        <f t="shared" si="20"/>
        <v>0</v>
      </c>
      <c r="L88" s="104">
        <v>272728.59999999998</v>
      </c>
      <c r="M88" s="106">
        <f t="shared" si="21"/>
        <v>0</v>
      </c>
      <c r="N88" s="110">
        <v>17898</v>
      </c>
      <c r="O88" s="107">
        <f t="shared" si="22"/>
        <v>0</v>
      </c>
      <c r="P88" s="112">
        <v>0</v>
      </c>
      <c r="Q88" s="28">
        <f t="shared" si="23"/>
        <v>0</v>
      </c>
      <c r="R88" s="84">
        <f t="shared" si="24"/>
        <v>0</v>
      </c>
      <c r="S88" s="79">
        <f t="shared" si="25"/>
        <v>0</v>
      </c>
      <c r="T88" s="34">
        <f t="shared" si="26"/>
        <v>0</v>
      </c>
      <c r="U88" s="1">
        <v>17</v>
      </c>
    </row>
    <row r="89" spans="1:21" ht="24" customHeight="1">
      <c r="A89" s="81">
        <v>39</v>
      </c>
      <c r="B89" s="31" t="s">
        <v>85</v>
      </c>
      <c r="C89" s="103" t="s">
        <v>210</v>
      </c>
      <c r="D89" s="103" t="s">
        <v>194</v>
      </c>
      <c r="E89" s="178" t="s">
        <v>211</v>
      </c>
      <c r="F89" s="35">
        <v>280639.90000000002</v>
      </c>
      <c r="G89" s="35">
        <v>280639.90000000002</v>
      </c>
      <c r="H89" s="104">
        <f t="shared" si="19"/>
        <v>0</v>
      </c>
      <c r="I89" s="110">
        <v>19832</v>
      </c>
      <c r="J89" s="111">
        <v>0</v>
      </c>
      <c r="K89" s="10">
        <f t="shared" si="20"/>
        <v>0</v>
      </c>
      <c r="L89" s="35">
        <v>280639.90000000002</v>
      </c>
      <c r="M89" s="106">
        <f t="shared" si="21"/>
        <v>0</v>
      </c>
      <c r="N89" s="110">
        <v>19832</v>
      </c>
      <c r="O89" s="107">
        <f t="shared" si="22"/>
        <v>0</v>
      </c>
      <c r="P89" s="112">
        <v>0</v>
      </c>
      <c r="Q89" s="28">
        <f t="shared" si="23"/>
        <v>0</v>
      </c>
      <c r="R89" s="84">
        <f t="shared" si="24"/>
        <v>0</v>
      </c>
      <c r="S89" s="79">
        <f t="shared" si="25"/>
        <v>0</v>
      </c>
      <c r="T89" s="34">
        <f t="shared" si="26"/>
        <v>0</v>
      </c>
      <c r="U89" s="1">
        <v>23</v>
      </c>
    </row>
    <row r="90" spans="1:21" ht="24" customHeight="1">
      <c r="A90" s="81">
        <v>40</v>
      </c>
      <c r="B90" s="31" t="s">
        <v>86</v>
      </c>
      <c r="C90" s="103" t="s">
        <v>210</v>
      </c>
      <c r="D90" s="103" t="s">
        <v>194</v>
      </c>
      <c r="E90" s="178" t="s">
        <v>211</v>
      </c>
      <c r="F90" s="104">
        <v>251386.1</v>
      </c>
      <c r="G90" s="104">
        <v>251386.1</v>
      </c>
      <c r="H90" s="104">
        <f t="shared" si="19"/>
        <v>0</v>
      </c>
      <c r="I90" s="110">
        <v>17878</v>
      </c>
      <c r="J90" s="111">
        <v>0</v>
      </c>
      <c r="K90" s="10">
        <f t="shared" si="20"/>
        <v>0</v>
      </c>
      <c r="L90" s="104">
        <v>251386.1</v>
      </c>
      <c r="M90" s="106">
        <f t="shared" si="21"/>
        <v>0</v>
      </c>
      <c r="N90" s="110">
        <v>17878</v>
      </c>
      <c r="O90" s="107">
        <f t="shared" si="22"/>
        <v>0</v>
      </c>
      <c r="P90" s="112">
        <v>0</v>
      </c>
      <c r="Q90" s="28">
        <f t="shared" si="23"/>
        <v>0</v>
      </c>
      <c r="R90" s="84">
        <f t="shared" si="24"/>
        <v>0</v>
      </c>
      <c r="S90" s="79">
        <f t="shared" si="25"/>
        <v>0</v>
      </c>
      <c r="T90" s="34">
        <f t="shared" si="26"/>
        <v>0</v>
      </c>
      <c r="U90" s="1">
        <v>26</v>
      </c>
    </row>
    <row r="91" spans="1:21" ht="24" customHeight="1">
      <c r="A91" s="81">
        <v>41</v>
      </c>
      <c r="B91" s="31" t="s">
        <v>87</v>
      </c>
      <c r="C91" s="103" t="s">
        <v>210</v>
      </c>
      <c r="D91" s="103" t="s">
        <v>194</v>
      </c>
      <c r="E91" s="178" t="s">
        <v>211</v>
      </c>
      <c r="F91" s="104">
        <v>280224.8</v>
      </c>
      <c r="G91" s="104">
        <v>280224.8</v>
      </c>
      <c r="H91" s="104">
        <f t="shared" si="19"/>
        <v>0</v>
      </c>
      <c r="I91" s="110">
        <v>19375</v>
      </c>
      <c r="J91" s="111">
        <v>0</v>
      </c>
      <c r="K91" s="10">
        <f t="shared" si="20"/>
        <v>0</v>
      </c>
      <c r="L91" s="104">
        <v>280224.8</v>
      </c>
      <c r="M91" s="106">
        <f t="shared" si="21"/>
        <v>0</v>
      </c>
      <c r="N91" s="110">
        <v>19375</v>
      </c>
      <c r="O91" s="107">
        <f t="shared" si="22"/>
        <v>0</v>
      </c>
      <c r="P91" s="111">
        <v>0</v>
      </c>
      <c r="Q91" s="28">
        <f t="shared" si="23"/>
        <v>0</v>
      </c>
      <c r="R91" s="84">
        <f t="shared" si="24"/>
        <v>0</v>
      </c>
      <c r="S91" s="79">
        <f t="shared" si="25"/>
        <v>0</v>
      </c>
      <c r="T91" s="34">
        <f t="shared" si="26"/>
        <v>0</v>
      </c>
      <c r="U91" s="1">
        <v>28</v>
      </c>
    </row>
    <row r="92" spans="1:21" ht="24" customHeight="1">
      <c r="A92" s="81">
        <v>42</v>
      </c>
      <c r="B92" s="31" t="s">
        <v>88</v>
      </c>
      <c r="C92" s="103" t="s">
        <v>210</v>
      </c>
      <c r="D92" s="103" t="s">
        <v>194</v>
      </c>
      <c r="E92" s="178" t="s">
        <v>211</v>
      </c>
      <c r="F92" s="104">
        <v>276147.7</v>
      </c>
      <c r="G92" s="104">
        <v>276147.7</v>
      </c>
      <c r="H92" s="104">
        <f t="shared" si="19"/>
        <v>0</v>
      </c>
      <c r="I92" s="110">
        <v>18765</v>
      </c>
      <c r="J92" s="111">
        <v>0</v>
      </c>
      <c r="K92" s="10">
        <f t="shared" si="20"/>
        <v>0</v>
      </c>
      <c r="L92" s="104">
        <v>276147.7</v>
      </c>
      <c r="M92" s="106">
        <f t="shared" si="21"/>
        <v>0</v>
      </c>
      <c r="N92" s="110">
        <v>18765</v>
      </c>
      <c r="O92" s="107">
        <f t="shared" si="22"/>
        <v>0</v>
      </c>
      <c r="P92" s="111">
        <v>0</v>
      </c>
      <c r="Q92" s="28">
        <f t="shared" si="23"/>
        <v>0</v>
      </c>
      <c r="R92" s="84">
        <f t="shared" si="24"/>
        <v>0</v>
      </c>
      <c r="S92" s="79">
        <f t="shared" si="25"/>
        <v>0</v>
      </c>
      <c r="T92" s="34">
        <f t="shared" si="26"/>
        <v>0</v>
      </c>
      <c r="U92" s="1">
        <v>34</v>
      </c>
    </row>
    <row r="93" spans="1:21" ht="24" customHeight="1">
      <c r="A93" s="81">
        <v>43</v>
      </c>
      <c r="B93" s="31" t="s">
        <v>89</v>
      </c>
      <c r="C93" s="103" t="s">
        <v>210</v>
      </c>
      <c r="D93" s="103" t="s">
        <v>194</v>
      </c>
      <c r="E93" s="178" t="s">
        <v>211</v>
      </c>
      <c r="F93" s="35">
        <v>268644.8</v>
      </c>
      <c r="G93" s="35">
        <v>268644.8</v>
      </c>
      <c r="H93" s="104">
        <f t="shared" si="19"/>
        <v>0</v>
      </c>
      <c r="I93" s="110">
        <v>18426</v>
      </c>
      <c r="J93" s="111">
        <v>0</v>
      </c>
      <c r="K93" s="10">
        <f t="shared" si="20"/>
        <v>0</v>
      </c>
      <c r="L93" s="35">
        <v>268644.8</v>
      </c>
      <c r="M93" s="106">
        <f t="shared" si="21"/>
        <v>0</v>
      </c>
      <c r="N93" s="110">
        <v>18426</v>
      </c>
      <c r="O93" s="107">
        <f t="shared" si="22"/>
        <v>0</v>
      </c>
      <c r="P93" s="111">
        <v>0</v>
      </c>
      <c r="Q93" s="28">
        <f t="shared" si="23"/>
        <v>0</v>
      </c>
      <c r="R93" s="84">
        <f t="shared" si="24"/>
        <v>0</v>
      </c>
      <c r="S93" s="79">
        <f t="shared" si="25"/>
        <v>0</v>
      </c>
      <c r="T93" s="34">
        <f t="shared" si="26"/>
        <v>0</v>
      </c>
      <c r="U93" s="1">
        <v>31</v>
      </c>
    </row>
    <row r="94" spans="1:21" ht="24" customHeight="1">
      <c r="A94" s="81">
        <v>44</v>
      </c>
      <c r="B94" s="31" t="s">
        <v>90</v>
      </c>
      <c r="C94" s="103" t="s">
        <v>210</v>
      </c>
      <c r="D94" s="103" t="s">
        <v>194</v>
      </c>
      <c r="E94" s="178" t="s">
        <v>211</v>
      </c>
      <c r="F94" s="104">
        <v>245741.9</v>
      </c>
      <c r="G94" s="104">
        <v>245741.9</v>
      </c>
      <c r="H94" s="104">
        <f t="shared" si="19"/>
        <v>0</v>
      </c>
      <c r="I94" s="110">
        <v>17743</v>
      </c>
      <c r="J94" s="111">
        <v>0</v>
      </c>
      <c r="K94" s="10">
        <f>IFERROR(H94/J94,0)</f>
        <v>0</v>
      </c>
      <c r="L94" s="104">
        <v>245741.9</v>
      </c>
      <c r="M94" s="106">
        <f t="shared" si="21"/>
        <v>0</v>
      </c>
      <c r="N94" s="110">
        <v>17743</v>
      </c>
      <c r="O94" s="107">
        <f t="shared" si="22"/>
        <v>0</v>
      </c>
      <c r="P94" s="111">
        <v>0</v>
      </c>
      <c r="Q94" s="28">
        <f t="shared" si="23"/>
        <v>0</v>
      </c>
      <c r="R94" s="84">
        <f t="shared" si="24"/>
        <v>0</v>
      </c>
      <c r="S94" s="79">
        <f t="shared" si="25"/>
        <v>0</v>
      </c>
      <c r="T94" s="34">
        <f t="shared" si="26"/>
        <v>0</v>
      </c>
      <c r="U94" s="1">
        <v>23</v>
      </c>
    </row>
    <row r="95" spans="1:21" ht="24" customHeight="1">
      <c r="A95" s="81">
        <v>45</v>
      </c>
      <c r="B95" s="31" t="s">
        <v>91</v>
      </c>
      <c r="C95" s="103" t="s">
        <v>210</v>
      </c>
      <c r="D95" s="103" t="s">
        <v>194</v>
      </c>
      <c r="E95" s="178" t="s">
        <v>211</v>
      </c>
      <c r="F95" s="104">
        <v>254153.9</v>
      </c>
      <c r="G95" s="104">
        <v>254153.9</v>
      </c>
      <c r="H95" s="104">
        <f t="shared" si="19"/>
        <v>0</v>
      </c>
      <c r="I95" s="110">
        <v>17731</v>
      </c>
      <c r="J95" s="111">
        <v>0</v>
      </c>
      <c r="K95" s="10">
        <f t="shared" si="20"/>
        <v>0</v>
      </c>
      <c r="L95" s="104">
        <v>254153.9</v>
      </c>
      <c r="M95" s="106">
        <f t="shared" si="21"/>
        <v>0</v>
      </c>
      <c r="N95" s="110">
        <v>17731</v>
      </c>
      <c r="O95" s="107">
        <f t="shared" si="22"/>
        <v>0</v>
      </c>
      <c r="P95" s="111">
        <v>0</v>
      </c>
      <c r="Q95" s="28">
        <f t="shared" si="23"/>
        <v>0</v>
      </c>
      <c r="R95" s="84">
        <f t="shared" si="24"/>
        <v>0</v>
      </c>
      <c r="S95" s="79">
        <f t="shared" si="25"/>
        <v>0</v>
      </c>
      <c r="T95" s="34">
        <f t="shared" si="26"/>
        <v>0</v>
      </c>
      <c r="U95" s="1">
        <v>0</v>
      </c>
    </row>
    <row r="96" spans="1:21" ht="24" customHeight="1">
      <c r="A96" s="81">
        <v>46</v>
      </c>
      <c r="B96" s="31" t="s">
        <v>92</v>
      </c>
      <c r="C96" s="103" t="s">
        <v>210</v>
      </c>
      <c r="D96" s="103" t="s">
        <v>194</v>
      </c>
      <c r="E96" s="178" t="s">
        <v>211</v>
      </c>
      <c r="F96" s="35">
        <v>240227.8</v>
      </c>
      <c r="G96" s="35">
        <v>240227.8</v>
      </c>
      <c r="H96" s="104">
        <f>G96-F96</f>
        <v>0</v>
      </c>
      <c r="I96" s="110">
        <v>17420</v>
      </c>
      <c r="J96" s="111">
        <v>0</v>
      </c>
      <c r="K96" s="10">
        <f t="shared" si="20"/>
        <v>0</v>
      </c>
      <c r="L96" s="35">
        <v>240227.8</v>
      </c>
      <c r="M96" s="106">
        <f>L96-G96</f>
        <v>0</v>
      </c>
      <c r="N96" s="110">
        <v>17420</v>
      </c>
      <c r="O96" s="107">
        <f t="shared" si="22"/>
        <v>0</v>
      </c>
      <c r="P96" s="111">
        <v>0</v>
      </c>
      <c r="Q96" s="28">
        <f t="shared" si="23"/>
        <v>0</v>
      </c>
      <c r="R96" s="84">
        <f t="shared" si="24"/>
        <v>0</v>
      </c>
      <c r="S96" s="79">
        <f>J96+P96</f>
        <v>0</v>
      </c>
      <c r="T96" s="34">
        <f t="shared" si="26"/>
        <v>0</v>
      </c>
      <c r="U96" s="1">
        <v>28</v>
      </c>
    </row>
    <row r="97" spans="1:22" ht="24" customHeight="1">
      <c r="A97" s="81">
        <v>47</v>
      </c>
      <c r="B97" s="31" t="s">
        <v>93</v>
      </c>
      <c r="C97" s="103" t="s">
        <v>210</v>
      </c>
      <c r="D97" s="103" t="s">
        <v>194</v>
      </c>
      <c r="E97" s="178" t="s">
        <v>211</v>
      </c>
      <c r="F97" s="104">
        <v>248679.3</v>
      </c>
      <c r="G97" s="104">
        <v>248679.3</v>
      </c>
      <c r="H97" s="104">
        <f>G97-F97</f>
        <v>0</v>
      </c>
      <c r="I97" s="110">
        <v>16871</v>
      </c>
      <c r="J97" s="111">
        <v>0</v>
      </c>
      <c r="K97" s="10">
        <f t="shared" si="20"/>
        <v>0</v>
      </c>
      <c r="L97" s="104">
        <v>248679.3</v>
      </c>
      <c r="M97" s="106">
        <f>L97-G97</f>
        <v>0</v>
      </c>
      <c r="N97" s="110">
        <v>16871</v>
      </c>
      <c r="O97" s="107">
        <f t="shared" si="22"/>
        <v>0</v>
      </c>
      <c r="P97" s="111">
        <v>0</v>
      </c>
      <c r="Q97" s="28">
        <f t="shared" si="23"/>
        <v>0</v>
      </c>
      <c r="R97" s="84">
        <f t="shared" si="24"/>
        <v>0</v>
      </c>
      <c r="S97" s="79">
        <f t="shared" si="25"/>
        <v>0</v>
      </c>
      <c r="T97" s="34">
        <f t="shared" si="26"/>
        <v>0</v>
      </c>
      <c r="U97" s="1">
        <v>34</v>
      </c>
      <c r="V97" t="s">
        <v>94</v>
      </c>
    </row>
    <row r="98" spans="1:22" ht="24" customHeight="1">
      <c r="A98" s="81">
        <v>48</v>
      </c>
      <c r="B98" s="31" t="s">
        <v>95</v>
      </c>
      <c r="C98" s="103" t="s">
        <v>210</v>
      </c>
      <c r="D98" s="103" t="s">
        <v>194</v>
      </c>
      <c r="E98" s="178" t="s">
        <v>211</v>
      </c>
      <c r="F98" s="104">
        <v>245540.2</v>
      </c>
      <c r="G98" s="104">
        <v>245540.2</v>
      </c>
      <c r="H98" s="104">
        <f t="shared" si="19"/>
        <v>0</v>
      </c>
      <c r="I98" s="110">
        <v>18303</v>
      </c>
      <c r="J98" s="111">
        <v>0</v>
      </c>
      <c r="K98" s="10">
        <f t="shared" si="20"/>
        <v>0</v>
      </c>
      <c r="L98" s="104">
        <v>245540.2</v>
      </c>
      <c r="M98" s="106">
        <f t="shared" si="21"/>
        <v>0</v>
      </c>
      <c r="N98" s="110">
        <v>18303</v>
      </c>
      <c r="O98" s="107">
        <f t="shared" si="22"/>
        <v>0</v>
      </c>
      <c r="P98" s="111">
        <v>0</v>
      </c>
      <c r="Q98" s="28">
        <f t="shared" si="23"/>
        <v>0</v>
      </c>
      <c r="R98" s="84">
        <f t="shared" si="24"/>
        <v>0</v>
      </c>
      <c r="S98" s="79">
        <f t="shared" si="25"/>
        <v>0</v>
      </c>
      <c r="T98" s="34">
        <f t="shared" si="26"/>
        <v>0</v>
      </c>
      <c r="U98" s="1">
        <v>21</v>
      </c>
    </row>
    <row r="99" spans="1:22" ht="24" customHeight="1">
      <c r="A99" s="81">
        <v>49</v>
      </c>
      <c r="B99" s="31" t="s">
        <v>96</v>
      </c>
      <c r="C99" s="103" t="s">
        <v>210</v>
      </c>
      <c r="D99" s="103" t="s">
        <v>194</v>
      </c>
      <c r="E99" s="178" t="s">
        <v>211</v>
      </c>
      <c r="F99" s="35">
        <v>250125</v>
      </c>
      <c r="G99" s="35">
        <v>250125</v>
      </c>
      <c r="H99" s="104">
        <f t="shared" si="19"/>
        <v>0</v>
      </c>
      <c r="I99" s="110">
        <v>17986</v>
      </c>
      <c r="J99" s="111">
        <v>0</v>
      </c>
      <c r="K99" s="10">
        <f>IFERROR(H99/J99,0)</f>
        <v>0</v>
      </c>
      <c r="L99" s="35">
        <v>250125</v>
      </c>
      <c r="M99" s="106">
        <f t="shared" si="21"/>
        <v>0</v>
      </c>
      <c r="N99" s="110">
        <v>17986</v>
      </c>
      <c r="O99" s="107">
        <f t="shared" si="22"/>
        <v>0</v>
      </c>
      <c r="P99" s="111">
        <v>0</v>
      </c>
      <c r="Q99" s="28">
        <f t="shared" si="23"/>
        <v>0</v>
      </c>
      <c r="R99" s="84">
        <f t="shared" si="24"/>
        <v>0</v>
      </c>
      <c r="S99" s="79">
        <f t="shared" si="25"/>
        <v>0</v>
      </c>
      <c r="T99" s="34">
        <f t="shared" si="26"/>
        <v>0</v>
      </c>
      <c r="U99" s="1">
        <v>25</v>
      </c>
    </row>
    <row r="100" spans="1:22" ht="24" customHeight="1">
      <c r="A100" s="81">
        <v>50</v>
      </c>
      <c r="B100" s="31" t="s">
        <v>97</v>
      </c>
      <c r="C100" s="103" t="s">
        <v>210</v>
      </c>
      <c r="D100" s="103" t="s">
        <v>194</v>
      </c>
      <c r="E100" s="178" t="s">
        <v>211</v>
      </c>
      <c r="F100" s="104">
        <v>238868.7</v>
      </c>
      <c r="G100" s="104">
        <v>238868.7</v>
      </c>
      <c r="H100" s="104">
        <f t="shared" si="19"/>
        <v>0</v>
      </c>
      <c r="I100" s="110">
        <v>16501</v>
      </c>
      <c r="J100" s="111">
        <v>0</v>
      </c>
      <c r="K100" s="10">
        <f t="shared" si="20"/>
        <v>0</v>
      </c>
      <c r="L100" s="104">
        <v>238868.7</v>
      </c>
      <c r="M100" s="106">
        <f t="shared" si="21"/>
        <v>0</v>
      </c>
      <c r="N100" s="110">
        <v>16501</v>
      </c>
      <c r="O100" s="107">
        <f t="shared" si="22"/>
        <v>0</v>
      </c>
      <c r="P100" s="111">
        <v>0</v>
      </c>
      <c r="Q100" s="28">
        <f t="shared" si="23"/>
        <v>0</v>
      </c>
      <c r="R100" s="84">
        <f t="shared" si="24"/>
        <v>0</v>
      </c>
      <c r="S100" s="79">
        <f t="shared" si="25"/>
        <v>0</v>
      </c>
      <c r="T100" s="34">
        <f t="shared" si="26"/>
        <v>0</v>
      </c>
      <c r="U100" s="1">
        <v>32</v>
      </c>
    </row>
    <row r="101" spans="1:22" ht="24" customHeight="1">
      <c r="A101" s="81">
        <v>51</v>
      </c>
      <c r="B101" s="121" t="s">
        <v>166</v>
      </c>
      <c r="C101" s="103" t="s">
        <v>210</v>
      </c>
      <c r="D101" s="103" t="s">
        <v>194</v>
      </c>
      <c r="E101" s="178" t="s">
        <v>222</v>
      </c>
      <c r="F101" s="104">
        <v>206632</v>
      </c>
      <c r="G101" s="104">
        <v>206632</v>
      </c>
      <c r="H101" s="118">
        <f t="shared" si="19"/>
        <v>0</v>
      </c>
      <c r="I101" s="110">
        <v>17598</v>
      </c>
      <c r="J101" s="111">
        <v>0</v>
      </c>
      <c r="K101" s="55">
        <f t="shared" si="20"/>
        <v>0</v>
      </c>
      <c r="L101" s="104">
        <v>206632</v>
      </c>
      <c r="M101" s="119">
        <f t="shared" si="21"/>
        <v>0</v>
      </c>
      <c r="N101" s="110">
        <v>17598</v>
      </c>
      <c r="O101" s="120">
        <f t="shared" si="22"/>
        <v>0</v>
      </c>
      <c r="P101" s="111">
        <v>0</v>
      </c>
      <c r="Q101" s="28">
        <f t="shared" si="23"/>
        <v>0</v>
      </c>
      <c r="R101" s="58">
        <f t="shared" si="24"/>
        <v>0</v>
      </c>
      <c r="S101" s="79">
        <f t="shared" si="25"/>
        <v>0</v>
      </c>
      <c r="T101" s="34">
        <f t="shared" si="26"/>
        <v>0</v>
      </c>
      <c r="U101" s="1">
        <v>27</v>
      </c>
    </row>
    <row r="102" spans="1:22" ht="24" customHeight="1">
      <c r="A102" s="81">
        <v>52</v>
      </c>
      <c r="B102" s="121" t="s">
        <v>167</v>
      </c>
      <c r="C102" s="103" t="s">
        <v>210</v>
      </c>
      <c r="D102" s="103" t="s">
        <v>194</v>
      </c>
      <c r="E102" s="178" t="s">
        <v>222</v>
      </c>
      <c r="F102" s="104">
        <v>186406</v>
      </c>
      <c r="G102" s="104">
        <v>186406</v>
      </c>
      <c r="H102" s="118">
        <f t="shared" si="19"/>
        <v>0</v>
      </c>
      <c r="I102" s="110">
        <v>16317</v>
      </c>
      <c r="J102" s="111">
        <v>0</v>
      </c>
      <c r="K102" s="55">
        <f t="shared" si="20"/>
        <v>0</v>
      </c>
      <c r="L102" s="104">
        <v>186406</v>
      </c>
      <c r="M102" s="119">
        <f t="shared" si="21"/>
        <v>0</v>
      </c>
      <c r="N102" s="110">
        <v>16317</v>
      </c>
      <c r="O102" s="120">
        <f t="shared" si="22"/>
        <v>0</v>
      </c>
      <c r="P102" s="111">
        <v>0</v>
      </c>
      <c r="Q102" s="28">
        <f t="shared" si="23"/>
        <v>0</v>
      </c>
      <c r="R102" s="58">
        <f t="shared" si="24"/>
        <v>0</v>
      </c>
      <c r="S102" s="79">
        <f t="shared" si="25"/>
        <v>0</v>
      </c>
      <c r="T102" s="34">
        <f t="shared" si="26"/>
        <v>0</v>
      </c>
      <c r="U102" s="1">
        <v>0</v>
      </c>
    </row>
    <row r="103" spans="1:22" ht="24" customHeight="1">
      <c r="A103" s="81">
        <v>53</v>
      </c>
      <c r="B103" s="121" t="s">
        <v>168</v>
      </c>
      <c r="C103" s="103" t="s">
        <v>210</v>
      </c>
      <c r="D103" s="103" t="s">
        <v>194</v>
      </c>
      <c r="E103" s="178" t="s">
        <v>222</v>
      </c>
      <c r="F103" s="104">
        <v>193619</v>
      </c>
      <c r="G103" s="104">
        <v>193619</v>
      </c>
      <c r="H103" s="118">
        <f t="shared" si="19"/>
        <v>0</v>
      </c>
      <c r="I103" s="110">
        <v>17273</v>
      </c>
      <c r="J103" s="111">
        <v>0</v>
      </c>
      <c r="K103" s="55">
        <f t="shared" si="20"/>
        <v>0</v>
      </c>
      <c r="L103" s="104">
        <v>193619</v>
      </c>
      <c r="M103" s="119">
        <f t="shared" si="21"/>
        <v>0</v>
      </c>
      <c r="N103" s="110">
        <v>17273</v>
      </c>
      <c r="O103" s="120">
        <f t="shared" si="22"/>
        <v>0</v>
      </c>
      <c r="P103" s="111">
        <v>0</v>
      </c>
      <c r="Q103" s="28">
        <f t="shared" si="23"/>
        <v>0</v>
      </c>
      <c r="R103" s="58">
        <f t="shared" si="24"/>
        <v>0</v>
      </c>
      <c r="S103" s="79">
        <f t="shared" si="25"/>
        <v>0</v>
      </c>
      <c r="T103" s="34">
        <f t="shared" si="26"/>
        <v>0</v>
      </c>
      <c r="U103" s="1">
        <v>33</v>
      </c>
    </row>
    <row r="104" spans="1:22" ht="24" customHeight="1">
      <c r="A104" s="81">
        <v>54</v>
      </c>
      <c r="B104" s="121" t="s">
        <v>169</v>
      </c>
      <c r="C104" s="103" t="s">
        <v>210</v>
      </c>
      <c r="D104" s="103" t="s">
        <v>194</v>
      </c>
      <c r="E104" s="178" t="s">
        <v>222</v>
      </c>
      <c r="F104" s="104">
        <v>197688</v>
      </c>
      <c r="G104" s="104">
        <v>197688</v>
      </c>
      <c r="H104" s="118">
        <f t="shared" si="19"/>
        <v>0</v>
      </c>
      <c r="I104" s="110">
        <v>16758</v>
      </c>
      <c r="J104" s="111">
        <v>0</v>
      </c>
      <c r="K104" s="55">
        <f t="shared" si="20"/>
        <v>0</v>
      </c>
      <c r="L104" s="104">
        <v>197688</v>
      </c>
      <c r="M104" s="119">
        <f t="shared" si="21"/>
        <v>0</v>
      </c>
      <c r="N104" s="110">
        <v>16758</v>
      </c>
      <c r="O104" s="120">
        <f t="shared" si="22"/>
        <v>0</v>
      </c>
      <c r="P104" s="111">
        <v>0</v>
      </c>
      <c r="Q104" s="28">
        <f t="shared" si="23"/>
        <v>0</v>
      </c>
      <c r="R104" s="58">
        <f t="shared" si="24"/>
        <v>0</v>
      </c>
      <c r="S104" s="79">
        <f t="shared" si="25"/>
        <v>0</v>
      </c>
      <c r="T104" s="34">
        <f t="shared" si="26"/>
        <v>0</v>
      </c>
      <c r="U104" s="1">
        <v>26</v>
      </c>
    </row>
    <row r="105" spans="1:22" ht="24" customHeight="1">
      <c r="A105" s="81">
        <v>55</v>
      </c>
      <c r="B105" s="121" t="s">
        <v>104</v>
      </c>
      <c r="C105" s="103" t="s">
        <v>210</v>
      </c>
      <c r="D105" s="31" t="s">
        <v>194</v>
      </c>
      <c r="E105" s="31" t="s">
        <v>212</v>
      </c>
      <c r="F105" s="104">
        <v>72832.899999999994</v>
      </c>
      <c r="G105" s="104">
        <v>72832.899999999994</v>
      </c>
      <c r="H105" s="118">
        <f t="shared" si="19"/>
        <v>0</v>
      </c>
      <c r="I105" s="110">
        <v>4926</v>
      </c>
      <c r="J105" s="111">
        <v>0</v>
      </c>
      <c r="K105" s="78">
        <f t="shared" si="20"/>
        <v>0</v>
      </c>
      <c r="L105" s="104">
        <v>72832.899999999994</v>
      </c>
      <c r="M105" s="112">
        <f t="shared" si="21"/>
        <v>0</v>
      </c>
      <c r="N105" s="110">
        <v>4926</v>
      </c>
      <c r="O105" s="107">
        <f t="shared" si="22"/>
        <v>0</v>
      </c>
      <c r="P105" s="111">
        <v>0</v>
      </c>
      <c r="Q105" s="28">
        <f t="shared" si="23"/>
        <v>0</v>
      </c>
      <c r="R105" s="58">
        <f t="shared" si="24"/>
        <v>0</v>
      </c>
      <c r="S105" s="79">
        <f t="shared" si="25"/>
        <v>0</v>
      </c>
      <c r="T105" s="34">
        <f t="shared" si="26"/>
        <v>0</v>
      </c>
      <c r="U105" s="1">
        <v>34</v>
      </c>
    </row>
    <row r="106" spans="1:22" ht="24" customHeight="1">
      <c r="A106" s="81">
        <v>56</v>
      </c>
      <c r="B106" s="121" t="s">
        <v>105</v>
      </c>
      <c r="C106" s="103" t="s">
        <v>210</v>
      </c>
      <c r="D106" s="31" t="s">
        <v>194</v>
      </c>
      <c r="E106" s="31" t="s">
        <v>212</v>
      </c>
      <c r="F106" s="35">
        <v>71668</v>
      </c>
      <c r="G106" s="35">
        <v>71668</v>
      </c>
      <c r="H106" s="122">
        <f t="shared" si="19"/>
        <v>0</v>
      </c>
      <c r="I106" s="110">
        <v>4942</v>
      </c>
      <c r="J106" s="111">
        <v>0</v>
      </c>
      <c r="K106" s="78">
        <f t="shared" si="20"/>
        <v>0</v>
      </c>
      <c r="L106" s="35">
        <v>71668</v>
      </c>
      <c r="M106" s="112">
        <f t="shared" si="21"/>
        <v>0</v>
      </c>
      <c r="N106" s="110">
        <v>4942</v>
      </c>
      <c r="O106" s="107">
        <f t="shared" si="22"/>
        <v>0</v>
      </c>
      <c r="P106" s="111">
        <v>0</v>
      </c>
      <c r="Q106" s="28">
        <f t="shared" si="23"/>
        <v>0</v>
      </c>
      <c r="R106" s="58">
        <f t="shared" si="24"/>
        <v>0</v>
      </c>
      <c r="S106" s="79">
        <f t="shared" si="25"/>
        <v>0</v>
      </c>
      <c r="T106" s="34">
        <f t="shared" si="26"/>
        <v>0</v>
      </c>
      <c r="U106" s="1">
        <v>33</v>
      </c>
    </row>
    <row r="107" spans="1:22" ht="24" customHeight="1">
      <c r="A107" s="81">
        <v>57</v>
      </c>
      <c r="B107" s="121" t="s">
        <v>106</v>
      </c>
      <c r="C107" s="103" t="s">
        <v>210</v>
      </c>
      <c r="D107" s="31" t="s">
        <v>194</v>
      </c>
      <c r="E107" s="31" t="s">
        <v>212</v>
      </c>
      <c r="F107" s="104">
        <v>69542.399999999994</v>
      </c>
      <c r="G107" s="104">
        <v>69542.399999999994</v>
      </c>
      <c r="H107" s="122">
        <f t="shared" si="19"/>
        <v>0</v>
      </c>
      <c r="I107" s="110">
        <v>4965</v>
      </c>
      <c r="J107" s="111">
        <v>0</v>
      </c>
      <c r="K107" s="78">
        <f t="shared" si="20"/>
        <v>0</v>
      </c>
      <c r="L107" s="104">
        <v>69542.399999999994</v>
      </c>
      <c r="M107" s="112">
        <f t="shared" si="21"/>
        <v>0</v>
      </c>
      <c r="N107" s="110">
        <v>4965</v>
      </c>
      <c r="O107" s="107">
        <f t="shared" si="22"/>
        <v>0</v>
      </c>
      <c r="P107" s="111">
        <v>0</v>
      </c>
      <c r="Q107" s="28">
        <f t="shared" si="23"/>
        <v>0</v>
      </c>
      <c r="R107" s="58">
        <f t="shared" si="24"/>
        <v>0</v>
      </c>
      <c r="S107" s="79">
        <f t="shared" si="25"/>
        <v>0</v>
      </c>
      <c r="T107" s="34">
        <f t="shared" si="26"/>
        <v>0</v>
      </c>
      <c r="U107" s="1">
        <v>30</v>
      </c>
    </row>
    <row r="108" spans="1:22" ht="24" customHeight="1">
      <c r="A108" s="81">
        <v>58</v>
      </c>
      <c r="B108" s="121" t="s">
        <v>107</v>
      </c>
      <c r="C108" s="103" t="s">
        <v>210</v>
      </c>
      <c r="D108" s="31" t="s">
        <v>194</v>
      </c>
      <c r="E108" s="31" t="s">
        <v>212</v>
      </c>
      <c r="F108" s="104">
        <v>71808.5</v>
      </c>
      <c r="G108" s="104">
        <v>71808.5</v>
      </c>
      <c r="H108" s="122">
        <f t="shared" si="19"/>
        <v>0</v>
      </c>
      <c r="I108" s="110">
        <v>4966</v>
      </c>
      <c r="J108" s="111">
        <v>0</v>
      </c>
      <c r="K108" s="78">
        <f t="shared" si="20"/>
        <v>0</v>
      </c>
      <c r="L108" s="104">
        <v>71808.5</v>
      </c>
      <c r="M108" s="112">
        <f t="shared" si="21"/>
        <v>0</v>
      </c>
      <c r="N108" s="110">
        <v>4966</v>
      </c>
      <c r="O108" s="107">
        <f t="shared" si="22"/>
        <v>0</v>
      </c>
      <c r="P108" s="111">
        <v>0</v>
      </c>
      <c r="Q108" s="28">
        <f t="shared" si="23"/>
        <v>0</v>
      </c>
      <c r="R108" s="58">
        <f t="shared" si="24"/>
        <v>0</v>
      </c>
      <c r="S108" s="79">
        <f t="shared" si="25"/>
        <v>0</v>
      </c>
      <c r="T108" s="34">
        <f t="shared" si="26"/>
        <v>0</v>
      </c>
      <c r="U108" s="1">
        <v>30</v>
      </c>
    </row>
    <row r="109" spans="1:22" ht="24" customHeight="1">
      <c r="A109" s="81">
        <v>59</v>
      </c>
      <c r="B109" s="121" t="s">
        <v>108</v>
      </c>
      <c r="C109" s="103" t="s">
        <v>210</v>
      </c>
      <c r="D109" s="31" t="s">
        <v>194</v>
      </c>
      <c r="E109" s="31" t="s">
        <v>212</v>
      </c>
      <c r="F109" s="104">
        <v>70892.5</v>
      </c>
      <c r="G109" s="104">
        <v>70892.5</v>
      </c>
      <c r="H109" s="122">
        <f t="shared" si="19"/>
        <v>0</v>
      </c>
      <c r="I109" s="110">
        <v>4932</v>
      </c>
      <c r="J109" s="111">
        <v>0</v>
      </c>
      <c r="K109" s="78">
        <f t="shared" si="20"/>
        <v>0</v>
      </c>
      <c r="L109" s="104">
        <v>70892.5</v>
      </c>
      <c r="M109" s="112">
        <f t="shared" si="21"/>
        <v>0</v>
      </c>
      <c r="N109" s="110">
        <v>4932</v>
      </c>
      <c r="O109" s="107">
        <f t="shared" si="22"/>
        <v>0</v>
      </c>
      <c r="P109" s="111">
        <v>0</v>
      </c>
      <c r="Q109" s="28">
        <f t="shared" si="23"/>
        <v>0</v>
      </c>
      <c r="R109" s="58">
        <f t="shared" si="24"/>
        <v>0</v>
      </c>
      <c r="S109" s="79">
        <f t="shared" si="25"/>
        <v>0</v>
      </c>
      <c r="T109" s="34">
        <f t="shared" si="26"/>
        <v>0</v>
      </c>
      <c r="U109" s="1">
        <v>30</v>
      </c>
    </row>
    <row r="110" spans="1:22" ht="24" customHeight="1">
      <c r="A110" s="81">
        <v>60</v>
      </c>
      <c r="B110" s="121" t="s">
        <v>109</v>
      </c>
      <c r="C110" s="103" t="s">
        <v>210</v>
      </c>
      <c r="D110" s="31" t="s">
        <v>194</v>
      </c>
      <c r="E110" s="31" t="s">
        <v>212</v>
      </c>
      <c r="F110" s="104">
        <v>72825.399999999994</v>
      </c>
      <c r="G110" s="104">
        <v>72825.399999999994</v>
      </c>
      <c r="H110" s="118">
        <f t="shared" si="19"/>
        <v>0</v>
      </c>
      <c r="I110" s="110">
        <v>5025</v>
      </c>
      <c r="J110" s="111">
        <v>0</v>
      </c>
      <c r="K110" s="55">
        <f t="shared" si="20"/>
        <v>0</v>
      </c>
      <c r="L110" s="104">
        <v>72825.399999999994</v>
      </c>
      <c r="M110" s="119">
        <f t="shared" si="21"/>
        <v>0</v>
      </c>
      <c r="N110" s="110">
        <v>5025</v>
      </c>
      <c r="O110" s="120">
        <f t="shared" si="22"/>
        <v>0</v>
      </c>
      <c r="P110" s="111">
        <v>0</v>
      </c>
      <c r="Q110" s="28">
        <f t="shared" si="23"/>
        <v>0</v>
      </c>
      <c r="R110" s="58">
        <f t="shared" si="24"/>
        <v>0</v>
      </c>
      <c r="S110" s="79">
        <f t="shared" si="25"/>
        <v>0</v>
      </c>
      <c r="T110" s="34">
        <f t="shared" si="26"/>
        <v>0</v>
      </c>
      <c r="U110" s="1">
        <v>32</v>
      </c>
    </row>
    <row r="111" spans="1:22" ht="24" customHeight="1">
      <c r="A111" s="81">
        <v>61</v>
      </c>
      <c r="B111" s="121" t="s">
        <v>176</v>
      </c>
      <c r="C111" s="103" t="s">
        <v>210</v>
      </c>
      <c r="D111" s="31" t="s">
        <v>194</v>
      </c>
      <c r="E111" s="31" t="s">
        <v>212</v>
      </c>
      <c r="F111" s="104">
        <v>54280.5</v>
      </c>
      <c r="G111" s="104">
        <v>54280.5</v>
      </c>
      <c r="H111" s="118">
        <f t="shared" si="19"/>
        <v>0</v>
      </c>
      <c r="I111" s="110">
        <v>4375</v>
      </c>
      <c r="J111" s="111">
        <v>0</v>
      </c>
      <c r="K111" s="55">
        <f t="shared" si="20"/>
        <v>0</v>
      </c>
      <c r="L111" s="104">
        <v>54280.5</v>
      </c>
      <c r="M111" s="119">
        <f t="shared" si="21"/>
        <v>0</v>
      </c>
      <c r="N111" s="110">
        <v>4375</v>
      </c>
      <c r="O111" s="120">
        <f t="shared" si="22"/>
        <v>0</v>
      </c>
      <c r="P111" s="111">
        <v>0</v>
      </c>
      <c r="Q111" s="28">
        <f t="shared" si="23"/>
        <v>0</v>
      </c>
      <c r="R111" s="58">
        <f t="shared" si="24"/>
        <v>0</v>
      </c>
      <c r="S111" s="79">
        <f t="shared" si="25"/>
        <v>0</v>
      </c>
      <c r="T111" s="34">
        <f t="shared" si="26"/>
        <v>0</v>
      </c>
      <c r="U111" s="1">
        <v>20</v>
      </c>
    </row>
    <row r="112" spans="1:22" ht="24" customHeight="1">
      <c r="A112" s="81">
        <v>62</v>
      </c>
      <c r="B112" s="121" t="s">
        <v>177</v>
      </c>
      <c r="C112" s="103" t="s">
        <v>210</v>
      </c>
      <c r="D112" s="31" t="s">
        <v>194</v>
      </c>
      <c r="E112" s="31" t="s">
        <v>212</v>
      </c>
      <c r="F112" s="104">
        <v>53577</v>
      </c>
      <c r="G112" s="104">
        <v>53577</v>
      </c>
      <c r="H112" s="118">
        <f t="shared" si="19"/>
        <v>0</v>
      </c>
      <c r="I112" s="110">
        <v>4427</v>
      </c>
      <c r="J112" s="111">
        <v>0</v>
      </c>
      <c r="K112" s="55">
        <f t="shared" si="20"/>
        <v>0</v>
      </c>
      <c r="L112" s="104">
        <v>53577</v>
      </c>
      <c r="M112" s="119">
        <f t="shared" si="21"/>
        <v>0</v>
      </c>
      <c r="N112" s="110">
        <v>4427</v>
      </c>
      <c r="O112" s="120">
        <f t="shared" si="22"/>
        <v>0</v>
      </c>
      <c r="P112" s="111">
        <v>0</v>
      </c>
      <c r="Q112" s="28">
        <f t="shared" si="23"/>
        <v>0</v>
      </c>
      <c r="R112" s="58">
        <f t="shared" si="24"/>
        <v>0</v>
      </c>
      <c r="S112" s="79">
        <f t="shared" si="25"/>
        <v>0</v>
      </c>
      <c r="T112" s="34">
        <f t="shared" si="26"/>
        <v>0</v>
      </c>
      <c r="U112" s="1">
        <v>33</v>
      </c>
    </row>
    <row r="113" spans="1:21" ht="24" customHeight="1">
      <c r="A113" s="81">
        <v>63</v>
      </c>
      <c r="B113" s="121" t="s">
        <v>178</v>
      </c>
      <c r="C113" s="103" t="s">
        <v>210</v>
      </c>
      <c r="D113" s="31" t="s">
        <v>194</v>
      </c>
      <c r="E113" s="31" t="s">
        <v>212</v>
      </c>
      <c r="F113" s="104">
        <v>52110.5</v>
      </c>
      <c r="G113" s="104">
        <v>52110.5</v>
      </c>
      <c r="H113" s="118">
        <f t="shared" si="19"/>
        <v>0</v>
      </c>
      <c r="I113" s="110">
        <v>4167</v>
      </c>
      <c r="J113" s="111">
        <v>0</v>
      </c>
      <c r="K113" s="55">
        <f t="shared" si="20"/>
        <v>0</v>
      </c>
      <c r="L113" s="104">
        <v>52110.5</v>
      </c>
      <c r="M113" s="119">
        <f t="shared" si="21"/>
        <v>0</v>
      </c>
      <c r="N113" s="110">
        <v>4167</v>
      </c>
      <c r="O113" s="120">
        <f t="shared" si="22"/>
        <v>0</v>
      </c>
      <c r="P113" s="111">
        <v>0</v>
      </c>
      <c r="Q113" s="28">
        <f t="shared" si="23"/>
        <v>0</v>
      </c>
      <c r="R113" s="58">
        <f t="shared" si="24"/>
        <v>0</v>
      </c>
      <c r="S113" s="79">
        <f t="shared" si="25"/>
        <v>0</v>
      </c>
      <c r="T113" s="34">
        <f t="shared" si="26"/>
        <v>0</v>
      </c>
      <c r="U113" s="1">
        <v>32</v>
      </c>
    </row>
    <row r="114" spans="1:21" ht="24" customHeight="1">
      <c r="A114" s="81">
        <v>64</v>
      </c>
      <c r="B114" s="121" t="s">
        <v>179</v>
      </c>
      <c r="C114" s="103" t="s">
        <v>210</v>
      </c>
      <c r="D114" s="31" t="s">
        <v>194</v>
      </c>
      <c r="E114" s="31" t="s">
        <v>212</v>
      </c>
      <c r="F114" s="104">
        <v>52929.8</v>
      </c>
      <c r="G114" s="104">
        <v>52929.8</v>
      </c>
      <c r="H114" s="118">
        <f t="shared" si="19"/>
        <v>0</v>
      </c>
      <c r="I114" s="110">
        <v>4334</v>
      </c>
      <c r="J114" s="111">
        <v>0</v>
      </c>
      <c r="K114" s="55">
        <f t="shared" si="20"/>
        <v>0</v>
      </c>
      <c r="L114" s="104">
        <v>52929.8</v>
      </c>
      <c r="M114" s="119">
        <f t="shared" si="21"/>
        <v>0</v>
      </c>
      <c r="N114" s="110">
        <v>4334</v>
      </c>
      <c r="O114" s="120">
        <f t="shared" si="22"/>
        <v>0</v>
      </c>
      <c r="P114" s="111">
        <v>0</v>
      </c>
      <c r="Q114" s="28">
        <f t="shared" si="23"/>
        <v>0</v>
      </c>
      <c r="R114" s="58">
        <f t="shared" si="24"/>
        <v>0</v>
      </c>
      <c r="S114" s="79">
        <f t="shared" si="25"/>
        <v>0</v>
      </c>
      <c r="T114" s="34">
        <f t="shared" si="26"/>
        <v>0</v>
      </c>
      <c r="U114" s="1">
        <v>27</v>
      </c>
    </row>
    <row r="115" spans="1:21" ht="24" customHeight="1">
      <c r="A115" s="81">
        <v>65</v>
      </c>
      <c r="B115" s="121" t="s">
        <v>180</v>
      </c>
      <c r="C115" s="103" t="s">
        <v>210</v>
      </c>
      <c r="D115" s="31" t="s">
        <v>194</v>
      </c>
      <c r="E115" s="31" t="s">
        <v>212</v>
      </c>
      <c r="F115" s="104">
        <v>53301.3</v>
      </c>
      <c r="G115" s="104">
        <v>53301.3</v>
      </c>
      <c r="H115" s="118">
        <f t="shared" si="19"/>
        <v>0</v>
      </c>
      <c r="I115" s="110">
        <v>4276</v>
      </c>
      <c r="J115" s="111">
        <v>0</v>
      </c>
      <c r="K115" s="55">
        <f t="shared" si="20"/>
        <v>0</v>
      </c>
      <c r="L115" s="104">
        <v>53301.3</v>
      </c>
      <c r="M115" s="119">
        <f t="shared" si="21"/>
        <v>0</v>
      </c>
      <c r="N115" s="110">
        <v>4276</v>
      </c>
      <c r="O115" s="120">
        <f t="shared" si="22"/>
        <v>0</v>
      </c>
      <c r="P115" s="111">
        <v>0</v>
      </c>
      <c r="Q115" s="28">
        <f t="shared" si="23"/>
        <v>0</v>
      </c>
      <c r="R115" s="58">
        <f t="shared" si="24"/>
        <v>0</v>
      </c>
      <c r="S115" s="79">
        <f t="shared" si="25"/>
        <v>0</v>
      </c>
      <c r="T115" s="34">
        <f t="shared" si="26"/>
        <v>0</v>
      </c>
      <c r="U115" s="1">
        <v>34</v>
      </c>
    </row>
    <row r="116" spans="1:21" ht="24" customHeight="1">
      <c r="A116" s="81">
        <v>66</v>
      </c>
      <c r="B116" s="121" t="s">
        <v>110</v>
      </c>
      <c r="C116" s="103" t="s">
        <v>210</v>
      </c>
      <c r="D116" s="31" t="s">
        <v>194</v>
      </c>
      <c r="E116" s="31" t="s">
        <v>212</v>
      </c>
      <c r="F116" s="104">
        <v>36596.199999999997</v>
      </c>
      <c r="G116" s="104">
        <v>36596.199999999997</v>
      </c>
      <c r="H116" s="118">
        <f t="shared" si="19"/>
        <v>0</v>
      </c>
      <c r="I116" s="110">
        <v>2936</v>
      </c>
      <c r="J116" s="111">
        <v>0</v>
      </c>
      <c r="K116" s="55">
        <f t="shared" si="20"/>
        <v>0</v>
      </c>
      <c r="L116" s="104">
        <v>36596.199999999997</v>
      </c>
      <c r="M116" s="119">
        <f t="shared" si="21"/>
        <v>0</v>
      </c>
      <c r="N116" s="110">
        <v>2936</v>
      </c>
      <c r="O116" s="120">
        <f t="shared" si="22"/>
        <v>0</v>
      </c>
      <c r="P116" s="111">
        <v>0</v>
      </c>
      <c r="Q116" s="28">
        <f t="shared" si="23"/>
        <v>0</v>
      </c>
      <c r="R116" s="58">
        <f t="shared" si="24"/>
        <v>0</v>
      </c>
      <c r="S116" s="79">
        <f t="shared" si="25"/>
        <v>0</v>
      </c>
      <c r="T116" s="34">
        <f t="shared" si="26"/>
        <v>0</v>
      </c>
      <c r="U116" s="1">
        <v>32</v>
      </c>
    </row>
    <row r="117" spans="1:21" ht="22.2" customHeight="1">
      <c r="A117" s="123" t="s">
        <v>28</v>
      </c>
      <c r="B117" s="123"/>
      <c r="C117" s="123"/>
      <c r="D117" s="123"/>
      <c r="E117" s="123"/>
      <c r="F117" s="40"/>
      <c r="G117" s="123"/>
      <c r="H117" s="124">
        <f>SUM(H51:H116)</f>
        <v>0</v>
      </c>
      <c r="I117" s="125"/>
      <c r="J117" s="126">
        <f>SUM(J51:J116)</f>
        <v>0</v>
      </c>
      <c r="K117" s="39"/>
      <c r="L117" s="40"/>
      <c r="M117" s="40">
        <f>SUM(M51:M116)</f>
        <v>0</v>
      </c>
      <c r="N117" s="127"/>
      <c r="O117" s="128">
        <f>SUM(O51:O116)</f>
        <v>0</v>
      </c>
      <c r="P117" s="128">
        <f>SUM(P51:P116)</f>
        <v>0</v>
      </c>
      <c r="Q117" s="28">
        <f>IFERROR(M117/P117,0)</f>
        <v>0</v>
      </c>
      <c r="R117" s="129">
        <f>SUM(R51:R116)</f>
        <v>0</v>
      </c>
      <c r="S117" s="79">
        <f>J117+P117</f>
        <v>0</v>
      </c>
      <c r="T117" s="34">
        <f>IFERROR(R117/S117,0)</f>
        <v>0</v>
      </c>
      <c r="U117" s="130">
        <f>SUM(U51:U116)</f>
        <v>1669</v>
      </c>
    </row>
    <row r="118" spans="1:21" ht="22.2" customHeight="1" thickBot="1">
      <c r="A118" s="206" t="s">
        <v>111</v>
      </c>
      <c r="B118" s="207"/>
      <c r="C118" s="207"/>
      <c r="D118" s="207"/>
      <c r="E118" s="207"/>
      <c r="F118" s="207"/>
      <c r="G118" s="207"/>
      <c r="H118" s="207"/>
      <c r="I118" s="207"/>
      <c r="J118" s="207"/>
      <c r="K118" s="207"/>
      <c r="L118" s="207"/>
      <c r="M118" s="207"/>
      <c r="N118" s="207"/>
      <c r="O118" s="208"/>
      <c r="P118" s="131"/>
      <c r="Q118" s="132"/>
      <c r="R118" s="133"/>
    </row>
    <row r="119" spans="1:21" ht="22.2" customHeight="1">
      <c r="A119" s="209" t="s">
        <v>3</v>
      </c>
      <c r="B119" s="211" t="s">
        <v>4</v>
      </c>
      <c r="C119" s="174"/>
      <c r="D119" s="174"/>
      <c r="E119" s="174"/>
      <c r="F119" s="213" t="s">
        <v>5</v>
      </c>
      <c r="G119" s="214"/>
      <c r="H119" s="214"/>
      <c r="I119" s="214"/>
      <c r="J119" s="215"/>
      <c r="K119" s="216" t="s">
        <v>6</v>
      </c>
      <c r="L119" s="217"/>
      <c r="M119" s="217"/>
      <c r="N119" s="218"/>
      <c r="O119" s="48"/>
      <c r="P119" s="219" t="s">
        <v>7</v>
      </c>
      <c r="Q119" s="194" t="s">
        <v>8</v>
      </c>
      <c r="R119" s="37"/>
    </row>
    <row r="120" spans="1:21" ht="27.6" customHeight="1" thickBot="1">
      <c r="A120" s="210"/>
      <c r="B120" s="212"/>
      <c r="C120" s="173"/>
      <c r="D120" s="173"/>
      <c r="E120" s="173"/>
      <c r="F120" s="49" t="s">
        <v>11</v>
      </c>
      <c r="G120" s="49" t="s">
        <v>12</v>
      </c>
      <c r="H120" s="49" t="s">
        <v>13</v>
      </c>
      <c r="I120" s="6" t="s">
        <v>14</v>
      </c>
      <c r="J120" s="6" t="s">
        <v>8</v>
      </c>
      <c r="K120" s="49" t="s">
        <v>12</v>
      </c>
      <c r="L120" s="49" t="s">
        <v>13</v>
      </c>
      <c r="M120" s="49" t="s">
        <v>14</v>
      </c>
      <c r="N120" s="7" t="s">
        <v>8</v>
      </c>
      <c r="O120" s="50" t="s">
        <v>15</v>
      </c>
      <c r="P120" s="220"/>
      <c r="Q120" s="195"/>
      <c r="R120" s="37"/>
    </row>
    <row r="121" spans="1:21" ht="22.2" customHeight="1">
      <c r="A121" s="76">
        <v>1</v>
      </c>
      <c r="B121" s="186" t="s">
        <v>112</v>
      </c>
      <c r="C121" s="31"/>
      <c r="D121" s="31"/>
      <c r="E121" s="31"/>
      <c r="F121" s="35">
        <v>122082</v>
      </c>
      <c r="G121" s="35">
        <v>122082</v>
      </c>
      <c r="H121" s="17">
        <f>G121-F121</f>
        <v>0</v>
      </c>
      <c r="I121" s="33">
        <v>0</v>
      </c>
      <c r="J121" s="10">
        <f>IFERROR(I121/H121,0)</f>
        <v>0</v>
      </c>
      <c r="K121" s="35">
        <v>122082</v>
      </c>
      <c r="L121" s="19">
        <f>K121-G121</f>
        <v>0</v>
      </c>
      <c r="M121" s="33">
        <v>0</v>
      </c>
      <c r="N121" s="28">
        <f t="shared" ref="N121:N142" si="27">IFERROR(M121/L121,0)</f>
        <v>0</v>
      </c>
      <c r="O121" s="18">
        <f t="shared" ref="O121:P142" si="28">H121+L121</f>
        <v>0</v>
      </c>
      <c r="P121" s="22">
        <f>I121+M121</f>
        <v>0</v>
      </c>
      <c r="Q121" s="71">
        <f>IFERROR(O121/P121,0)</f>
        <v>0</v>
      </c>
      <c r="R121" s="37"/>
    </row>
    <row r="122" spans="1:21" ht="22.2" customHeight="1">
      <c r="A122" s="76">
        <v>2</v>
      </c>
      <c r="B122" s="186" t="s">
        <v>113</v>
      </c>
      <c r="C122" s="31"/>
      <c r="D122" s="31"/>
      <c r="E122" s="31"/>
      <c r="F122" s="35">
        <v>4298.33</v>
      </c>
      <c r="G122" s="35">
        <v>4298.33</v>
      </c>
      <c r="H122" s="17">
        <f t="shared" ref="H122:H142" si="29">G122-F122</f>
        <v>0</v>
      </c>
      <c r="I122" s="33">
        <v>0</v>
      </c>
      <c r="J122" s="10">
        <f t="shared" ref="J122:J142" si="30">IFERROR(I122/H122,0)</f>
        <v>0</v>
      </c>
      <c r="K122" s="35">
        <v>4298.33</v>
      </c>
      <c r="L122" s="19">
        <f>K122-G122</f>
        <v>0</v>
      </c>
      <c r="M122" s="33">
        <v>0</v>
      </c>
      <c r="N122" s="28">
        <f t="shared" si="27"/>
        <v>0</v>
      </c>
      <c r="O122" s="18">
        <f t="shared" si="28"/>
        <v>0</v>
      </c>
      <c r="P122" s="22">
        <f t="shared" si="28"/>
        <v>0</v>
      </c>
      <c r="Q122" s="71">
        <f t="shared" ref="Q122:Q142" si="31">IFERROR(O122/P122,0)</f>
        <v>0</v>
      </c>
      <c r="R122" s="134"/>
    </row>
    <row r="123" spans="1:21" ht="22.2" customHeight="1">
      <c r="A123" s="76">
        <v>3</v>
      </c>
      <c r="B123" s="186" t="s">
        <v>114</v>
      </c>
      <c r="C123" s="31"/>
      <c r="D123" s="31"/>
      <c r="E123" s="31"/>
      <c r="F123" s="35">
        <v>180.5</v>
      </c>
      <c r="G123" s="35">
        <v>180.5</v>
      </c>
      <c r="H123" s="17">
        <f t="shared" si="29"/>
        <v>0</v>
      </c>
      <c r="I123" s="33">
        <v>0</v>
      </c>
      <c r="J123" s="10">
        <f t="shared" si="30"/>
        <v>0</v>
      </c>
      <c r="K123" s="35">
        <v>180.5</v>
      </c>
      <c r="L123" s="19">
        <f t="shared" ref="L123:L141" si="32">K123-G123</f>
        <v>0</v>
      </c>
      <c r="M123" s="33">
        <v>0</v>
      </c>
      <c r="N123" s="28">
        <f t="shared" si="27"/>
        <v>0</v>
      </c>
      <c r="O123" s="18">
        <f t="shared" si="28"/>
        <v>0</v>
      </c>
      <c r="P123" s="22">
        <f t="shared" si="28"/>
        <v>0</v>
      </c>
      <c r="Q123" s="71">
        <f t="shared" si="31"/>
        <v>0</v>
      </c>
      <c r="R123" s="37"/>
    </row>
    <row r="124" spans="1:21" ht="22.2" customHeight="1">
      <c r="A124" s="76">
        <v>4</v>
      </c>
      <c r="B124" s="186" t="s">
        <v>115</v>
      </c>
      <c r="C124" s="31"/>
      <c r="D124" s="31"/>
      <c r="E124" s="31"/>
      <c r="F124" s="136">
        <v>141545</v>
      </c>
      <c r="G124" s="136">
        <v>141545</v>
      </c>
      <c r="H124" s="17">
        <f t="shared" si="29"/>
        <v>0</v>
      </c>
      <c r="I124" s="33">
        <v>0</v>
      </c>
      <c r="J124" s="10">
        <f t="shared" si="30"/>
        <v>0</v>
      </c>
      <c r="K124" s="136">
        <v>141545</v>
      </c>
      <c r="L124" s="19">
        <f t="shared" si="32"/>
        <v>0</v>
      </c>
      <c r="M124" s="33">
        <v>0</v>
      </c>
      <c r="N124" s="28">
        <f t="shared" si="27"/>
        <v>0</v>
      </c>
      <c r="O124" s="18">
        <f t="shared" si="28"/>
        <v>0</v>
      </c>
      <c r="P124" s="22">
        <f t="shared" si="28"/>
        <v>0</v>
      </c>
      <c r="Q124" s="71">
        <f t="shared" si="31"/>
        <v>0</v>
      </c>
      <c r="R124" s="137"/>
    </row>
    <row r="125" spans="1:21" ht="22.2" customHeight="1">
      <c r="A125" s="76">
        <v>5</v>
      </c>
      <c r="B125" s="186" t="s">
        <v>116</v>
      </c>
      <c r="C125" s="31"/>
      <c r="D125" s="31"/>
      <c r="E125" s="31"/>
      <c r="F125" s="35">
        <v>44558.9</v>
      </c>
      <c r="G125" s="35">
        <v>44558.9</v>
      </c>
      <c r="H125" s="17">
        <f t="shared" si="29"/>
        <v>0</v>
      </c>
      <c r="I125" s="33">
        <v>0</v>
      </c>
      <c r="J125" s="10">
        <f t="shared" si="30"/>
        <v>0</v>
      </c>
      <c r="K125" s="35">
        <v>44558.9</v>
      </c>
      <c r="L125" s="19">
        <f t="shared" si="32"/>
        <v>0</v>
      </c>
      <c r="M125" s="33">
        <v>0</v>
      </c>
      <c r="N125" s="28">
        <f t="shared" si="27"/>
        <v>0</v>
      </c>
      <c r="O125" s="18">
        <f t="shared" si="28"/>
        <v>0</v>
      </c>
      <c r="P125" s="22">
        <f t="shared" si="28"/>
        <v>0</v>
      </c>
      <c r="Q125" s="71">
        <f t="shared" si="31"/>
        <v>0</v>
      </c>
      <c r="R125" s="77"/>
    </row>
    <row r="126" spans="1:21" ht="22.2" customHeight="1">
      <c r="A126" s="76">
        <v>6</v>
      </c>
      <c r="B126" s="186" t="s">
        <v>117</v>
      </c>
      <c r="C126" s="31"/>
      <c r="D126" s="31"/>
      <c r="E126" s="31"/>
      <c r="F126" s="35">
        <v>100820</v>
      </c>
      <c r="G126" s="35">
        <v>100820</v>
      </c>
      <c r="H126" s="17">
        <f t="shared" si="29"/>
        <v>0</v>
      </c>
      <c r="I126" s="33">
        <v>0</v>
      </c>
      <c r="J126" s="10">
        <f t="shared" si="30"/>
        <v>0</v>
      </c>
      <c r="K126" s="35">
        <v>100820</v>
      </c>
      <c r="L126" s="19">
        <f t="shared" si="32"/>
        <v>0</v>
      </c>
      <c r="M126" s="33">
        <v>0</v>
      </c>
      <c r="N126" s="28">
        <f t="shared" si="27"/>
        <v>0</v>
      </c>
      <c r="O126" s="18">
        <f t="shared" si="28"/>
        <v>0</v>
      </c>
      <c r="P126" s="22">
        <f t="shared" si="28"/>
        <v>0</v>
      </c>
      <c r="Q126" s="71">
        <f t="shared" si="31"/>
        <v>0</v>
      </c>
      <c r="R126" s="37"/>
    </row>
    <row r="127" spans="1:21" ht="22.2" customHeight="1">
      <c r="A127" s="76">
        <v>7</v>
      </c>
      <c r="B127" s="186" t="s">
        <v>118</v>
      </c>
      <c r="C127" s="31"/>
      <c r="D127" s="31"/>
      <c r="E127" s="31"/>
      <c r="F127" s="35">
        <v>152282.79999999999</v>
      </c>
      <c r="G127" s="35">
        <v>152282.79999999999</v>
      </c>
      <c r="H127" s="17">
        <f t="shared" si="29"/>
        <v>0</v>
      </c>
      <c r="I127" s="33">
        <v>0</v>
      </c>
      <c r="J127" s="10">
        <f t="shared" si="30"/>
        <v>0</v>
      </c>
      <c r="K127" s="35">
        <v>152282.79999999999</v>
      </c>
      <c r="L127" s="19">
        <f t="shared" si="32"/>
        <v>0</v>
      </c>
      <c r="M127" s="33">
        <v>0</v>
      </c>
      <c r="N127" s="28">
        <f t="shared" si="27"/>
        <v>0</v>
      </c>
      <c r="O127" s="18">
        <f t="shared" si="28"/>
        <v>0</v>
      </c>
      <c r="P127" s="22">
        <f>I127+M127</f>
        <v>0</v>
      </c>
      <c r="Q127" s="71">
        <f t="shared" si="31"/>
        <v>0</v>
      </c>
      <c r="R127" s="37"/>
    </row>
    <row r="128" spans="1:21" ht="22.2" customHeight="1">
      <c r="A128" s="76">
        <v>8</v>
      </c>
      <c r="B128" s="187" t="s">
        <v>119</v>
      </c>
      <c r="C128" s="138"/>
      <c r="D128" s="138"/>
      <c r="E128" s="138"/>
      <c r="F128" s="136">
        <v>40766.5</v>
      </c>
      <c r="G128" s="136">
        <v>40766.5</v>
      </c>
      <c r="H128" s="17">
        <f t="shared" si="29"/>
        <v>0</v>
      </c>
      <c r="I128" s="33">
        <v>0</v>
      </c>
      <c r="J128" s="10">
        <f t="shared" si="30"/>
        <v>0</v>
      </c>
      <c r="K128" s="136">
        <v>40766.5</v>
      </c>
      <c r="L128" s="19">
        <f t="shared" si="32"/>
        <v>0</v>
      </c>
      <c r="M128" s="33">
        <v>0</v>
      </c>
      <c r="N128" s="28">
        <f t="shared" si="27"/>
        <v>0</v>
      </c>
      <c r="O128" s="18">
        <f t="shared" si="28"/>
        <v>0</v>
      </c>
      <c r="P128" s="22">
        <f>I128+M128</f>
        <v>0</v>
      </c>
      <c r="Q128" s="71">
        <f t="shared" si="31"/>
        <v>0</v>
      </c>
      <c r="R128" s="37"/>
    </row>
    <row r="129" spans="1:20" ht="22.2" customHeight="1">
      <c r="A129" s="76">
        <v>9</v>
      </c>
      <c r="B129" s="187" t="s">
        <v>120</v>
      </c>
      <c r="C129" s="138"/>
      <c r="D129" s="138"/>
      <c r="E129" s="138"/>
      <c r="F129" s="35">
        <v>33988</v>
      </c>
      <c r="G129" s="35">
        <v>33988</v>
      </c>
      <c r="H129" s="17">
        <f t="shared" si="29"/>
        <v>0</v>
      </c>
      <c r="I129" s="33">
        <v>0</v>
      </c>
      <c r="J129" s="10">
        <f t="shared" si="30"/>
        <v>0</v>
      </c>
      <c r="K129" s="35">
        <v>33988</v>
      </c>
      <c r="L129" s="19">
        <f t="shared" si="32"/>
        <v>0</v>
      </c>
      <c r="M129" s="33">
        <v>0</v>
      </c>
      <c r="N129" s="28">
        <f t="shared" si="27"/>
        <v>0</v>
      </c>
      <c r="O129" s="18">
        <f t="shared" si="28"/>
        <v>0</v>
      </c>
      <c r="P129" s="22">
        <f t="shared" si="28"/>
        <v>0</v>
      </c>
      <c r="Q129" s="71">
        <f t="shared" si="31"/>
        <v>0</v>
      </c>
      <c r="R129" s="37"/>
    </row>
    <row r="130" spans="1:20" ht="22.2" customHeight="1">
      <c r="A130" s="76">
        <v>10</v>
      </c>
      <c r="B130" s="186" t="s">
        <v>121</v>
      </c>
      <c r="C130" s="31"/>
      <c r="D130" s="31"/>
      <c r="E130" s="31"/>
      <c r="F130" s="35">
        <v>156564</v>
      </c>
      <c r="G130" s="35">
        <v>156564</v>
      </c>
      <c r="H130" s="17">
        <f t="shared" si="29"/>
        <v>0</v>
      </c>
      <c r="I130" s="33">
        <v>0</v>
      </c>
      <c r="J130" s="10">
        <f t="shared" si="30"/>
        <v>0</v>
      </c>
      <c r="K130" s="35">
        <v>156564</v>
      </c>
      <c r="L130" s="19">
        <f t="shared" si="32"/>
        <v>0</v>
      </c>
      <c r="M130" s="33">
        <v>0</v>
      </c>
      <c r="N130" s="28">
        <f t="shared" si="27"/>
        <v>0</v>
      </c>
      <c r="O130" s="18">
        <f t="shared" si="28"/>
        <v>0</v>
      </c>
      <c r="P130" s="22">
        <f t="shared" si="28"/>
        <v>0</v>
      </c>
      <c r="Q130" s="71">
        <f t="shared" si="31"/>
        <v>0</v>
      </c>
      <c r="R130" s="137"/>
    </row>
    <row r="131" spans="1:20" ht="23.4" customHeight="1">
      <c r="A131" s="76">
        <v>11</v>
      </c>
      <c r="B131" s="187" t="s">
        <v>122</v>
      </c>
      <c r="C131" s="138"/>
      <c r="D131" s="138"/>
      <c r="E131" s="138"/>
      <c r="F131" s="35">
        <v>36866</v>
      </c>
      <c r="G131" s="35">
        <v>36866</v>
      </c>
      <c r="H131" s="17">
        <f t="shared" si="29"/>
        <v>0</v>
      </c>
      <c r="I131" s="33">
        <v>0</v>
      </c>
      <c r="J131" s="10">
        <f t="shared" si="30"/>
        <v>0</v>
      </c>
      <c r="K131" s="35">
        <v>36866</v>
      </c>
      <c r="L131" s="19">
        <f t="shared" si="32"/>
        <v>0</v>
      </c>
      <c r="M131" s="33">
        <v>0</v>
      </c>
      <c r="N131" s="28">
        <f t="shared" si="27"/>
        <v>0</v>
      </c>
      <c r="O131" s="18">
        <f t="shared" si="28"/>
        <v>0</v>
      </c>
      <c r="P131" s="22">
        <f t="shared" si="28"/>
        <v>0</v>
      </c>
      <c r="Q131" s="71">
        <f t="shared" si="31"/>
        <v>0</v>
      </c>
      <c r="R131" s="37"/>
      <c r="T131" s="38"/>
    </row>
    <row r="132" spans="1:20" ht="22.2" customHeight="1">
      <c r="A132" s="76">
        <v>12</v>
      </c>
      <c r="B132" s="187" t="s">
        <v>123</v>
      </c>
      <c r="C132" s="138"/>
      <c r="D132" s="138"/>
      <c r="E132" s="138"/>
      <c r="F132" s="35">
        <v>16649</v>
      </c>
      <c r="G132" s="35">
        <v>16649</v>
      </c>
      <c r="H132" s="17">
        <f t="shared" si="29"/>
        <v>0</v>
      </c>
      <c r="I132" s="33">
        <v>0</v>
      </c>
      <c r="J132" s="78">
        <f t="shared" si="30"/>
        <v>0</v>
      </c>
      <c r="K132" s="35">
        <v>16649</v>
      </c>
      <c r="L132" s="19">
        <f t="shared" si="32"/>
        <v>0</v>
      </c>
      <c r="M132" s="33">
        <v>0</v>
      </c>
      <c r="N132" s="28">
        <f t="shared" si="27"/>
        <v>0</v>
      </c>
      <c r="O132" s="18">
        <f t="shared" si="28"/>
        <v>0</v>
      </c>
      <c r="P132" s="79">
        <f t="shared" si="28"/>
        <v>0</v>
      </c>
      <c r="Q132" s="71">
        <f t="shared" si="31"/>
        <v>0</v>
      </c>
      <c r="R132" s="37"/>
      <c r="T132" s="45"/>
    </row>
    <row r="133" spans="1:20" ht="21.6" customHeight="1">
      <c r="A133" s="76">
        <v>13</v>
      </c>
      <c r="B133" s="171" t="s">
        <v>124</v>
      </c>
      <c r="C133" s="138"/>
      <c r="D133" s="138"/>
      <c r="E133" s="138"/>
      <c r="F133" s="35">
        <v>890.2</v>
      </c>
      <c r="G133" s="35">
        <v>890.2</v>
      </c>
      <c r="H133" s="17">
        <f t="shared" si="29"/>
        <v>0</v>
      </c>
      <c r="I133" s="35">
        <v>0</v>
      </c>
      <c r="J133" s="78">
        <f t="shared" si="30"/>
        <v>0</v>
      </c>
      <c r="K133" s="35">
        <v>890.2</v>
      </c>
      <c r="L133" s="19">
        <f t="shared" si="32"/>
        <v>0</v>
      </c>
      <c r="M133" s="35">
        <v>0</v>
      </c>
      <c r="N133" s="28">
        <f t="shared" si="27"/>
        <v>0</v>
      </c>
      <c r="O133" s="18">
        <f t="shared" si="28"/>
        <v>0</v>
      </c>
      <c r="P133" s="79">
        <f t="shared" si="28"/>
        <v>0</v>
      </c>
      <c r="Q133" s="71">
        <f t="shared" si="31"/>
        <v>0</v>
      </c>
      <c r="R133" s="37"/>
      <c r="T133" s="45"/>
    </row>
    <row r="134" spans="1:20" ht="21.6" customHeight="1">
      <c r="A134" s="76">
        <v>14</v>
      </c>
      <c r="B134" s="171" t="s">
        <v>174</v>
      </c>
      <c r="C134" s="138"/>
      <c r="D134" s="138"/>
      <c r="E134" s="138"/>
      <c r="F134" s="35">
        <v>3066</v>
      </c>
      <c r="G134" s="35">
        <v>3066</v>
      </c>
      <c r="H134" s="17">
        <f t="shared" si="29"/>
        <v>0</v>
      </c>
      <c r="I134" s="35">
        <v>0</v>
      </c>
      <c r="J134" s="78">
        <f t="shared" si="30"/>
        <v>0</v>
      </c>
      <c r="K134" s="35">
        <v>3066</v>
      </c>
      <c r="L134" s="19">
        <f t="shared" si="32"/>
        <v>0</v>
      </c>
      <c r="M134" s="141">
        <v>0</v>
      </c>
      <c r="N134" s="28">
        <f t="shared" si="27"/>
        <v>0</v>
      </c>
      <c r="O134" s="18">
        <f t="shared" si="28"/>
        <v>0</v>
      </c>
      <c r="P134" s="79">
        <f t="shared" si="28"/>
        <v>0</v>
      </c>
      <c r="Q134" s="71">
        <f t="shared" si="31"/>
        <v>0</v>
      </c>
      <c r="R134" s="37"/>
      <c r="T134" s="45"/>
    </row>
    <row r="135" spans="1:20" ht="25.2" customHeight="1">
      <c r="A135" s="76">
        <v>15</v>
      </c>
      <c r="B135" s="187" t="s">
        <v>127</v>
      </c>
      <c r="C135" s="138"/>
      <c r="D135" s="138"/>
      <c r="E135" s="138"/>
      <c r="F135" s="35">
        <v>0</v>
      </c>
      <c r="G135" s="35">
        <v>0</v>
      </c>
      <c r="H135" s="17">
        <f t="shared" si="29"/>
        <v>0</v>
      </c>
      <c r="I135" s="33">
        <v>0</v>
      </c>
      <c r="J135" s="78">
        <f t="shared" si="30"/>
        <v>0</v>
      </c>
      <c r="K135" s="35">
        <v>0</v>
      </c>
      <c r="L135" s="19">
        <f t="shared" si="32"/>
        <v>0</v>
      </c>
      <c r="M135" s="33">
        <v>0</v>
      </c>
      <c r="N135" s="28">
        <f t="shared" si="27"/>
        <v>0</v>
      </c>
      <c r="O135" s="18">
        <f t="shared" si="28"/>
        <v>0</v>
      </c>
      <c r="P135" s="79">
        <f t="shared" si="28"/>
        <v>0</v>
      </c>
      <c r="Q135" s="71">
        <f t="shared" si="31"/>
        <v>0</v>
      </c>
      <c r="R135" s="77"/>
      <c r="T135" s="45"/>
    </row>
    <row r="136" spans="1:20" ht="25.2" customHeight="1">
      <c r="A136" s="76">
        <v>16</v>
      </c>
      <c r="B136" s="187" t="s">
        <v>183</v>
      </c>
      <c r="C136" s="138"/>
      <c r="D136" s="138"/>
      <c r="E136" s="138"/>
      <c r="F136" s="35">
        <v>295805</v>
      </c>
      <c r="G136" s="35">
        <v>295805</v>
      </c>
      <c r="H136" s="17">
        <f t="shared" si="29"/>
        <v>0</v>
      </c>
      <c r="I136" s="33">
        <v>0</v>
      </c>
      <c r="J136" s="78">
        <f t="shared" si="30"/>
        <v>0</v>
      </c>
      <c r="K136" s="35">
        <v>295805</v>
      </c>
      <c r="L136" s="19">
        <f t="shared" si="32"/>
        <v>0</v>
      </c>
      <c r="M136" s="33">
        <v>0</v>
      </c>
      <c r="N136" s="28">
        <f t="shared" si="27"/>
        <v>0</v>
      </c>
      <c r="O136" s="18">
        <f t="shared" si="28"/>
        <v>0</v>
      </c>
      <c r="P136" s="79">
        <f t="shared" si="28"/>
        <v>0</v>
      </c>
      <c r="Q136" s="71">
        <f t="shared" si="31"/>
        <v>0</v>
      </c>
      <c r="R136" s="77"/>
      <c r="T136" s="45"/>
    </row>
    <row r="137" spans="1:20" ht="25.2" customHeight="1">
      <c r="A137" s="76">
        <v>17</v>
      </c>
      <c r="B137" s="187" t="s">
        <v>184</v>
      </c>
      <c r="C137" s="138"/>
      <c r="D137" s="138"/>
      <c r="E137" s="138"/>
      <c r="F137" s="35">
        <v>77139.3</v>
      </c>
      <c r="G137" s="35">
        <v>77139.3</v>
      </c>
      <c r="H137" s="17">
        <f t="shared" si="29"/>
        <v>0</v>
      </c>
      <c r="I137" s="33">
        <v>0</v>
      </c>
      <c r="J137" s="78">
        <f t="shared" si="30"/>
        <v>0</v>
      </c>
      <c r="K137" s="35">
        <v>77139.3</v>
      </c>
      <c r="L137" s="19">
        <f t="shared" si="32"/>
        <v>0</v>
      </c>
      <c r="M137" s="33">
        <v>0</v>
      </c>
      <c r="N137" s="28">
        <f t="shared" si="27"/>
        <v>0</v>
      </c>
      <c r="O137" s="18">
        <f t="shared" si="28"/>
        <v>0</v>
      </c>
      <c r="P137" s="79">
        <f t="shared" si="28"/>
        <v>0</v>
      </c>
      <c r="Q137" s="71">
        <f t="shared" si="31"/>
        <v>0</v>
      </c>
      <c r="R137" s="77"/>
      <c r="T137" s="45"/>
    </row>
    <row r="138" spans="1:20" ht="25.2" customHeight="1">
      <c r="A138" s="76">
        <v>18</v>
      </c>
      <c r="B138" s="187" t="s">
        <v>185</v>
      </c>
      <c r="C138" s="138"/>
      <c r="D138" s="138"/>
      <c r="E138" s="138"/>
      <c r="F138" s="35">
        <v>113495.8</v>
      </c>
      <c r="G138" s="35">
        <v>113495.8</v>
      </c>
      <c r="H138" s="17">
        <f t="shared" si="29"/>
        <v>0</v>
      </c>
      <c r="I138" s="33">
        <v>0</v>
      </c>
      <c r="J138" s="78">
        <f t="shared" si="30"/>
        <v>0</v>
      </c>
      <c r="K138" s="35">
        <v>113495.8</v>
      </c>
      <c r="L138" s="19">
        <f t="shared" si="32"/>
        <v>0</v>
      </c>
      <c r="M138" s="33">
        <v>0</v>
      </c>
      <c r="N138" s="28">
        <f t="shared" si="27"/>
        <v>0</v>
      </c>
      <c r="O138" s="18">
        <f t="shared" si="28"/>
        <v>0</v>
      </c>
      <c r="P138" s="79">
        <f t="shared" si="28"/>
        <v>0</v>
      </c>
      <c r="Q138" s="71">
        <f t="shared" si="31"/>
        <v>0</v>
      </c>
      <c r="R138" s="77"/>
      <c r="T138" s="45"/>
    </row>
    <row r="139" spans="1:20" ht="25.2" customHeight="1">
      <c r="A139" s="76">
        <v>19</v>
      </c>
      <c r="B139" s="187" t="s">
        <v>187</v>
      </c>
      <c r="C139" s="138"/>
      <c r="D139" s="138"/>
      <c r="E139" s="138"/>
      <c r="F139" s="35">
        <v>59801.4</v>
      </c>
      <c r="G139" s="35">
        <v>59801.4</v>
      </c>
      <c r="H139" s="35">
        <f t="shared" si="29"/>
        <v>0</v>
      </c>
      <c r="I139" s="33">
        <v>0</v>
      </c>
      <c r="J139" s="78">
        <f t="shared" si="30"/>
        <v>0</v>
      </c>
      <c r="K139" s="35">
        <v>59801.4</v>
      </c>
      <c r="L139" s="56">
        <f t="shared" si="32"/>
        <v>0</v>
      </c>
      <c r="M139" s="33">
        <v>0</v>
      </c>
      <c r="N139" s="28">
        <f t="shared" si="27"/>
        <v>0</v>
      </c>
      <c r="O139" s="84">
        <f t="shared" si="28"/>
        <v>0</v>
      </c>
      <c r="P139" s="79">
        <f t="shared" si="28"/>
        <v>0</v>
      </c>
      <c r="Q139" s="34">
        <f t="shared" si="31"/>
        <v>0</v>
      </c>
      <c r="R139" s="77"/>
      <c r="T139" s="45"/>
    </row>
    <row r="140" spans="1:20" ht="25.2" customHeight="1">
      <c r="A140" s="76">
        <v>20</v>
      </c>
      <c r="B140" s="187" t="s">
        <v>188</v>
      </c>
      <c r="C140" s="138"/>
      <c r="D140" s="138"/>
      <c r="E140" s="138"/>
      <c r="F140" s="35">
        <v>485627</v>
      </c>
      <c r="G140" s="35">
        <v>485627</v>
      </c>
      <c r="H140" s="35">
        <f t="shared" si="29"/>
        <v>0</v>
      </c>
      <c r="I140" s="33">
        <v>0</v>
      </c>
      <c r="J140" s="78">
        <f t="shared" si="30"/>
        <v>0</v>
      </c>
      <c r="K140" s="35">
        <v>485627</v>
      </c>
      <c r="L140" s="56">
        <f t="shared" si="32"/>
        <v>0</v>
      </c>
      <c r="M140" s="33">
        <v>0</v>
      </c>
      <c r="N140" s="28">
        <f t="shared" si="27"/>
        <v>0</v>
      </c>
      <c r="O140" s="84">
        <f t="shared" si="28"/>
        <v>0</v>
      </c>
      <c r="P140" s="79">
        <f t="shared" si="28"/>
        <v>0</v>
      </c>
      <c r="Q140" s="34">
        <f t="shared" si="31"/>
        <v>0</v>
      </c>
      <c r="R140" s="77"/>
      <c r="T140" s="45"/>
    </row>
    <row r="141" spans="1:20" ht="25.2" customHeight="1">
      <c r="A141" s="76">
        <v>21</v>
      </c>
      <c r="B141" s="187" t="s">
        <v>189</v>
      </c>
      <c r="C141" s="138"/>
      <c r="D141" s="138"/>
      <c r="E141" s="138"/>
      <c r="F141" s="35">
        <v>46458.2</v>
      </c>
      <c r="G141" s="35">
        <v>46458.2</v>
      </c>
      <c r="H141" s="35">
        <f t="shared" si="29"/>
        <v>0</v>
      </c>
      <c r="I141" s="33">
        <v>0</v>
      </c>
      <c r="J141" s="78">
        <f t="shared" si="30"/>
        <v>0</v>
      </c>
      <c r="K141" s="35">
        <v>46458.2</v>
      </c>
      <c r="L141" s="56">
        <f t="shared" si="32"/>
        <v>0</v>
      </c>
      <c r="M141" s="33">
        <v>0</v>
      </c>
      <c r="N141" s="28">
        <f t="shared" si="27"/>
        <v>0</v>
      </c>
      <c r="O141" s="84">
        <f t="shared" si="28"/>
        <v>0</v>
      </c>
      <c r="P141" s="79">
        <f t="shared" si="28"/>
        <v>0</v>
      </c>
      <c r="Q141" s="34">
        <f t="shared" si="31"/>
        <v>0</v>
      </c>
      <c r="R141" s="77"/>
      <c r="T141" s="45"/>
    </row>
    <row r="142" spans="1:20" ht="25.2" customHeight="1">
      <c r="A142" s="144">
        <v>22</v>
      </c>
      <c r="B142" s="187" t="s">
        <v>213</v>
      </c>
      <c r="C142" s="138"/>
      <c r="D142" s="138"/>
      <c r="E142" s="138"/>
      <c r="F142" s="35">
        <v>99823.4</v>
      </c>
      <c r="G142" s="35">
        <v>99823.4</v>
      </c>
      <c r="H142" s="35">
        <f t="shared" si="29"/>
        <v>0</v>
      </c>
      <c r="I142" s="33">
        <v>0</v>
      </c>
      <c r="J142" s="78">
        <f t="shared" si="30"/>
        <v>0</v>
      </c>
      <c r="K142" s="35">
        <v>99823.4</v>
      </c>
      <c r="L142" s="35">
        <v>99823.4</v>
      </c>
      <c r="M142" s="33">
        <v>0</v>
      </c>
      <c r="N142" s="28">
        <f t="shared" si="27"/>
        <v>0</v>
      </c>
      <c r="O142" s="84">
        <f t="shared" si="28"/>
        <v>99823.4</v>
      </c>
      <c r="P142" s="79">
        <f t="shared" si="28"/>
        <v>0</v>
      </c>
      <c r="Q142" s="34">
        <f t="shared" si="31"/>
        <v>0</v>
      </c>
      <c r="R142" s="77"/>
      <c r="T142" s="45"/>
    </row>
    <row r="143" spans="1:20" ht="18">
      <c r="A143" s="196" t="s">
        <v>28</v>
      </c>
      <c r="B143" s="197"/>
      <c r="C143" s="175"/>
      <c r="D143" s="175"/>
      <c r="E143" s="175"/>
      <c r="F143" s="123"/>
      <c r="G143" s="123"/>
      <c r="H143" s="40">
        <f>SUM(H121:H142)</f>
        <v>0</v>
      </c>
      <c r="I143" s="40">
        <f>SUM(I121:I142)</f>
        <v>0</v>
      </c>
      <c r="J143" s="39"/>
      <c r="K143" s="39"/>
      <c r="L143" s="40">
        <f>SUM(L121:L142)</f>
        <v>99823.4</v>
      </c>
      <c r="M143" s="40">
        <f>SUM(M121:M142)</f>
        <v>0</v>
      </c>
      <c r="N143" s="145"/>
      <c r="O143" s="146">
        <f>SUM(O121:O142)</f>
        <v>99823.4</v>
      </c>
      <c r="P143" s="147">
        <f>SUM(P121:P142)</f>
        <v>0</v>
      </c>
      <c r="Q143" s="34"/>
      <c r="R143" s="37"/>
      <c r="S143" s="72"/>
    </row>
    <row r="144" spans="1:20" ht="21.6" thickBot="1">
      <c r="A144" s="148"/>
      <c r="B144" s="149"/>
      <c r="C144" s="149"/>
      <c r="D144" s="149"/>
      <c r="E144" s="149"/>
      <c r="F144" s="149"/>
      <c r="G144" s="149"/>
      <c r="H144" s="149" t="s">
        <v>139</v>
      </c>
      <c r="I144" s="150">
        <f>I19+I25+I34+I40+I47+J117+I143</f>
        <v>0</v>
      </c>
      <c r="J144" s="149"/>
      <c r="K144" s="149"/>
      <c r="L144" s="151" t="s">
        <v>140</v>
      </c>
      <c r="M144" s="150">
        <f>M19+M25+M34+M40+M47+P117+M143</f>
        <v>0</v>
      </c>
      <c r="N144" s="198" t="s">
        <v>141</v>
      </c>
      <c r="O144" s="198"/>
      <c r="P144" s="198"/>
      <c r="Q144" s="198"/>
      <c r="R144" s="152"/>
    </row>
    <row r="145" spans="1:19" ht="15">
      <c r="B145" s="153"/>
      <c r="C145" s="153"/>
      <c r="D145" s="153"/>
      <c r="E145" s="153"/>
      <c r="F145" s="152"/>
      <c r="G145" s="152"/>
      <c r="H145" s="152"/>
      <c r="I145" s="152"/>
      <c r="J145" s="152"/>
      <c r="K145" s="152"/>
      <c r="L145" s="152"/>
      <c r="M145" s="154"/>
      <c r="N145" s="155" t="s">
        <v>142</v>
      </c>
      <c r="O145" s="199">
        <f>Q2</f>
        <v>46224</v>
      </c>
      <c r="P145" s="200"/>
      <c r="Q145" s="156"/>
      <c r="R145" s="157">
        <f>P143-Q151</f>
        <v>0</v>
      </c>
    </row>
    <row r="146" spans="1:19" ht="18">
      <c r="B146" s="158" t="s">
        <v>143</v>
      </c>
      <c r="C146" s="158"/>
      <c r="D146" s="158"/>
      <c r="E146" s="158"/>
      <c r="F146" s="159">
        <f>I144</f>
        <v>0</v>
      </c>
      <c r="G146" s="160"/>
      <c r="H146" s="160"/>
      <c r="I146" s="159"/>
      <c r="J146" s="160"/>
      <c r="K146" s="160"/>
      <c r="L146" s="160"/>
      <c r="M146" s="45"/>
      <c r="N146" s="188" t="s">
        <v>144</v>
      </c>
      <c r="O146" s="189"/>
      <c r="P146" s="190"/>
      <c r="Q146" s="161">
        <f>S117</f>
        <v>0</v>
      </c>
      <c r="R146" s="152"/>
    </row>
    <row r="147" spans="1:19" ht="18">
      <c r="B147" s="158" t="s">
        <v>145</v>
      </c>
      <c r="C147" s="158"/>
      <c r="D147" s="158"/>
      <c r="E147" s="158"/>
      <c r="F147" s="159">
        <f>M144</f>
        <v>0</v>
      </c>
      <c r="G147" s="160"/>
      <c r="H147" s="160"/>
      <c r="I147" s="159"/>
      <c r="J147" s="159"/>
      <c r="K147" s="160"/>
      <c r="L147" s="160"/>
      <c r="M147" s="45"/>
      <c r="N147" s="188" t="s">
        <v>146</v>
      </c>
      <c r="O147" s="189"/>
      <c r="P147" s="190"/>
      <c r="Q147" s="161">
        <f>P19</f>
        <v>0</v>
      </c>
      <c r="R147" s="152"/>
    </row>
    <row r="148" spans="1:19" ht="18">
      <c r="B148" s="158" t="s">
        <v>28</v>
      </c>
      <c r="C148" s="158"/>
      <c r="D148" s="158"/>
      <c r="E148" s="158"/>
      <c r="F148" s="159">
        <f>F146+F147</f>
        <v>0</v>
      </c>
      <c r="G148" s="160"/>
      <c r="H148" s="160"/>
      <c r="I148" s="160"/>
      <c r="J148" s="159"/>
      <c r="K148" s="160"/>
      <c r="L148" s="160"/>
      <c r="N148" s="188" t="s">
        <v>147</v>
      </c>
      <c r="O148" s="189"/>
      <c r="P148" s="190"/>
      <c r="Q148" s="161">
        <f>P34</f>
        <v>0</v>
      </c>
    </row>
    <row r="149" spans="1:19" ht="18">
      <c r="F149" s="45"/>
      <c r="G149" s="45"/>
      <c r="H149" s="45"/>
      <c r="I149" s="45"/>
      <c r="J149" s="45"/>
      <c r="K149" s="160" t="s">
        <v>94</v>
      </c>
      <c r="L149" s="45"/>
      <c r="N149" s="188" t="s">
        <v>148</v>
      </c>
      <c r="O149" s="189"/>
      <c r="P149" s="190"/>
      <c r="Q149" s="161">
        <f>P40</f>
        <v>0</v>
      </c>
    </row>
    <row r="150" spans="1:19" ht="25.2" customHeight="1">
      <c r="B150" s="162" t="s">
        <v>149</v>
      </c>
      <c r="C150" s="162"/>
      <c r="D150" s="162"/>
      <c r="E150" s="162"/>
      <c r="F150" s="193"/>
      <c r="G150" s="193"/>
      <c r="H150" s="193"/>
      <c r="I150" s="193"/>
      <c r="J150" s="193"/>
      <c r="K150" s="193"/>
      <c r="L150" s="193"/>
      <c r="M150" s="193"/>
      <c r="N150" s="188" t="s">
        <v>150</v>
      </c>
      <c r="O150" s="189"/>
      <c r="P150" s="190"/>
      <c r="Q150" s="161">
        <f>P47</f>
        <v>0</v>
      </c>
    </row>
    <row r="151" spans="1:19" ht="18">
      <c r="F151" s="45"/>
      <c r="G151" s="45"/>
      <c r="H151" s="26"/>
      <c r="I151" s="26"/>
      <c r="J151" s="45"/>
      <c r="K151" s="160"/>
      <c r="L151" s="45"/>
      <c r="N151" s="188" t="s">
        <v>151</v>
      </c>
      <c r="O151" s="189"/>
      <c r="P151" s="190"/>
      <c r="Q151" s="161">
        <f>P125+P126+P127+P128</f>
        <v>0</v>
      </c>
    </row>
    <row r="152" spans="1:19" ht="18">
      <c r="H152" s="38"/>
      <c r="I152" s="45"/>
      <c r="J152" s="45"/>
      <c r="K152" s="160"/>
      <c r="L152" s="45"/>
      <c r="N152" s="188" t="s">
        <v>152</v>
      </c>
      <c r="O152" s="189"/>
      <c r="P152" s="190"/>
      <c r="Q152" s="161">
        <f>R145</f>
        <v>0</v>
      </c>
    </row>
    <row r="153" spans="1:19" ht="18.600000000000001" thickBot="1">
      <c r="F153" s="38"/>
      <c r="G153" s="38"/>
      <c r="J153" s="163"/>
      <c r="K153" s="160"/>
      <c r="N153" s="188" t="s">
        <v>153</v>
      </c>
      <c r="O153" s="189"/>
      <c r="P153" s="190"/>
      <c r="Q153" s="164">
        <f>P25</f>
        <v>0</v>
      </c>
      <c r="S153" s="38"/>
    </row>
    <row r="154" spans="1:19" ht="16.8" thickBot="1">
      <c r="F154" s="38"/>
      <c r="G154" s="38"/>
      <c r="H154" s="38"/>
      <c r="I154" s="38"/>
      <c r="K154" s="38"/>
      <c r="N154" s="191" t="s">
        <v>154</v>
      </c>
      <c r="O154" s="192"/>
      <c r="P154" s="192"/>
      <c r="Q154" s="165">
        <f>SUM(Q146:Q153)</f>
        <v>0</v>
      </c>
    </row>
    <row r="155" spans="1:19">
      <c r="F155" s="38"/>
      <c r="G155" s="38"/>
      <c r="H155" s="159"/>
      <c r="I155" s="159"/>
      <c r="K155" s="38"/>
      <c r="L155" s="38"/>
    </row>
    <row r="156" spans="1:19">
      <c r="F156" s="38"/>
      <c r="G156" s="38"/>
      <c r="H156" s="38"/>
      <c r="I156" s="38"/>
      <c r="K156" s="160"/>
    </row>
    <row r="157" spans="1:19">
      <c r="A157" s="159"/>
      <c r="B157" s="159"/>
      <c r="C157" s="159"/>
      <c r="D157" s="159"/>
      <c r="E157" s="159"/>
      <c r="F157" s="159"/>
      <c r="G157" s="159"/>
      <c r="H157" s="159"/>
      <c r="I157" s="159"/>
      <c r="J157" s="38"/>
      <c r="K157" s="38"/>
      <c r="Q157" s="45"/>
    </row>
    <row r="158" spans="1:19">
      <c r="A158" s="159"/>
    </row>
  </sheetData>
  <mergeCells count="72">
    <mergeCell ref="A1:Q1"/>
    <mergeCell ref="A2:O2"/>
    <mergeCell ref="A3:A4"/>
    <mergeCell ref="B3:B4"/>
    <mergeCell ref="F3:J3"/>
    <mergeCell ref="K3:O3"/>
    <mergeCell ref="P3:P4"/>
    <mergeCell ref="Q3:Q4"/>
    <mergeCell ref="R3:R4"/>
    <mergeCell ref="S3:S4"/>
    <mergeCell ref="A19:B19"/>
    <mergeCell ref="A20:O20"/>
    <mergeCell ref="A21:A22"/>
    <mergeCell ref="B21:B22"/>
    <mergeCell ref="F21:J21"/>
    <mergeCell ref="K21:N21"/>
    <mergeCell ref="P21:P22"/>
    <mergeCell ref="Q21:Q22"/>
    <mergeCell ref="A25:B25"/>
    <mergeCell ref="A26:O26"/>
    <mergeCell ref="A27:A28"/>
    <mergeCell ref="B27:B28"/>
    <mergeCell ref="F27:J27"/>
    <mergeCell ref="K27:N27"/>
    <mergeCell ref="P27:P28"/>
    <mergeCell ref="Q27:Q28"/>
    <mergeCell ref="A34:B34"/>
    <mergeCell ref="A35:O35"/>
    <mergeCell ref="A36:A37"/>
    <mergeCell ref="B36:B37"/>
    <mergeCell ref="F36:J36"/>
    <mergeCell ref="K36:N36"/>
    <mergeCell ref="P36:P37"/>
    <mergeCell ref="Q36:Q37"/>
    <mergeCell ref="A40:B40"/>
    <mergeCell ref="A41:O41"/>
    <mergeCell ref="A42:A43"/>
    <mergeCell ref="B42:B43"/>
    <mergeCell ref="F42:J42"/>
    <mergeCell ref="K42:N42"/>
    <mergeCell ref="P42:P43"/>
    <mergeCell ref="Q42:Q43"/>
    <mergeCell ref="A47:B47"/>
    <mergeCell ref="A48:O48"/>
    <mergeCell ref="A49:A50"/>
    <mergeCell ref="B49:B50"/>
    <mergeCell ref="F49:K49"/>
    <mergeCell ref="L49:Q49"/>
    <mergeCell ref="N147:P147"/>
    <mergeCell ref="R49:R50"/>
    <mergeCell ref="S49:S50"/>
    <mergeCell ref="T49:T50"/>
    <mergeCell ref="U49:U50"/>
    <mergeCell ref="A118:O118"/>
    <mergeCell ref="A119:A120"/>
    <mergeCell ref="B119:B120"/>
    <mergeCell ref="F119:J119"/>
    <mergeCell ref="K119:N119"/>
    <mergeCell ref="P119:P120"/>
    <mergeCell ref="Q119:Q120"/>
    <mergeCell ref="A143:B143"/>
    <mergeCell ref="N144:Q144"/>
    <mergeCell ref="O145:P145"/>
    <mergeCell ref="N146:P146"/>
    <mergeCell ref="N153:P153"/>
    <mergeCell ref="N154:P154"/>
    <mergeCell ref="N148:P148"/>
    <mergeCell ref="N149:P149"/>
    <mergeCell ref="F150:M150"/>
    <mergeCell ref="N150:P150"/>
    <mergeCell ref="N151:P151"/>
    <mergeCell ref="N152:P152"/>
  </mergeCells>
  <conditionalFormatting sqref="Q7:Q20 Q23:Q24 Q29:Q33 Q38:Q39 Q44:Q46">
    <cfRule type="cellIs" dxfId="11" priority="2" operator="greaterThan">
      <formula>40</formula>
    </cfRule>
  </conditionalFormatting>
  <conditionalFormatting sqref="T51:T117">
    <cfRule type="cellIs" dxfId="10" priority="1" operator="lessThan">
      <formula>0.5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F6A68-2836-4A73-9959-DCBF8DFD6B1F}">
  <dimension ref="A1:AD158"/>
  <sheetViews>
    <sheetView zoomScale="74" zoomScaleNormal="74" workbookViewId="0">
      <pane ySplit="1" topLeftCell="A14" activePane="bottomLeft" state="frozen"/>
      <selection pane="bottomLeft" activeCell="Q3" sqref="Q3:Q4"/>
    </sheetView>
  </sheetViews>
  <sheetFormatPr defaultColWidth="9" defaultRowHeight="14.4"/>
  <cols>
    <col min="1" max="1" width="8.5546875" customWidth="1"/>
    <col min="2" max="2" width="29.44140625" bestFit="1" customWidth="1"/>
    <col min="3" max="3" width="18.88671875" customWidth="1"/>
    <col min="4" max="4" width="17.109375" customWidth="1"/>
    <col min="5" max="5" width="18.88671875" customWidth="1"/>
    <col min="6" max="6" width="11.6640625" customWidth="1"/>
    <col min="7" max="7" width="11.21875" customWidth="1"/>
    <col min="8" max="8" width="9.77734375" customWidth="1"/>
    <col min="9" max="9" width="13.6640625" customWidth="1"/>
    <col min="10" max="10" width="10" customWidth="1"/>
    <col min="11" max="11" width="9.77734375" customWidth="1"/>
    <col min="12" max="12" width="12.77734375" bestFit="1" customWidth="1"/>
    <col min="13" max="13" width="10.6640625" bestFit="1" customWidth="1"/>
    <col min="14" max="14" width="15.77734375" customWidth="1"/>
    <col min="15" max="15" width="10.77734375" customWidth="1"/>
    <col min="16" max="16" width="12.5546875" customWidth="1"/>
    <col min="17" max="17" width="17.88671875" customWidth="1"/>
    <col min="18" max="18" width="13.44140625" customWidth="1"/>
    <col min="19" max="19" width="17" customWidth="1"/>
    <col min="20" max="20" width="11.109375" bestFit="1" customWidth="1"/>
    <col min="22" max="22" width="9.21875" bestFit="1" customWidth="1"/>
    <col min="23" max="23" width="8.21875" bestFit="1" customWidth="1"/>
    <col min="24" max="25" width="11.21875" customWidth="1"/>
  </cols>
  <sheetData>
    <row r="1" spans="1:25" ht="18.600000000000001" thickBot="1">
      <c r="A1" s="249" t="s">
        <v>0</v>
      </c>
      <c r="B1" s="249"/>
      <c r="C1" s="249"/>
      <c r="D1" s="249"/>
      <c r="E1" s="249"/>
      <c r="F1" s="249"/>
      <c r="G1" s="249"/>
      <c r="H1" s="249"/>
      <c r="I1" s="249"/>
      <c r="J1" s="249"/>
      <c r="K1" s="249"/>
      <c r="L1" s="249"/>
      <c r="M1" s="249"/>
      <c r="N1" s="249"/>
      <c r="O1" s="249"/>
      <c r="P1" s="249"/>
      <c r="Q1" s="249"/>
      <c r="R1" s="1"/>
      <c r="Y1" s="2"/>
    </row>
    <row r="2" spans="1:25" ht="19.8" customHeight="1" thickBot="1">
      <c r="A2" s="250" t="s">
        <v>1</v>
      </c>
      <c r="B2" s="251"/>
      <c r="C2" s="252"/>
      <c r="D2" s="252"/>
      <c r="E2" s="252"/>
      <c r="F2" s="252"/>
      <c r="G2" s="252"/>
      <c r="H2" s="252"/>
      <c r="I2" s="252"/>
      <c r="J2" s="252"/>
      <c r="K2" s="252"/>
      <c r="L2" s="252"/>
      <c r="M2" s="252"/>
      <c r="N2" s="252"/>
      <c r="O2" s="251"/>
      <c r="P2" s="3" t="s">
        <v>2</v>
      </c>
      <c r="Q2" s="4">
        <v>46225</v>
      </c>
      <c r="R2" s="1"/>
    </row>
    <row r="3" spans="1:25" ht="18" customHeight="1">
      <c r="A3" s="209" t="s">
        <v>3</v>
      </c>
      <c r="B3" s="211" t="s">
        <v>4</v>
      </c>
      <c r="C3" s="174"/>
      <c r="D3" s="174"/>
      <c r="E3" s="174"/>
      <c r="F3" s="213" t="s">
        <v>5</v>
      </c>
      <c r="G3" s="214"/>
      <c r="H3" s="214"/>
      <c r="I3" s="214"/>
      <c r="J3" s="215"/>
      <c r="K3" s="253" t="s">
        <v>6</v>
      </c>
      <c r="L3" s="254"/>
      <c r="M3" s="254"/>
      <c r="N3" s="254"/>
      <c r="O3" s="255"/>
      <c r="P3" s="219" t="s">
        <v>7</v>
      </c>
      <c r="Q3" s="194" t="s">
        <v>8</v>
      </c>
      <c r="R3" s="243" t="s">
        <v>9</v>
      </c>
      <c r="S3" s="222" t="s">
        <v>10</v>
      </c>
    </row>
    <row r="4" spans="1:25" ht="22.8" customHeight="1">
      <c r="A4" s="247"/>
      <c r="B4" s="248"/>
      <c r="C4" s="183" t="s">
        <v>190</v>
      </c>
      <c r="D4" s="183" t="s">
        <v>191</v>
      </c>
      <c r="E4" s="183" t="s">
        <v>192</v>
      </c>
      <c r="F4" s="6" t="s">
        <v>11</v>
      </c>
      <c r="G4" s="6" t="s">
        <v>12</v>
      </c>
      <c r="H4" s="6" t="s">
        <v>13</v>
      </c>
      <c r="I4" s="6" t="s">
        <v>14</v>
      </c>
      <c r="J4" s="6" t="s">
        <v>8</v>
      </c>
      <c r="K4" s="6" t="s">
        <v>12</v>
      </c>
      <c r="L4" s="6" t="s">
        <v>13</v>
      </c>
      <c r="M4" s="6" t="s">
        <v>14</v>
      </c>
      <c r="N4" s="7" t="s">
        <v>8</v>
      </c>
      <c r="O4" s="8" t="s">
        <v>15</v>
      </c>
      <c r="P4" s="236"/>
      <c r="Q4" s="237"/>
      <c r="R4" s="248"/>
      <c r="S4" s="243"/>
    </row>
    <row r="5" spans="1:25" ht="22.8" customHeight="1">
      <c r="A5" s="5">
        <v>1</v>
      </c>
      <c r="B5" s="9" t="s">
        <v>175</v>
      </c>
      <c r="C5" s="9" t="s">
        <v>193</v>
      </c>
      <c r="D5" s="9" t="s">
        <v>194</v>
      </c>
      <c r="E5" s="9" t="s">
        <v>214</v>
      </c>
      <c r="F5" s="2">
        <v>32132.1</v>
      </c>
      <c r="G5" s="2">
        <v>32132.1</v>
      </c>
      <c r="H5" s="2">
        <f>G5-F5</f>
        <v>0</v>
      </c>
      <c r="I5" s="2">
        <v>0</v>
      </c>
      <c r="J5" s="10">
        <f>IFERROR(I5/H5,0)</f>
        <v>0</v>
      </c>
      <c r="K5" s="2">
        <v>32132.1</v>
      </c>
      <c r="L5" s="167">
        <f>K5-G5</f>
        <v>0</v>
      </c>
      <c r="M5" s="2">
        <v>0</v>
      </c>
      <c r="N5" s="11">
        <f>IFERROR(M5/L5,0)</f>
        <v>0</v>
      </c>
      <c r="O5" s="12">
        <f t="shared" ref="O5:P17" si="0">H5+L5</f>
        <v>0</v>
      </c>
      <c r="P5" s="13">
        <f t="shared" si="0"/>
        <v>0</v>
      </c>
      <c r="Q5" s="14">
        <f>IFERROR(P5/O5,0)</f>
        <v>0</v>
      </c>
      <c r="R5" s="2">
        <v>0</v>
      </c>
      <c r="S5" s="5"/>
    </row>
    <row r="6" spans="1:25" ht="22.8" customHeight="1">
      <c r="A6" s="81">
        <v>2</v>
      </c>
      <c r="B6" s="16" t="s">
        <v>170</v>
      </c>
      <c r="C6" s="9" t="s">
        <v>193</v>
      </c>
      <c r="D6" s="9" t="s">
        <v>194</v>
      </c>
      <c r="E6" s="9" t="s">
        <v>214</v>
      </c>
      <c r="F6" s="49">
        <v>33931.699999999997</v>
      </c>
      <c r="G6" s="49">
        <v>33931.699999999997</v>
      </c>
      <c r="H6" s="2">
        <f>G6-F6</f>
        <v>0</v>
      </c>
      <c r="I6" s="49">
        <v>0</v>
      </c>
      <c r="J6" s="10">
        <f>IFERROR(I6/H6,0)</f>
        <v>0</v>
      </c>
      <c r="K6" s="49">
        <v>33931.699999999997</v>
      </c>
      <c r="L6" s="167">
        <f>K6-G6</f>
        <v>0</v>
      </c>
      <c r="M6" s="49">
        <v>0</v>
      </c>
      <c r="N6" s="11">
        <f>IFERROR(M6/L6,0)</f>
        <v>0</v>
      </c>
      <c r="O6" s="12">
        <f t="shared" si="0"/>
        <v>0</v>
      </c>
      <c r="P6" s="13">
        <f t="shared" si="0"/>
        <v>0</v>
      </c>
      <c r="Q6" s="14">
        <f>IFERROR(P6/O6,0)</f>
        <v>0</v>
      </c>
      <c r="R6" s="49">
        <v>0</v>
      </c>
      <c r="S6" s="81"/>
    </row>
    <row r="7" spans="1:25" ht="24" customHeight="1">
      <c r="A7" s="5">
        <v>3</v>
      </c>
      <c r="B7" s="16" t="s">
        <v>17</v>
      </c>
      <c r="C7" s="9" t="s">
        <v>193</v>
      </c>
      <c r="D7" s="9" t="s">
        <v>194</v>
      </c>
      <c r="E7" s="9" t="s">
        <v>214</v>
      </c>
      <c r="F7" s="17">
        <v>32493.3</v>
      </c>
      <c r="G7" s="17">
        <v>32493.3</v>
      </c>
      <c r="H7" s="17">
        <f t="shared" ref="H7:H18" si="1">G7-F7</f>
        <v>0</v>
      </c>
      <c r="I7" s="18">
        <v>0</v>
      </c>
      <c r="J7" s="10">
        <f>IFERROR(I7/H7,0)</f>
        <v>0</v>
      </c>
      <c r="K7" s="17">
        <v>32493.3</v>
      </c>
      <c r="L7" s="19">
        <f t="shared" ref="L7:L14" si="2">K7-G7</f>
        <v>0</v>
      </c>
      <c r="M7" s="20">
        <v>0</v>
      </c>
      <c r="N7" s="21">
        <f>IFERROR(M7/L7,0)</f>
        <v>0</v>
      </c>
      <c r="O7" s="18">
        <f t="shared" si="0"/>
        <v>0</v>
      </c>
      <c r="P7" s="22">
        <f t="shared" si="0"/>
        <v>0</v>
      </c>
      <c r="Q7" s="23">
        <f>IFERROR(P7/O7,0)</f>
        <v>0</v>
      </c>
      <c r="R7" s="24">
        <v>0</v>
      </c>
      <c r="S7" s="25"/>
      <c r="T7" s="26"/>
    </row>
    <row r="8" spans="1:25" ht="25.8" customHeight="1">
      <c r="A8" s="81">
        <v>4</v>
      </c>
      <c r="B8" s="16" t="s">
        <v>18</v>
      </c>
      <c r="C8" s="9" t="s">
        <v>193</v>
      </c>
      <c r="D8" s="9" t="s">
        <v>194</v>
      </c>
      <c r="E8" s="9" t="s">
        <v>214</v>
      </c>
      <c r="F8" s="17">
        <v>24795.7</v>
      </c>
      <c r="G8" s="17">
        <v>24795.7</v>
      </c>
      <c r="H8" s="17">
        <f t="shared" si="1"/>
        <v>0</v>
      </c>
      <c r="I8" s="18">
        <v>0</v>
      </c>
      <c r="J8" s="10">
        <f t="shared" ref="J8:J13" si="3">IFERROR(I8/H8,0)</f>
        <v>0</v>
      </c>
      <c r="K8" s="17">
        <v>24795.7</v>
      </c>
      <c r="L8" s="19">
        <f t="shared" si="2"/>
        <v>0</v>
      </c>
      <c r="M8" s="20">
        <v>0</v>
      </c>
      <c r="N8" s="28">
        <f t="shared" ref="N8:N14" si="4">IFERROR(M8/L8,0)</f>
        <v>0</v>
      </c>
      <c r="O8" s="18">
        <f t="shared" si="0"/>
        <v>0</v>
      </c>
      <c r="P8" s="22">
        <f t="shared" si="0"/>
        <v>0</v>
      </c>
      <c r="Q8" s="23">
        <f t="shared" ref="Q8:Q18" si="5">IFERROR(P8/O8,0)</f>
        <v>0</v>
      </c>
      <c r="R8" s="29">
        <v>0</v>
      </c>
      <c r="S8" s="30"/>
      <c r="T8" s="26"/>
      <c r="V8" s="26"/>
    </row>
    <row r="9" spans="1:25" ht="25.8" customHeight="1">
      <c r="A9" s="5">
        <v>5</v>
      </c>
      <c r="B9" s="31" t="s">
        <v>19</v>
      </c>
      <c r="C9" s="9" t="s">
        <v>193</v>
      </c>
      <c r="D9" s="9" t="s">
        <v>194</v>
      </c>
      <c r="E9" s="9" t="s">
        <v>214</v>
      </c>
      <c r="F9" s="17">
        <v>32708.3</v>
      </c>
      <c r="G9" s="17">
        <v>32708.3</v>
      </c>
      <c r="H9" s="17">
        <f t="shared" si="1"/>
        <v>0</v>
      </c>
      <c r="I9" s="32">
        <v>0</v>
      </c>
      <c r="J9" s="10">
        <f t="shared" si="3"/>
        <v>0</v>
      </c>
      <c r="K9" s="17">
        <v>32708.3</v>
      </c>
      <c r="L9" s="19">
        <f t="shared" si="2"/>
        <v>0</v>
      </c>
      <c r="M9" s="33">
        <v>0</v>
      </c>
      <c r="N9" s="28">
        <f t="shared" si="4"/>
        <v>0</v>
      </c>
      <c r="O9" s="18">
        <f t="shared" si="0"/>
        <v>0</v>
      </c>
      <c r="P9" s="22">
        <f t="shared" si="0"/>
        <v>0</v>
      </c>
      <c r="Q9" s="23">
        <f t="shared" si="5"/>
        <v>0</v>
      </c>
      <c r="R9" s="29">
        <v>0</v>
      </c>
      <c r="S9" s="30"/>
      <c r="T9" s="26"/>
      <c r="V9" s="26"/>
    </row>
    <row r="10" spans="1:25" ht="25.8" customHeight="1">
      <c r="A10" s="81">
        <v>6</v>
      </c>
      <c r="B10" s="16" t="s">
        <v>20</v>
      </c>
      <c r="C10" s="9" t="s">
        <v>193</v>
      </c>
      <c r="D10" s="9" t="s">
        <v>195</v>
      </c>
      <c r="E10" s="184" t="s">
        <v>215</v>
      </c>
      <c r="F10" s="17">
        <v>33642.400000000001</v>
      </c>
      <c r="G10" s="17">
        <v>33642.400000000001</v>
      </c>
      <c r="H10" s="17">
        <f>G10-F10</f>
        <v>0</v>
      </c>
      <c r="I10" s="34">
        <v>0</v>
      </c>
      <c r="J10" s="10">
        <f>IFERROR(I10/H10,0)</f>
        <v>0</v>
      </c>
      <c r="K10" s="17">
        <v>33642.400000000001</v>
      </c>
      <c r="L10" s="19">
        <f>K10-G10</f>
        <v>0</v>
      </c>
      <c r="M10" s="33">
        <v>0</v>
      </c>
      <c r="N10" s="28">
        <f>IFERROR(M10/L10,0)</f>
        <v>0</v>
      </c>
      <c r="O10" s="18">
        <f>H10+L10</f>
        <v>0</v>
      </c>
      <c r="P10" s="22">
        <f>I10+M10</f>
        <v>0</v>
      </c>
      <c r="Q10" s="23">
        <f>IFERROR(P10/O10,0)</f>
        <v>0</v>
      </c>
      <c r="R10" s="29">
        <v>0</v>
      </c>
      <c r="S10" s="30"/>
      <c r="T10" s="26"/>
      <c r="V10" s="26"/>
    </row>
    <row r="11" spans="1:25" ht="22.8" customHeight="1">
      <c r="A11" s="5">
        <v>7</v>
      </c>
      <c r="B11" s="16" t="s">
        <v>21</v>
      </c>
      <c r="C11" s="9" t="s">
        <v>193</v>
      </c>
      <c r="D11" s="16" t="s">
        <v>194</v>
      </c>
      <c r="E11" s="16" t="s">
        <v>214</v>
      </c>
      <c r="F11" s="17">
        <v>28183.4</v>
      </c>
      <c r="G11" s="17">
        <v>28183.4</v>
      </c>
      <c r="H11" s="17">
        <f t="shared" si="1"/>
        <v>0</v>
      </c>
      <c r="I11" s="32">
        <v>0</v>
      </c>
      <c r="J11" s="10">
        <f t="shared" si="3"/>
        <v>0</v>
      </c>
      <c r="K11" s="17">
        <v>28183.4</v>
      </c>
      <c r="L11" s="19">
        <f t="shared" si="2"/>
        <v>0</v>
      </c>
      <c r="M11" s="20">
        <v>0</v>
      </c>
      <c r="N11" s="28">
        <f t="shared" si="4"/>
        <v>0</v>
      </c>
      <c r="O11" s="18">
        <f t="shared" si="0"/>
        <v>0</v>
      </c>
      <c r="P11" s="22">
        <f t="shared" si="0"/>
        <v>0</v>
      </c>
      <c r="Q11" s="23">
        <f t="shared" si="5"/>
        <v>0</v>
      </c>
      <c r="R11" s="29">
        <v>0</v>
      </c>
      <c r="S11" s="30"/>
      <c r="T11" s="26"/>
      <c r="V11" s="26"/>
    </row>
    <row r="12" spans="1:25" ht="22.8" customHeight="1">
      <c r="A12" s="81">
        <v>8</v>
      </c>
      <c r="B12" s="31" t="s">
        <v>22</v>
      </c>
      <c r="C12" s="9" t="s">
        <v>193</v>
      </c>
      <c r="D12" s="31" t="s">
        <v>194</v>
      </c>
      <c r="E12" s="31" t="s">
        <v>214</v>
      </c>
      <c r="F12" s="35">
        <v>27568.799999999999</v>
      </c>
      <c r="G12" s="35">
        <v>27568.799999999999</v>
      </c>
      <c r="H12" s="17">
        <f t="shared" si="1"/>
        <v>0</v>
      </c>
      <c r="I12" s="32">
        <v>0</v>
      </c>
      <c r="J12" s="10">
        <f t="shared" si="3"/>
        <v>0</v>
      </c>
      <c r="K12" s="35">
        <v>27568.799999999999</v>
      </c>
      <c r="L12" s="19">
        <f t="shared" si="2"/>
        <v>0</v>
      </c>
      <c r="M12" s="33">
        <v>0</v>
      </c>
      <c r="N12" s="28">
        <f t="shared" si="4"/>
        <v>0</v>
      </c>
      <c r="O12" s="18">
        <f t="shared" si="0"/>
        <v>0</v>
      </c>
      <c r="P12" s="22">
        <f t="shared" si="0"/>
        <v>0</v>
      </c>
      <c r="Q12" s="23">
        <f t="shared" si="5"/>
        <v>0</v>
      </c>
      <c r="R12" s="29">
        <v>0</v>
      </c>
      <c r="S12" s="30"/>
      <c r="T12" s="26"/>
      <c r="V12" s="26"/>
    </row>
    <row r="13" spans="1:25" ht="24" customHeight="1">
      <c r="A13" s="5">
        <v>9</v>
      </c>
      <c r="B13" s="31" t="s">
        <v>23</v>
      </c>
      <c r="C13" s="9" t="s">
        <v>193</v>
      </c>
      <c r="D13" s="16" t="s">
        <v>196</v>
      </c>
      <c r="E13" s="16" t="s">
        <v>216</v>
      </c>
      <c r="F13" s="17">
        <v>22709.11</v>
      </c>
      <c r="G13" s="17">
        <v>22709.11</v>
      </c>
      <c r="H13" s="17">
        <f t="shared" si="1"/>
        <v>0</v>
      </c>
      <c r="I13" s="34">
        <v>0</v>
      </c>
      <c r="J13" s="10">
        <f t="shared" si="3"/>
        <v>0</v>
      </c>
      <c r="K13" s="17">
        <v>22709.11</v>
      </c>
      <c r="L13" s="19">
        <f t="shared" si="2"/>
        <v>0</v>
      </c>
      <c r="M13" s="20">
        <v>0</v>
      </c>
      <c r="N13" s="28">
        <f t="shared" si="4"/>
        <v>0</v>
      </c>
      <c r="O13" s="18">
        <f t="shared" si="0"/>
        <v>0</v>
      </c>
      <c r="P13" s="22">
        <f t="shared" si="0"/>
        <v>0</v>
      </c>
      <c r="Q13" s="23">
        <f t="shared" si="5"/>
        <v>0</v>
      </c>
      <c r="R13" s="29">
        <v>0</v>
      </c>
      <c r="S13" s="36"/>
      <c r="T13" s="26"/>
      <c r="V13" s="26"/>
    </row>
    <row r="14" spans="1:25" ht="24" customHeight="1">
      <c r="A14" s="81">
        <v>10</v>
      </c>
      <c r="B14" s="31" t="s">
        <v>24</v>
      </c>
      <c r="C14" s="9" t="s">
        <v>193</v>
      </c>
      <c r="D14" s="16" t="s">
        <v>196</v>
      </c>
      <c r="E14" s="16" t="s">
        <v>216</v>
      </c>
      <c r="F14" s="17">
        <v>22665.24</v>
      </c>
      <c r="G14" s="17">
        <v>22665.24</v>
      </c>
      <c r="H14" s="17">
        <f t="shared" si="1"/>
        <v>0</v>
      </c>
      <c r="I14" s="32">
        <v>0</v>
      </c>
      <c r="J14" s="10">
        <f>IFERROR(I14/H14,0)</f>
        <v>0</v>
      </c>
      <c r="K14" s="17">
        <v>22665.24</v>
      </c>
      <c r="L14" s="19">
        <f t="shared" si="2"/>
        <v>0</v>
      </c>
      <c r="M14" s="20">
        <v>0</v>
      </c>
      <c r="N14" s="28">
        <f t="shared" si="4"/>
        <v>0</v>
      </c>
      <c r="O14" s="18">
        <f t="shared" si="0"/>
        <v>0</v>
      </c>
      <c r="P14" s="22">
        <f t="shared" si="0"/>
        <v>0</v>
      </c>
      <c r="Q14" s="23">
        <f t="shared" si="5"/>
        <v>0</v>
      </c>
      <c r="R14" s="29">
        <v>0</v>
      </c>
      <c r="S14" s="37"/>
      <c r="T14" s="26"/>
      <c r="V14" s="26"/>
    </row>
    <row r="15" spans="1:25" ht="24" customHeight="1">
      <c r="A15" s="5">
        <v>11</v>
      </c>
      <c r="B15" s="31" t="s">
        <v>25</v>
      </c>
      <c r="C15" s="9" t="s">
        <v>193</v>
      </c>
      <c r="D15" s="16" t="s">
        <v>196</v>
      </c>
      <c r="E15" s="16" t="s">
        <v>216</v>
      </c>
      <c r="F15" s="17">
        <v>20153.150000000001</v>
      </c>
      <c r="G15" s="17">
        <v>20153.150000000001</v>
      </c>
      <c r="H15" s="17">
        <f t="shared" si="1"/>
        <v>0</v>
      </c>
      <c r="I15" s="32">
        <v>0</v>
      </c>
      <c r="J15" s="10">
        <f>IFERROR(I15/H15,0)</f>
        <v>0</v>
      </c>
      <c r="K15" s="17">
        <v>20153.150000000001</v>
      </c>
      <c r="L15" s="19">
        <f>K15-G15</f>
        <v>0</v>
      </c>
      <c r="M15" s="20">
        <v>0</v>
      </c>
      <c r="N15" s="28">
        <f>IFERROR(M15/L15,0)</f>
        <v>0</v>
      </c>
      <c r="O15" s="18">
        <f>H15+L15</f>
        <v>0</v>
      </c>
      <c r="P15" s="22">
        <f t="shared" si="0"/>
        <v>0</v>
      </c>
      <c r="Q15" s="23">
        <f t="shared" si="5"/>
        <v>0</v>
      </c>
      <c r="R15" s="29">
        <v>0</v>
      </c>
      <c r="S15" s="37"/>
      <c r="T15" s="26"/>
      <c r="V15" s="26"/>
      <c r="W15" s="38"/>
    </row>
    <row r="16" spans="1:25" ht="24" customHeight="1">
      <c r="A16" s="81">
        <v>12</v>
      </c>
      <c r="B16" s="31" t="s">
        <v>181</v>
      </c>
      <c r="C16" s="9" t="s">
        <v>193</v>
      </c>
      <c r="D16" s="16" t="s">
        <v>196</v>
      </c>
      <c r="E16" s="16" t="s">
        <v>217</v>
      </c>
      <c r="F16" s="17">
        <v>10196.35</v>
      </c>
      <c r="G16" s="17">
        <v>10196.35</v>
      </c>
      <c r="H16" s="17">
        <f t="shared" si="1"/>
        <v>0</v>
      </c>
      <c r="I16" s="32">
        <v>0</v>
      </c>
      <c r="J16" s="10">
        <f>IFERROR(I16/H16,0)</f>
        <v>0</v>
      </c>
      <c r="K16" s="17">
        <v>10196.35</v>
      </c>
      <c r="L16" s="19">
        <f>K16-G16</f>
        <v>0</v>
      </c>
      <c r="M16" s="20">
        <v>0</v>
      </c>
      <c r="N16" s="28">
        <f>IFERROR(M16/L16,0)</f>
        <v>0</v>
      </c>
      <c r="O16" s="18">
        <f>H16+L16</f>
        <v>0</v>
      </c>
      <c r="P16" s="22">
        <f t="shared" si="0"/>
        <v>0</v>
      </c>
      <c r="Q16" s="23">
        <f t="shared" si="5"/>
        <v>0</v>
      </c>
      <c r="R16" s="29">
        <v>0</v>
      </c>
      <c r="S16" s="37"/>
      <c r="T16" s="26"/>
      <c r="V16" s="26"/>
      <c r="W16" s="38"/>
    </row>
    <row r="17" spans="1:23" ht="24" customHeight="1">
      <c r="A17" s="5">
        <v>13</v>
      </c>
      <c r="B17" s="31" t="s">
        <v>27</v>
      </c>
      <c r="C17" s="9" t="s">
        <v>193</v>
      </c>
      <c r="D17" s="16" t="s">
        <v>197</v>
      </c>
      <c r="E17" s="16" t="s">
        <v>218</v>
      </c>
      <c r="F17" s="17">
        <v>18305.7</v>
      </c>
      <c r="G17" s="17">
        <v>18325.900000000001</v>
      </c>
      <c r="H17" s="17">
        <f t="shared" si="1"/>
        <v>20.200000000000728</v>
      </c>
      <c r="I17" s="18">
        <v>364</v>
      </c>
      <c r="J17" s="10">
        <f>IFERROR(I17/H17,0)</f>
        <v>18.019801980197371</v>
      </c>
      <c r="K17" s="17">
        <v>18325.900000000001</v>
      </c>
      <c r="L17" s="19">
        <f t="shared" ref="L17" si="6">K17-G17</f>
        <v>0</v>
      </c>
      <c r="M17" s="20">
        <v>0</v>
      </c>
      <c r="N17" s="28">
        <f t="shared" ref="N17" si="7">IFERROR(M17/L17,0)</f>
        <v>0</v>
      </c>
      <c r="O17" s="18">
        <f t="shared" ref="O17" si="8">H17+L17</f>
        <v>20.200000000000728</v>
      </c>
      <c r="P17" s="22">
        <f t="shared" si="0"/>
        <v>364</v>
      </c>
      <c r="Q17" s="23">
        <f t="shared" si="5"/>
        <v>18.019801980197371</v>
      </c>
      <c r="R17" s="29">
        <v>0</v>
      </c>
      <c r="S17" s="172"/>
      <c r="T17" s="26"/>
      <c r="V17" s="26"/>
      <c r="W17" s="38"/>
    </row>
    <row r="18" spans="1:23" ht="24" customHeight="1">
      <c r="A18" s="81">
        <v>14</v>
      </c>
      <c r="B18" s="31" t="s">
        <v>26</v>
      </c>
      <c r="C18" s="9" t="s">
        <v>193</v>
      </c>
      <c r="D18" s="185" t="s">
        <v>198</v>
      </c>
      <c r="E18" s="178" t="s">
        <v>199</v>
      </c>
      <c r="F18" s="17">
        <v>15234.3</v>
      </c>
      <c r="G18" s="17">
        <v>15234.3</v>
      </c>
      <c r="H18" s="17">
        <f t="shared" si="1"/>
        <v>0</v>
      </c>
      <c r="I18" s="32">
        <v>0</v>
      </c>
      <c r="J18" s="10">
        <f>IFERROR(I18/H18,0)</f>
        <v>0</v>
      </c>
      <c r="K18" s="17">
        <v>15234.3</v>
      </c>
      <c r="L18" s="19">
        <f>K18-G18</f>
        <v>0</v>
      </c>
      <c r="M18" s="20">
        <v>0</v>
      </c>
      <c r="N18" s="28">
        <f>IFERROR(M18/L18,0)</f>
        <v>0</v>
      </c>
      <c r="O18" s="18">
        <f>H18+L18</f>
        <v>0</v>
      </c>
      <c r="P18" s="22">
        <f>I18+M18</f>
        <v>0</v>
      </c>
      <c r="Q18" s="23">
        <f t="shared" si="5"/>
        <v>0</v>
      </c>
      <c r="R18" s="29">
        <v>0</v>
      </c>
      <c r="S18" s="37"/>
      <c r="T18" s="26"/>
      <c r="V18" s="26"/>
      <c r="W18" s="38"/>
    </row>
    <row r="19" spans="1:23" ht="24" customHeight="1">
      <c r="A19" s="196" t="s">
        <v>28</v>
      </c>
      <c r="B19" s="197"/>
      <c r="C19" s="175"/>
      <c r="D19" s="175"/>
      <c r="E19" s="175"/>
      <c r="F19" s="39"/>
      <c r="G19" s="39"/>
      <c r="H19" s="40">
        <f>SUM(H7:H18)</f>
        <v>20.200000000000728</v>
      </c>
      <c r="I19" s="41">
        <f>SUM(I5:I18)</f>
        <v>364</v>
      </c>
      <c r="J19" s="39"/>
      <c r="K19" s="39"/>
      <c r="L19" s="40">
        <f>SUM(L7:L18)</f>
        <v>0</v>
      </c>
      <c r="M19" s="41">
        <f>SUM(M5:M18)</f>
        <v>0</v>
      </c>
      <c r="N19" s="28">
        <f>IFERROR(M19/L19,0)</f>
        <v>0</v>
      </c>
      <c r="O19" s="42">
        <f>SUM(O7:O18)</f>
        <v>20.200000000000728</v>
      </c>
      <c r="P19" s="43">
        <f>SUM(P5:P18)</f>
        <v>364</v>
      </c>
      <c r="Q19" s="23">
        <f>IFERROR(P19/O19,0)</f>
        <v>18.019801980197371</v>
      </c>
      <c r="R19" s="44">
        <f>SUM(R5:R18)</f>
        <v>0</v>
      </c>
      <c r="S19" s="45"/>
      <c r="V19" s="26"/>
    </row>
    <row r="20" spans="1:23" ht="18" customHeight="1" thickBot="1">
      <c r="A20" s="206" t="s">
        <v>29</v>
      </c>
      <c r="B20" s="207"/>
      <c r="C20" s="207"/>
      <c r="D20" s="207"/>
      <c r="E20" s="207"/>
      <c r="F20" s="207"/>
      <c r="G20" s="207"/>
      <c r="H20" s="207"/>
      <c r="I20" s="207"/>
      <c r="J20" s="207"/>
      <c r="K20" s="207"/>
      <c r="L20" s="207"/>
      <c r="M20" s="207"/>
      <c r="N20" s="207"/>
      <c r="O20" s="208"/>
      <c r="P20" s="46"/>
      <c r="Q20" s="47"/>
      <c r="R20" s="37"/>
    </row>
    <row r="21" spans="1:23" ht="22.8" customHeight="1">
      <c r="A21" s="209" t="s">
        <v>3</v>
      </c>
      <c r="B21" s="211" t="s">
        <v>4</v>
      </c>
      <c r="C21" s="173"/>
      <c r="D21" s="173"/>
      <c r="E21" s="173"/>
      <c r="F21" s="234" t="s">
        <v>5</v>
      </c>
      <c r="G21" s="234"/>
      <c r="H21" s="234"/>
      <c r="I21" s="234"/>
      <c r="J21" s="234"/>
      <c r="K21" s="235" t="s">
        <v>6</v>
      </c>
      <c r="L21" s="235"/>
      <c r="M21" s="235"/>
      <c r="N21" s="235"/>
      <c r="O21" s="48"/>
      <c r="P21" s="219" t="s">
        <v>7</v>
      </c>
      <c r="Q21" s="194" t="s">
        <v>8</v>
      </c>
      <c r="R21" s="37"/>
    </row>
    <row r="22" spans="1:23" s="51" customFormat="1" ht="24" customHeight="1" thickBot="1">
      <c r="A22" s="210"/>
      <c r="B22" s="212"/>
      <c r="C22" s="183" t="s">
        <v>190</v>
      </c>
      <c r="D22" s="183" t="s">
        <v>191</v>
      </c>
      <c r="E22" s="183" t="s">
        <v>192</v>
      </c>
      <c r="F22" s="49" t="s">
        <v>11</v>
      </c>
      <c r="G22" s="49" t="s">
        <v>12</v>
      </c>
      <c r="H22" s="49" t="s">
        <v>13</v>
      </c>
      <c r="I22" s="2" t="s">
        <v>14</v>
      </c>
      <c r="J22" s="2" t="s">
        <v>8</v>
      </c>
      <c r="K22" s="49" t="s">
        <v>12</v>
      </c>
      <c r="L22" s="49" t="s">
        <v>13</v>
      </c>
      <c r="M22" s="49" t="s">
        <v>14</v>
      </c>
      <c r="N22" s="7" t="s">
        <v>8</v>
      </c>
      <c r="O22" s="50" t="s">
        <v>15</v>
      </c>
      <c r="P22" s="220"/>
      <c r="Q22" s="195"/>
      <c r="R22" s="37"/>
      <c r="T22"/>
      <c r="U22"/>
      <c r="V22"/>
      <c r="W22"/>
    </row>
    <row r="23" spans="1:23" s="51" customFormat="1" ht="24" customHeight="1">
      <c r="A23" s="27">
        <v>1</v>
      </c>
      <c r="B23" s="52" t="s">
        <v>30</v>
      </c>
      <c r="C23" s="179" t="s">
        <v>200</v>
      </c>
      <c r="D23" s="179" t="s">
        <v>197</v>
      </c>
      <c r="E23" s="179" t="s">
        <v>201</v>
      </c>
      <c r="F23" s="6">
        <v>18948.599999999999</v>
      </c>
      <c r="G23" s="6">
        <v>18948.599999999999</v>
      </c>
      <c r="H23" s="53">
        <f>G23-F23</f>
        <v>0</v>
      </c>
      <c r="I23" s="54">
        <v>0</v>
      </c>
      <c r="J23" s="55">
        <f>IFERROR(I23/H23,0)</f>
        <v>0</v>
      </c>
      <c r="K23" s="6">
        <v>18948.599999999999</v>
      </c>
      <c r="L23" s="56">
        <f>K23-G23</f>
        <v>0</v>
      </c>
      <c r="M23" s="54">
        <v>0</v>
      </c>
      <c r="N23" s="57">
        <f>IFERROR(M23/L23,0)</f>
        <v>0</v>
      </c>
      <c r="O23" s="58">
        <f>H23+L23</f>
        <v>0</v>
      </c>
      <c r="P23" s="59">
        <f t="shared" ref="P23:P24" si="9">I23+M23</f>
        <v>0</v>
      </c>
      <c r="Q23" s="60">
        <f>IFERROR(P23/O23,0)</f>
        <v>0</v>
      </c>
      <c r="R23" s="61"/>
      <c r="T23"/>
      <c r="U23"/>
      <c r="V23"/>
      <c r="W23"/>
    </row>
    <row r="24" spans="1:23" ht="24" customHeight="1">
      <c r="A24" s="62">
        <v>2</v>
      </c>
      <c r="B24" s="52" t="s">
        <v>31</v>
      </c>
      <c r="C24" s="52" t="s">
        <v>200</v>
      </c>
      <c r="D24" s="52" t="s">
        <v>197</v>
      </c>
      <c r="E24" s="52" t="s">
        <v>201</v>
      </c>
      <c r="F24" s="63">
        <v>11321.6</v>
      </c>
      <c r="G24" s="63">
        <v>11321.6</v>
      </c>
      <c r="H24" s="53">
        <f>G24-F24</f>
        <v>0</v>
      </c>
      <c r="I24" s="54">
        <v>0</v>
      </c>
      <c r="J24" s="55">
        <f>IFERROR(I24/H24,0)</f>
        <v>0</v>
      </c>
      <c r="K24" s="63">
        <v>11321.6</v>
      </c>
      <c r="L24" s="64">
        <f>K24-G24</f>
        <v>0</v>
      </c>
      <c r="M24" s="54">
        <v>0</v>
      </c>
      <c r="N24" s="57">
        <f>IFERROR(M24/L24,0)</f>
        <v>0</v>
      </c>
      <c r="O24" s="58">
        <f>H24+L24</f>
        <v>0</v>
      </c>
      <c r="P24" s="59">
        <f t="shared" si="9"/>
        <v>0</v>
      </c>
      <c r="Q24" s="60">
        <f>IFERROR(P24/O24,0)</f>
        <v>0</v>
      </c>
      <c r="R24" s="65"/>
    </row>
    <row r="25" spans="1:23" ht="24" customHeight="1" thickBot="1">
      <c r="A25" s="238" t="s">
        <v>28</v>
      </c>
      <c r="B25" s="239"/>
      <c r="C25" s="180"/>
      <c r="D25" s="180"/>
      <c r="E25" s="180"/>
      <c r="F25" s="66"/>
      <c r="G25" s="66"/>
      <c r="H25" s="67">
        <f>SUM(H23:H24)</f>
        <v>0</v>
      </c>
      <c r="I25" s="67">
        <f>SUM(I23:I24)</f>
        <v>0</v>
      </c>
      <c r="J25" s="68"/>
      <c r="K25" s="68"/>
      <c r="L25" s="67">
        <f>SUM(L23:L24)</f>
        <v>0</v>
      </c>
      <c r="M25" s="67">
        <f>SUM(M23:M24)</f>
        <v>0</v>
      </c>
      <c r="N25" s="69">
        <f>SUM(N23:N24)</f>
        <v>0</v>
      </c>
      <c r="O25" s="70">
        <f>SUM(O23:O24)</f>
        <v>0</v>
      </c>
      <c r="P25" s="43">
        <f>SUM(P23:P24)</f>
        <v>0</v>
      </c>
      <c r="Q25" s="71"/>
      <c r="R25" s="37"/>
      <c r="S25" s="72"/>
    </row>
    <row r="26" spans="1:23" ht="18" customHeight="1" thickBot="1">
      <c r="A26" s="245" t="s">
        <v>32</v>
      </c>
      <c r="B26" s="246"/>
      <c r="C26" s="226"/>
      <c r="D26" s="226"/>
      <c r="E26" s="226"/>
      <c r="F26" s="226"/>
      <c r="G26" s="226"/>
      <c r="H26" s="226"/>
      <c r="I26" s="226"/>
      <c r="J26" s="226"/>
      <c r="K26" s="226"/>
      <c r="L26" s="226"/>
      <c r="M26" s="226"/>
      <c r="N26" s="226"/>
      <c r="O26" s="246"/>
      <c r="P26" s="46"/>
      <c r="Q26" s="47"/>
      <c r="R26" s="37"/>
    </row>
    <row r="27" spans="1:23" ht="22.8" customHeight="1">
      <c r="A27" s="209" t="s">
        <v>3</v>
      </c>
      <c r="B27" s="211" t="s">
        <v>4</v>
      </c>
      <c r="C27" s="173"/>
      <c r="D27" s="173"/>
      <c r="E27" s="173"/>
      <c r="F27" s="234" t="s">
        <v>5</v>
      </c>
      <c r="G27" s="234"/>
      <c r="H27" s="234"/>
      <c r="I27" s="234"/>
      <c r="J27" s="234"/>
      <c r="K27" s="235" t="s">
        <v>6</v>
      </c>
      <c r="L27" s="235"/>
      <c r="M27" s="235"/>
      <c r="N27" s="235"/>
      <c r="O27" s="48"/>
      <c r="P27" s="219" t="s">
        <v>7</v>
      </c>
      <c r="Q27" s="194" t="s">
        <v>8</v>
      </c>
      <c r="R27" s="37"/>
      <c r="V27" s="51"/>
    </row>
    <row r="28" spans="1:23" ht="24" customHeight="1">
      <c r="A28" s="247"/>
      <c r="B28" s="248"/>
      <c r="C28" s="183" t="s">
        <v>190</v>
      </c>
      <c r="D28" s="183" t="s">
        <v>191</v>
      </c>
      <c r="E28" s="183" t="s">
        <v>192</v>
      </c>
      <c r="F28" s="6" t="s">
        <v>11</v>
      </c>
      <c r="G28" s="6" t="s">
        <v>12</v>
      </c>
      <c r="H28" s="6" t="s">
        <v>13</v>
      </c>
      <c r="I28" s="6" t="s">
        <v>14</v>
      </c>
      <c r="J28" s="6" t="s">
        <v>8</v>
      </c>
      <c r="K28" s="6" t="s">
        <v>12</v>
      </c>
      <c r="L28" s="6" t="s">
        <v>13</v>
      </c>
      <c r="M28" s="6" t="s">
        <v>14</v>
      </c>
      <c r="N28" s="7" t="s">
        <v>8</v>
      </c>
      <c r="O28" s="73" t="s">
        <v>15</v>
      </c>
      <c r="P28" s="236"/>
      <c r="Q28" s="237"/>
      <c r="R28" s="61"/>
      <c r="S28" s="74"/>
      <c r="V28" s="51"/>
      <c r="W28" s="75"/>
    </row>
    <row r="29" spans="1:23" ht="24" customHeight="1">
      <c r="A29" s="76">
        <v>1</v>
      </c>
      <c r="B29" s="31" t="s">
        <v>33</v>
      </c>
      <c r="C29" s="31" t="s">
        <v>202</v>
      </c>
      <c r="D29" s="31" t="s">
        <v>203</v>
      </c>
      <c r="E29" s="31" t="s">
        <v>219</v>
      </c>
      <c r="F29" s="35">
        <v>21776.3</v>
      </c>
      <c r="G29" s="35">
        <v>21776.3</v>
      </c>
      <c r="H29" s="35">
        <f>G29-F29</f>
        <v>0</v>
      </c>
      <c r="I29" s="33">
        <v>0</v>
      </c>
      <c r="J29" s="10">
        <f t="shared" ref="J29:J33" si="10">IFERROR(I29/H29,0)</f>
        <v>0</v>
      </c>
      <c r="K29" s="35">
        <v>21776.3</v>
      </c>
      <c r="L29" s="56">
        <f>K29-G29</f>
        <v>0</v>
      </c>
      <c r="M29" s="33">
        <v>0</v>
      </c>
      <c r="N29" s="28">
        <f t="shared" ref="N29:N33" si="11">IFERROR(M29/L29,0)</f>
        <v>0</v>
      </c>
      <c r="O29" s="84">
        <f t="shared" ref="O29:P33" si="12">H29+L29</f>
        <v>0</v>
      </c>
      <c r="P29" s="79">
        <f t="shared" si="12"/>
        <v>0</v>
      </c>
      <c r="Q29" s="34">
        <f>IFERROR(P29/O29,0)</f>
        <v>0</v>
      </c>
      <c r="R29" s="37"/>
    </row>
    <row r="30" spans="1:23" ht="24" customHeight="1">
      <c r="A30" s="76">
        <v>2</v>
      </c>
      <c r="B30" s="31" t="s">
        <v>34</v>
      </c>
      <c r="C30" s="31" t="s">
        <v>202</v>
      </c>
      <c r="D30" s="31" t="s">
        <v>203</v>
      </c>
      <c r="E30" s="31" t="s">
        <v>219</v>
      </c>
      <c r="F30" s="35">
        <v>21207.200000000001</v>
      </c>
      <c r="G30" s="35">
        <v>21207.200000000001</v>
      </c>
      <c r="H30" s="35">
        <f>G30-F30</f>
        <v>0</v>
      </c>
      <c r="I30" s="33">
        <v>0</v>
      </c>
      <c r="J30" s="10">
        <f t="shared" si="10"/>
        <v>0</v>
      </c>
      <c r="K30" s="35">
        <v>21207.200000000001</v>
      </c>
      <c r="L30" s="56">
        <f>K30-G30</f>
        <v>0</v>
      </c>
      <c r="M30" s="33">
        <v>0</v>
      </c>
      <c r="N30" s="28">
        <f>IFERROR(M30/L30,0)</f>
        <v>0</v>
      </c>
      <c r="O30" s="18">
        <f t="shared" si="12"/>
        <v>0</v>
      </c>
      <c r="P30" s="22">
        <f t="shared" si="12"/>
        <v>0</v>
      </c>
      <c r="Q30" s="23">
        <f>IFERROR(P30/O30,0)</f>
        <v>0</v>
      </c>
      <c r="R30" s="37"/>
    </row>
    <row r="31" spans="1:23" ht="24" customHeight="1">
      <c r="A31" s="76">
        <v>3</v>
      </c>
      <c r="B31" s="31" t="s">
        <v>35</v>
      </c>
      <c r="C31" s="31" t="s">
        <v>202</v>
      </c>
      <c r="D31" s="31" t="s">
        <v>197</v>
      </c>
      <c r="E31" s="31" t="s">
        <v>220</v>
      </c>
      <c r="F31" s="35">
        <v>8994.7000000000007</v>
      </c>
      <c r="G31" s="35">
        <v>8994.7000000000007</v>
      </c>
      <c r="H31" s="17">
        <f t="shared" ref="H31:H33" si="13">G31-F31</f>
        <v>0</v>
      </c>
      <c r="I31" s="33">
        <v>0</v>
      </c>
      <c r="J31" s="10">
        <f t="shared" si="10"/>
        <v>0</v>
      </c>
      <c r="K31" s="35">
        <v>8994.7000000000007</v>
      </c>
      <c r="L31" s="19">
        <f>K31-G31</f>
        <v>0</v>
      </c>
      <c r="M31" s="33">
        <v>0</v>
      </c>
      <c r="N31" s="28">
        <f t="shared" si="11"/>
        <v>0</v>
      </c>
      <c r="O31" s="18">
        <f t="shared" si="12"/>
        <v>0</v>
      </c>
      <c r="P31" s="22">
        <f t="shared" si="12"/>
        <v>0</v>
      </c>
      <c r="Q31" s="23">
        <f>IFERROR(P31/O31,0)</f>
        <v>0</v>
      </c>
      <c r="R31" s="77"/>
    </row>
    <row r="32" spans="1:23" ht="24.6" customHeight="1">
      <c r="A32" s="76">
        <v>4</v>
      </c>
      <c r="B32" s="31" t="s">
        <v>36</v>
      </c>
      <c r="C32" s="31" t="s">
        <v>202</v>
      </c>
      <c r="D32" s="31" t="s">
        <v>203</v>
      </c>
      <c r="E32" s="31" t="s">
        <v>219</v>
      </c>
      <c r="F32" s="35">
        <v>3505.8</v>
      </c>
      <c r="G32" s="35">
        <v>3505.8</v>
      </c>
      <c r="H32" s="17">
        <f t="shared" si="13"/>
        <v>0</v>
      </c>
      <c r="I32" s="33">
        <v>0</v>
      </c>
      <c r="J32" s="78">
        <f t="shared" si="10"/>
        <v>0</v>
      </c>
      <c r="K32" s="35">
        <v>3505.8</v>
      </c>
      <c r="L32" s="19">
        <f t="shared" ref="L32:L33" si="14">K32-G32</f>
        <v>0</v>
      </c>
      <c r="M32" s="33">
        <v>0</v>
      </c>
      <c r="N32" s="28">
        <f t="shared" si="11"/>
        <v>0</v>
      </c>
      <c r="O32" s="18">
        <f t="shared" si="12"/>
        <v>0</v>
      </c>
      <c r="P32" s="79">
        <f t="shared" si="12"/>
        <v>0</v>
      </c>
      <c r="Q32" s="23">
        <f>IFERROR(P32/O32,0)</f>
        <v>0</v>
      </c>
      <c r="R32" s="80"/>
    </row>
    <row r="33" spans="1:22" ht="24.6" customHeight="1">
      <c r="A33" s="76">
        <v>5</v>
      </c>
      <c r="B33" s="31" t="s">
        <v>37</v>
      </c>
      <c r="C33" s="31" t="s">
        <v>202</v>
      </c>
      <c r="D33" s="31" t="s">
        <v>203</v>
      </c>
      <c r="E33" s="31" t="s">
        <v>221</v>
      </c>
      <c r="F33" s="35">
        <v>841.1</v>
      </c>
      <c r="G33" s="35">
        <v>841.1</v>
      </c>
      <c r="H33" s="17">
        <f t="shared" si="13"/>
        <v>0</v>
      </c>
      <c r="I33" s="33">
        <v>0</v>
      </c>
      <c r="J33" s="78">
        <f t="shared" si="10"/>
        <v>0</v>
      </c>
      <c r="K33" s="35">
        <v>841.1</v>
      </c>
      <c r="L33" s="19">
        <f t="shared" si="14"/>
        <v>0</v>
      </c>
      <c r="M33" s="33">
        <v>0</v>
      </c>
      <c r="N33" s="28">
        <f t="shared" si="11"/>
        <v>0</v>
      </c>
      <c r="O33" s="18">
        <f t="shared" si="12"/>
        <v>0</v>
      </c>
      <c r="P33" s="79">
        <f t="shared" si="12"/>
        <v>0</v>
      </c>
      <c r="Q33" s="23">
        <f>IFERROR(P33/O33,0)</f>
        <v>0</v>
      </c>
      <c r="R33" s="80"/>
    </row>
    <row r="34" spans="1:22" ht="22.8" customHeight="1" thickBot="1">
      <c r="A34" s="238" t="s">
        <v>28</v>
      </c>
      <c r="B34" s="239"/>
      <c r="C34" s="180"/>
      <c r="D34" s="180"/>
      <c r="E34" s="180"/>
      <c r="F34" s="66"/>
      <c r="G34" s="66"/>
      <c r="H34" s="67">
        <f>SUM(H29:H33)</f>
        <v>0</v>
      </c>
      <c r="I34" s="67">
        <f>SUM(I29:I33)</f>
        <v>0</v>
      </c>
      <c r="J34" s="68"/>
      <c r="K34" s="68"/>
      <c r="L34" s="67">
        <f>SUM(L29:L33)</f>
        <v>0</v>
      </c>
      <c r="M34" s="67">
        <f>SUM(M29:M33)</f>
        <v>0</v>
      </c>
      <c r="N34" s="69">
        <f>SUM(N29:N33)</f>
        <v>0</v>
      </c>
      <c r="O34" s="70">
        <f>SUM(O29:O33)</f>
        <v>0</v>
      </c>
      <c r="P34" s="43">
        <f>SUM(P29:P33)</f>
        <v>0</v>
      </c>
      <c r="Q34" s="71">
        <f>IFERROR(P34/N34,0)</f>
        <v>0</v>
      </c>
      <c r="R34" s="37"/>
      <c r="S34" s="72"/>
      <c r="V34" s="51"/>
    </row>
    <row r="35" spans="1:22" ht="24" customHeight="1">
      <c r="A35" s="240" t="s">
        <v>38</v>
      </c>
      <c r="B35" s="241"/>
      <c r="C35" s="241"/>
      <c r="D35" s="241"/>
      <c r="E35" s="241"/>
      <c r="F35" s="241"/>
      <c r="G35" s="241"/>
      <c r="H35" s="241"/>
      <c r="I35" s="241"/>
      <c r="J35" s="241"/>
      <c r="K35" s="241"/>
      <c r="L35" s="241"/>
      <c r="M35" s="241"/>
      <c r="N35" s="241"/>
      <c r="O35" s="242"/>
      <c r="P35" s="46"/>
      <c r="Q35" s="47"/>
      <c r="R35" s="61"/>
      <c r="V35" s="51"/>
    </row>
    <row r="36" spans="1:22" ht="24" customHeight="1">
      <c r="A36" s="243" t="s">
        <v>3</v>
      </c>
      <c r="B36" s="243" t="s">
        <v>4</v>
      </c>
      <c r="C36" s="181"/>
      <c r="D36" s="181"/>
      <c r="E36" s="181"/>
      <c r="F36" s="213" t="s">
        <v>5</v>
      </c>
      <c r="G36" s="214"/>
      <c r="H36" s="214"/>
      <c r="I36" s="214"/>
      <c r="J36" s="215"/>
      <c r="K36" s="216" t="s">
        <v>6</v>
      </c>
      <c r="L36" s="217"/>
      <c r="M36" s="217"/>
      <c r="N36" s="218"/>
      <c r="O36" s="5"/>
      <c r="P36" s="221" t="s">
        <v>7</v>
      </c>
      <c r="Q36" s="222" t="s">
        <v>8</v>
      </c>
      <c r="R36" s="37"/>
    </row>
    <row r="37" spans="1:22" ht="24" customHeight="1">
      <c r="A37" s="244"/>
      <c r="B37" s="244"/>
      <c r="C37" s="183" t="s">
        <v>190</v>
      </c>
      <c r="D37" s="183" t="s">
        <v>191</v>
      </c>
      <c r="E37" s="183" t="s">
        <v>192</v>
      </c>
      <c r="F37" s="2" t="s">
        <v>11</v>
      </c>
      <c r="G37" s="2" t="s">
        <v>12</v>
      </c>
      <c r="H37" s="2" t="s">
        <v>13</v>
      </c>
      <c r="I37" s="2" t="s">
        <v>14</v>
      </c>
      <c r="J37" s="2" t="s">
        <v>8</v>
      </c>
      <c r="K37" s="2" t="s">
        <v>12</v>
      </c>
      <c r="L37" s="2" t="s">
        <v>13</v>
      </c>
      <c r="M37" s="2" t="s">
        <v>14</v>
      </c>
      <c r="N37" s="82" t="s">
        <v>8</v>
      </c>
      <c r="O37" s="12" t="s">
        <v>15</v>
      </c>
      <c r="P37" s="221"/>
      <c r="Q37" s="222"/>
      <c r="R37" s="37"/>
    </row>
    <row r="38" spans="1:22" ht="24" customHeight="1">
      <c r="A38" s="76">
        <v>1</v>
      </c>
      <c r="B38" s="31" t="s">
        <v>39</v>
      </c>
      <c r="C38" s="31" t="s">
        <v>204</v>
      </c>
      <c r="D38" s="31" t="s">
        <v>205</v>
      </c>
      <c r="E38" s="31" t="s">
        <v>206</v>
      </c>
      <c r="F38" s="83">
        <v>16663.599999999999</v>
      </c>
      <c r="G38" s="83">
        <v>16663.599999999999</v>
      </c>
      <c r="H38" s="35">
        <f>G38-F38</f>
        <v>0</v>
      </c>
      <c r="I38" s="33">
        <v>0</v>
      </c>
      <c r="J38" s="78">
        <f t="shared" ref="J38:J39" si="15">IFERROR(I38/H38,0)</f>
        <v>0</v>
      </c>
      <c r="K38" s="83">
        <v>16663.599999999999</v>
      </c>
      <c r="L38" s="56">
        <f>K38-G38</f>
        <v>0</v>
      </c>
      <c r="M38" s="33">
        <v>0</v>
      </c>
      <c r="N38" s="28">
        <f>IFERROR(M38/L38,0)</f>
        <v>0</v>
      </c>
      <c r="O38" s="84">
        <f t="shared" ref="O38:O39" si="16">H38+L38</f>
        <v>0</v>
      </c>
      <c r="P38" s="79">
        <f>I38+M38</f>
        <v>0</v>
      </c>
      <c r="Q38" s="34">
        <f>IFERROR(P38/O38,0)</f>
        <v>0</v>
      </c>
      <c r="R38" s="37"/>
    </row>
    <row r="39" spans="1:22" ht="27" customHeight="1">
      <c r="A39" s="76">
        <v>2</v>
      </c>
      <c r="B39" s="31" t="s">
        <v>40</v>
      </c>
      <c r="C39" s="31" t="s">
        <v>204</v>
      </c>
      <c r="D39" s="31" t="s">
        <v>197</v>
      </c>
      <c r="E39" s="31" t="s">
        <v>207</v>
      </c>
      <c r="F39" s="35">
        <v>4550.8</v>
      </c>
      <c r="G39" s="35">
        <v>4550.8</v>
      </c>
      <c r="H39" s="17">
        <f>G39-F39</f>
        <v>0</v>
      </c>
      <c r="I39" s="33">
        <v>0</v>
      </c>
      <c r="J39" s="10">
        <f t="shared" si="15"/>
        <v>0</v>
      </c>
      <c r="K39" s="35">
        <v>4550.8</v>
      </c>
      <c r="L39" s="19">
        <f>K39-G39</f>
        <v>0</v>
      </c>
      <c r="M39" s="33">
        <v>0</v>
      </c>
      <c r="N39" s="28">
        <f>IFERROR(M39/L39,0)</f>
        <v>0</v>
      </c>
      <c r="O39" s="18">
        <f t="shared" si="16"/>
        <v>0</v>
      </c>
      <c r="P39" s="22">
        <f>I39+M39</f>
        <v>0</v>
      </c>
      <c r="Q39" s="23">
        <f>IFERROR(P39/O39,0)</f>
        <v>0</v>
      </c>
      <c r="R39" s="37"/>
      <c r="V39" s="51"/>
    </row>
    <row r="40" spans="1:22" ht="22.8" customHeight="1" thickBot="1">
      <c r="A40" s="196" t="s">
        <v>28</v>
      </c>
      <c r="B40" s="233"/>
      <c r="C40" s="176"/>
      <c r="D40" s="176"/>
      <c r="E40" s="176"/>
      <c r="F40" s="68"/>
      <c r="G40" s="66"/>
      <c r="H40" s="67">
        <f>SUM(H38:H39)</f>
        <v>0</v>
      </c>
      <c r="I40" s="67">
        <f>SUM(I38:I39:I39)</f>
        <v>0</v>
      </c>
      <c r="J40" s="68"/>
      <c r="K40" s="68"/>
      <c r="L40" s="67">
        <f>SUM(L38:L39)</f>
        <v>0</v>
      </c>
      <c r="M40" s="67">
        <f>SUM(M38:M39)</f>
        <v>0</v>
      </c>
      <c r="N40" s="69">
        <f>SUM(N38:N39)</f>
        <v>0</v>
      </c>
      <c r="O40" s="70">
        <f>SUM(O38:O39)</f>
        <v>0</v>
      </c>
      <c r="P40" s="43">
        <f>SUM(P38:P39)</f>
        <v>0</v>
      </c>
      <c r="Q40" s="71">
        <f>IFERROR(P40/N40,0)</f>
        <v>0</v>
      </c>
      <c r="R40" s="37"/>
      <c r="S40" s="72"/>
      <c r="V40" s="51"/>
    </row>
    <row r="41" spans="1:22" ht="24" customHeight="1">
      <c r="A41" s="225" t="s">
        <v>41</v>
      </c>
      <c r="B41" s="226"/>
      <c r="C41" s="226"/>
      <c r="D41" s="226"/>
      <c r="E41" s="226"/>
      <c r="F41" s="226"/>
      <c r="G41" s="226"/>
      <c r="H41" s="226"/>
      <c r="I41" s="226"/>
      <c r="J41" s="226"/>
      <c r="K41" s="226"/>
      <c r="L41" s="226"/>
      <c r="M41" s="226"/>
      <c r="N41" s="226"/>
      <c r="O41" s="226"/>
      <c r="P41" s="46"/>
      <c r="Q41" s="47"/>
      <c r="R41" s="61"/>
    </row>
    <row r="42" spans="1:22" ht="24" customHeight="1">
      <c r="A42" s="222" t="s">
        <v>3</v>
      </c>
      <c r="B42" s="222" t="s">
        <v>4</v>
      </c>
      <c r="C42" s="5"/>
      <c r="D42" s="5"/>
      <c r="E42" s="5"/>
      <c r="F42" s="234" t="s">
        <v>5</v>
      </c>
      <c r="G42" s="234"/>
      <c r="H42" s="234"/>
      <c r="I42" s="234"/>
      <c r="J42" s="234"/>
      <c r="K42" s="235" t="s">
        <v>6</v>
      </c>
      <c r="L42" s="235"/>
      <c r="M42" s="235"/>
      <c r="N42" s="235"/>
      <c r="O42" s="5"/>
      <c r="P42" s="221" t="s">
        <v>7</v>
      </c>
      <c r="Q42" s="222" t="s">
        <v>8</v>
      </c>
      <c r="R42" s="37"/>
    </row>
    <row r="43" spans="1:22" ht="25.8" customHeight="1">
      <c r="A43" s="222"/>
      <c r="B43" s="222"/>
      <c r="C43" s="183" t="s">
        <v>190</v>
      </c>
      <c r="D43" s="183" t="s">
        <v>191</v>
      </c>
      <c r="E43" s="183" t="s">
        <v>192</v>
      </c>
      <c r="F43" s="2" t="s">
        <v>11</v>
      </c>
      <c r="G43" s="2" t="s">
        <v>12</v>
      </c>
      <c r="H43" s="2" t="s">
        <v>13</v>
      </c>
      <c r="I43" s="2" t="s">
        <v>14</v>
      </c>
      <c r="J43" s="2" t="s">
        <v>8</v>
      </c>
      <c r="K43" s="2" t="s">
        <v>12</v>
      </c>
      <c r="L43" s="2" t="s">
        <v>13</v>
      </c>
      <c r="M43" s="2" t="s">
        <v>14</v>
      </c>
      <c r="N43" s="82" t="s">
        <v>8</v>
      </c>
      <c r="O43" s="12" t="s">
        <v>15</v>
      </c>
      <c r="P43" s="221"/>
      <c r="Q43" s="222"/>
      <c r="R43" s="37"/>
    </row>
    <row r="44" spans="1:22" ht="25.8" customHeight="1">
      <c r="A44" s="5">
        <v>1</v>
      </c>
      <c r="B44" s="85" t="s">
        <v>186</v>
      </c>
      <c r="C44" s="85" t="s">
        <v>208</v>
      </c>
      <c r="D44" s="85" t="s">
        <v>197</v>
      </c>
      <c r="E44" s="178" t="s">
        <v>209</v>
      </c>
      <c r="F44" s="2">
        <v>0</v>
      </c>
      <c r="G44" s="2">
        <v>0</v>
      </c>
      <c r="H44" s="20">
        <f>G44-F44</f>
        <v>0</v>
      </c>
      <c r="I44" s="2">
        <v>0</v>
      </c>
      <c r="J44" s="10">
        <f t="shared" ref="J44:J46" si="17">IFERROR(I44/H44,0)</f>
        <v>0</v>
      </c>
      <c r="K44" s="2">
        <v>0</v>
      </c>
      <c r="L44" s="86">
        <f>K44-G44</f>
        <v>0</v>
      </c>
      <c r="M44" s="2">
        <v>0</v>
      </c>
      <c r="N44" s="28">
        <f>IFERROR(M44/L44,0)</f>
        <v>0</v>
      </c>
      <c r="O44" s="18">
        <f>H44+L44</f>
        <v>0</v>
      </c>
      <c r="P44" s="22">
        <f>I44+M44</f>
        <v>0</v>
      </c>
      <c r="Q44" s="23">
        <f>IFERROR(P44/O44,0)</f>
        <v>0</v>
      </c>
      <c r="R44" s="37"/>
    </row>
    <row r="45" spans="1:22" ht="24.6" customHeight="1">
      <c r="A45" s="76">
        <v>2</v>
      </c>
      <c r="B45" s="85" t="s">
        <v>42</v>
      </c>
      <c r="C45" s="85" t="s">
        <v>208</v>
      </c>
      <c r="D45" s="85" t="s">
        <v>197</v>
      </c>
      <c r="E45" s="178" t="s">
        <v>209</v>
      </c>
      <c r="F45" s="33">
        <v>8726.9</v>
      </c>
      <c r="G45" s="33">
        <v>8726.9</v>
      </c>
      <c r="H45" s="20">
        <f>G45-F45</f>
        <v>0</v>
      </c>
      <c r="I45" s="33">
        <v>0</v>
      </c>
      <c r="J45" s="10">
        <f t="shared" si="17"/>
        <v>0</v>
      </c>
      <c r="K45" s="33">
        <v>8726.9</v>
      </c>
      <c r="L45" s="86">
        <f>K45-G45</f>
        <v>0</v>
      </c>
      <c r="M45" s="2">
        <v>0</v>
      </c>
      <c r="N45" s="28">
        <f>IFERROR(M45/L45,0)</f>
        <v>0</v>
      </c>
      <c r="O45" s="18">
        <f>H45+L45</f>
        <v>0</v>
      </c>
      <c r="P45" s="22">
        <f>I45+M45</f>
        <v>0</v>
      </c>
      <c r="Q45" s="23">
        <f>IFERROR(P45/O45,0)</f>
        <v>0</v>
      </c>
      <c r="R45" s="87"/>
      <c r="V45" s="51"/>
    </row>
    <row r="46" spans="1:22" ht="22.8" customHeight="1">
      <c r="A46" s="76">
        <v>3</v>
      </c>
      <c r="B46" s="85" t="s">
        <v>43</v>
      </c>
      <c r="C46" s="85" t="s">
        <v>208</v>
      </c>
      <c r="D46" s="85" t="s">
        <v>197</v>
      </c>
      <c r="E46" s="178" t="s">
        <v>209</v>
      </c>
      <c r="F46" s="33">
        <v>1686</v>
      </c>
      <c r="G46" s="33">
        <v>1686</v>
      </c>
      <c r="H46" s="20">
        <f>G46-F46</f>
        <v>0</v>
      </c>
      <c r="I46" s="33">
        <v>0</v>
      </c>
      <c r="J46" s="10">
        <f t="shared" si="17"/>
        <v>0</v>
      </c>
      <c r="K46" s="33">
        <v>1686</v>
      </c>
      <c r="L46" s="86">
        <f>K46-G46</f>
        <v>0</v>
      </c>
      <c r="M46" s="2">
        <v>0</v>
      </c>
      <c r="N46" s="28">
        <f>IFERROR(M46/L46,0)</f>
        <v>0</v>
      </c>
      <c r="O46" s="18">
        <f>H46+L46</f>
        <v>0</v>
      </c>
      <c r="P46" s="22">
        <f t="shared" ref="P46" si="18">I46+M46</f>
        <v>0</v>
      </c>
      <c r="Q46" s="23">
        <f>IFERROR(P46/O46,0)</f>
        <v>0</v>
      </c>
      <c r="R46" s="87"/>
      <c r="S46" s="88"/>
      <c r="T46" s="89"/>
    </row>
    <row r="47" spans="1:22" ht="24" customHeight="1" thickBot="1">
      <c r="A47" s="223" t="s">
        <v>28</v>
      </c>
      <c r="B47" s="224"/>
      <c r="C47" s="177"/>
      <c r="D47" s="177"/>
      <c r="E47" s="177"/>
      <c r="F47" s="90"/>
      <c r="G47" s="90"/>
      <c r="H47" s="91">
        <f>SUM(H45:H46)</f>
        <v>0</v>
      </c>
      <c r="I47" s="91">
        <f>SUM(I45:I46)</f>
        <v>0</v>
      </c>
      <c r="J47" s="92"/>
      <c r="K47" s="92"/>
      <c r="L47" s="91">
        <f>SUM(L44:L46)</f>
        <v>0</v>
      </c>
      <c r="M47" s="91">
        <f>SUM(M44:M46)</f>
        <v>0</v>
      </c>
      <c r="N47" s="93">
        <f>SUM(N44:N46)</f>
        <v>0</v>
      </c>
      <c r="O47" s="94">
        <f>SUM(O44:O46)</f>
        <v>0</v>
      </c>
      <c r="P47" s="95">
        <f>SUM(P44:P46)</f>
        <v>0</v>
      </c>
      <c r="Q47" s="96" t="e">
        <f>P47/O47</f>
        <v>#DIV/0!</v>
      </c>
      <c r="R47" s="37"/>
      <c r="S47" s="97"/>
      <c r="T47" s="89"/>
    </row>
    <row r="48" spans="1:22" ht="24" customHeight="1">
      <c r="A48" s="225" t="s">
        <v>44</v>
      </c>
      <c r="B48" s="226"/>
      <c r="C48" s="226"/>
      <c r="D48" s="226"/>
      <c r="E48" s="226"/>
      <c r="F48" s="226"/>
      <c r="G48" s="226"/>
      <c r="H48" s="226"/>
      <c r="I48" s="226"/>
      <c r="J48" s="226"/>
      <c r="K48" s="226"/>
      <c r="L48" s="226"/>
      <c r="M48" s="226"/>
      <c r="N48" s="226"/>
      <c r="O48" s="226"/>
      <c r="P48" s="98"/>
      <c r="Q48" s="99"/>
      <c r="R48" s="37"/>
      <c r="S48" s="100"/>
      <c r="T48" s="100"/>
    </row>
    <row r="49" spans="1:30" ht="24" customHeight="1">
      <c r="A49" s="222" t="s">
        <v>3</v>
      </c>
      <c r="B49" s="222" t="s">
        <v>4</v>
      </c>
      <c r="C49" s="182"/>
      <c r="D49" s="182"/>
      <c r="E49" s="182"/>
      <c r="F49" s="227" t="s">
        <v>5</v>
      </c>
      <c r="G49" s="228"/>
      <c r="H49" s="228"/>
      <c r="I49" s="228"/>
      <c r="J49" s="228"/>
      <c r="K49" s="229"/>
      <c r="L49" s="230" t="s">
        <v>6</v>
      </c>
      <c r="M49" s="231"/>
      <c r="N49" s="231"/>
      <c r="O49" s="231"/>
      <c r="P49" s="231"/>
      <c r="Q49" s="232"/>
      <c r="R49" s="201" t="s">
        <v>45</v>
      </c>
      <c r="S49" s="203" t="s">
        <v>46</v>
      </c>
      <c r="T49" s="203" t="s">
        <v>47</v>
      </c>
      <c r="U49" s="205" t="s">
        <v>48</v>
      </c>
      <c r="AC49" s="101"/>
    </row>
    <row r="50" spans="1:30" ht="33" customHeight="1">
      <c r="A50" s="222"/>
      <c r="B50" s="222"/>
      <c r="C50" s="183" t="s">
        <v>190</v>
      </c>
      <c r="D50" s="183" t="s">
        <v>191</v>
      </c>
      <c r="E50" s="183" t="s">
        <v>192</v>
      </c>
      <c r="F50" s="2" t="s">
        <v>49</v>
      </c>
      <c r="G50" s="2" t="s">
        <v>50</v>
      </c>
      <c r="H50" s="2" t="s">
        <v>51</v>
      </c>
      <c r="I50" s="102" t="s">
        <v>11</v>
      </c>
      <c r="J50" s="2" t="s">
        <v>14</v>
      </c>
      <c r="K50" s="2" t="s">
        <v>8</v>
      </c>
      <c r="L50" s="2" t="s">
        <v>50</v>
      </c>
      <c r="M50" s="2" t="s">
        <v>45</v>
      </c>
      <c r="N50" s="102" t="s">
        <v>12</v>
      </c>
      <c r="O50" s="102" t="s">
        <v>15</v>
      </c>
      <c r="P50" s="2" t="s">
        <v>14</v>
      </c>
      <c r="Q50" s="82" t="s">
        <v>8</v>
      </c>
      <c r="R50" s="202"/>
      <c r="S50" s="204"/>
      <c r="T50" s="204"/>
      <c r="U50" s="205"/>
    </row>
    <row r="51" spans="1:30" ht="21" customHeight="1">
      <c r="A51" s="81">
        <v>1</v>
      </c>
      <c r="B51" s="103" t="s">
        <v>52</v>
      </c>
      <c r="C51" s="103" t="s">
        <v>210</v>
      </c>
      <c r="D51" s="103" t="s">
        <v>194</v>
      </c>
      <c r="E51" s="178" t="s">
        <v>211</v>
      </c>
      <c r="F51" s="2">
        <v>279975.59999999998</v>
      </c>
      <c r="G51" s="2">
        <v>279975.59999999998</v>
      </c>
      <c r="H51" s="104">
        <f t="shared" ref="H51:H116" si="19">G51-F51</f>
        <v>0</v>
      </c>
      <c r="I51" s="105">
        <v>22177.02</v>
      </c>
      <c r="J51" s="49">
        <v>0</v>
      </c>
      <c r="K51" s="10">
        <f t="shared" ref="K51:K116" si="20">IFERROR(H51/J51,0)</f>
        <v>0</v>
      </c>
      <c r="L51" s="2">
        <v>279975.59999999998</v>
      </c>
      <c r="M51" s="106">
        <f t="shared" ref="M51:M116" si="21">L51-G51</f>
        <v>0</v>
      </c>
      <c r="N51" s="105">
        <v>22177.02</v>
      </c>
      <c r="O51" s="107">
        <f t="shared" ref="O51:O116" si="22">N51-I51</f>
        <v>0</v>
      </c>
      <c r="P51" s="2">
        <v>0</v>
      </c>
      <c r="Q51" s="28">
        <f t="shared" ref="Q51:Q116" si="23">IFERROR(M51/P51,0)</f>
        <v>0</v>
      </c>
      <c r="R51" s="84">
        <f t="shared" ref="R51:R116" si="24">M51+H51</f>
        <v>0</v>
      </c>
      <c r="S51" s="79">
        <f t="shared" ref="S51:S116" si="25">J51+P51</f>
        <v>0</v>
      </c>
      <c r="T51" s="34">
        <f t="shared" ref="T51:T116" si="26">IFERROR(R51/S51,0)</f>
        <v>0</v>
      </c>
      <c r="U51" s="108">
        <v>28</v>
      </c>
    </row>
    <row r="52" spans="1:30" ht="21" customHeight="1">
      <c r="A52" s="81">
        <v>2</v>
      </c>
      <c r="B52" s="103" t="s">
        <v>155</v>
      </c>
      <c r="C52" s="103" t="s">
        <v>210</v>
      </c>
      <c r="D52" s="103" t="s">
        <v>194</v>
      </c>
      <c r="E52" s="178" t="s">
        <v>223</v>
      </c>
      <c r="F52" s="2">
        <v>303038</v>
      </c>
      <c r="G52" s="2">
        <v>303038</v>
      </c>
      <c r="H52" s="104">
        <f t="shared" si="19"/>
        <v>0</v>
      </c>
      <c r="I52" s="105">
        <v>30635</v>
      </c>
      <c r="J52" s="49">
        <v>0</v>
      </c>
      <c r="K52" s="10">
        <f t="shared" si="20"/>
        <v>0</v>
      </c>
      <c r="L52" s="2">
        <v>303038</v>
      </c>
      <c r="M52" s="106">
        <f t="shared" si="21"/>
        <v>0</v>
      </c>
      <c r="N52" s="105">
        <v>30635</v>
      </c>
      <c r="O52" s="107">
        <f t="shared" si="22"/>
        <v>0</v>
      </c>
      <c r="P52" s="2">
        <v>0</v>
      </c>
      <c r="Q52" s="28">
        <f t="shared" si="23"/>
        <v>0</v>
      </c>
      <c r="R52" s="84">
        <f t="shared" si="24"/>
        <v>0</v>
      </c>
      <c r="S52" s="79">
        <f t="shared" si="25"/>
        <v>0</v>
      </c>
      <c r="T52" s="34">
        <f t="shared" si="26"/>
        <v>0</v>
      </c>
      <c r="U52" s="108">
        <v>44</v>
      </c>
    </row>
    <row r="53" spans="1:30" ht="21" customHeight="1">
      <c r="A53" s="81">
        <v>3</v>
      </c>
      <c r="B53" s="103" t="s">
        <v>171</v>
      </c>
      <c r="C53" s="103" t="s">
        <v>210</v>
      </c>
      <c r="D53" s="103" t="s">
        <v>194</v>
      </c>
      <c r="E53" s="178" t="s">
        <v>223</v>
      </c>
      <c r="F53" s="2">
        <v>312059</v>
      </c>
      <c r="G53" s="2">
        <v>312059</v>
      </c>
      <c r="H53" s="104">
        <f t="shared" si="19"/>
        <v>0</v>
      </c>
      <c r="I53" s="105">
        <v>31170</v>
      </c>
      <c r="J53" s="49">
        <v>0</v>
      </c>
      <c r="K53" s="10">
        <f t="shared" si="20"/>
        <v>0</v>
      </c>
      <c r="L53" s="2">
        <v>312059</v>
      </c>
      <c r="M53" s="106">
        <f t="shared" si="21"/>
        <v>0</v>
      </c>
      <c r="N53" s="105">
        <v>31170</v>
      </c>
      <c r="O53" s="107">
        <f t="shared" si="22"/>
        <v>0</v>
      </c>
      <c r="P53" s="2">
        <v>0</v>
      </c>
      <c r="Q53" s="28">
        <f t="shared" si="23"/>
        <v>0</v>
      </c>
      <c r="R53" s="84">
        <f t="shared" si="24"/>
        <v>0</v>
      </c>
      <c r="S53" s="79">
        <f t="shared" si="25"/>
        <v>0</v>
      </c>
      <c r="T53" s="34">
        <f t="shared" si="26"/>
        <v>0</v>
      </c>
      <c r="U53" s="108">
        <v>31</v>
      </c>
    </row>
    <row r="54" spans="1:30" ht="21" customHeight="1">
      <c r="A54" s="81">
        <v>4</v>
      </c>
      <c r="B54" s="103" t="s">
        <v>156</v>
      </c>
      <c r="C54" s="103" t="s">
        <v>210</v>
      </c>
      <c r="D54" s="103" t="s">
        <v>194</v>
      </c>
      <c r="E54" s="178" t="s">
        <v>223</v>
      </c>
      <c r="F54" s="2">
        <v>263031</v>
      </c>
      <c r="G54" s="2">
        <v>263031</v>
      </c>
      <c r="H54" s="104">
        <f t="shared" si="19"/>
        <v>0</v>
      </c>
      <c r="I54" s="105">
        <v>27867</v>
      </c>
      <c r="J54" s="49">
        <v>0</v>
      </c>
      <c r="K54" s="10">
        <f t="shared" si="20"/>
        <v>0</v>
      </c>
      <c r="L54" s="2">
        <v>263031</v>
      </c>
      <c r="M54" s="106">
        <f t="shared" si="21"/>
        <v>0</v>
      </c>
      <c r="N54" s="105">
        <v>27867</v>
      </c>
      <c r="O54" s="107">
        <f t="shared" si="22"/>
        <v>0</v>
      </c>
      <c r="P54" s="2">
        <v>0</v>
      </c>
      <c r="Q54" s="28">
        <f t="shared" si="23"/>
        <v>0</v>
      </c>
      <c r="R54" s="84">
        <f t="shared" si="24"/>
        <v>0</v>
      </c>
      <c r="S54" s="79">
        <f t="shared" si="25"/>
        <v>0</v>
      </c>
      <c r="T54" s="34">
        <f t="shared" si="26"/>
        <v>0</v>
      </c>
      <c r="U54" s="108">
        <v>35</v>
      </c>
    </row>
    <row r="55" spans="1:30" ht="21" customHeight="1">
      <c r="A55" s="81">
        <v>5</v>
      </c>
      <c r="B55" s="103" t="s">
        <v>157</v>
      </c>
      <c r="C55" s="103" t="s">
        <v>210</v>
      </c>
      <c r="D55" s="103" t="s">
        <v>194</v>
      </c>
      <c r="E55" s="178" t="s">
        <v>223</v>
      </c>
      <c r="F55" s="2">
        <v>278101</v>
      </c>
      <c r="G55" s="2">
        <v>278101</v>
      </c>
      <c r="H55" s="104">
        <f t="shared" si="19"/>
        <v>0</v>
      </c>
      <c r="I55" s="105">
        <v>28190</v>
      </c>
      <c r="J55" s="49">
        <v>0</v>
      </c>
      <c r="K55" s="10">
        <f t="shared" si="20"/>
        <v>0</v>
      </c>
      <c r="L55" s="2">
        <v>278101</v>
      </c>
      <c r="M55" s="106">
        <f t="shared" si="21"/>
        <v>0</v>
      </c>
      <c r="N55" s="105">
        <v>28190</v>
      </c>
      <c r="O55" s="107">
        <f t="shared" si="22"/>
        <v>0</v>
      </c>
      <c r="P55" s="2">
        <v>0</v>
      </c>
      <c r="Q55" s="28">
        <f t="shared" si="23"/>
        <v>0</v>
      </c>
      <c r="R55" s="84">
        <f t="shared" si="24"/>
        <v>0</v>
      </c>
      <c r="S55" s="79">
        <f t="shared" si="25"/>
        <v>0</v>
      </c>
      <c r="T55" s="34">
        <f t="shared" si="26"/>
        <v>0</v>
      </c>
      <c r="U55" s="108">
        <v>29</v>
      </c>
    </row>
    <row r="56" spans="1:30" ht="21" customHeight="1">
      <c r="A56" s="81">
        <v>6</v>
      </c>
      <c r="B56" s="103" t="s">
        <v>172</v>
      </c>
      <c r="C56" s="103" t="s">
        <v>210</v>
      </c>
      <c r="D56" s="103" t="s">
        <v>194</v>
      </c>
      <c r="E56" s="178" t="s">
        <v>223</v>
      </c>
      <c r="F56" s="2">
        <v>267330</v>
      </c>
      <c r="G56" s="2">
        <v>267330</v>
      </c>
      <c r="H56" s="104">
        <f t="shared" si="19"/>
        <v>0</v>
      </c>
      <c r="I56" s="105">
        <v>26455</v>
      </c>
      <c r="J56" s="49">
        <v>0</v>
      </c>
      <c r="K56" s="10">
        <f t="shared" si="20"/>
        <v>0</v>
      </c>
      <c r="L56" s="2">
        <v>267330</v>
      </c>
      <c r="M56" s="106">
        <f t="shared" si="21"/>
        <v>0</v>
      </c>
      <c r="N56" s="105">
        <v>26455</v>
      </c>
      <c r="O56" s="107">
        <f t="shared" si="22"/>
        <v>0</v>
      </c>
      <c r="P56" s="2">
        <v>0</v>
      </c>
      <c r="Q56" s="28">
        <f t="shared" si="23"/>
        <v>0</v>
      </c>
      <c r="R56" s="84">
        <f t="shared" si="24"/>
        <v>0</v>
      </c>
      <c r="S56" s="79">
        <f t="shared" si="25"/>
        <v>0</v>
      </c>
      <c r="T56" s="34">
        <f t="shared" si="26"/>
        <v>0</v>
      </c>
      <c r="U56" s="108">
        <v>11</v>
      </c>
    </row>
    <row r="57" spans="1:30" ht="21" customHeight="1">
      <c r="A57" s="81">
        <v>7</v>
      </c>
      <c r="B57" s="103" t="s">
        <v>173</v>
      </c>
      <c r="C57" s="103" t="s">
        <v>210</v>
      </c>
      <c r="D57" s="103" t="s">
        <v>194</v>
      </c>
      <c r="E57" s="178" t="s">
        <v>223</v>
      </c>
      <c r="F57" s="2">
        <v>295972</v>
      </c>
      <c r="G57" s="2">
        <v>295972</v>
      </c>
      <c r="H57" s="104">
        <f t="shared" si="19"/>
        <v>0</v>
      </c>
      <c r="I57" s="105">
        <v>28802</v>
      </c>
      <c r="J57" s="49">
        <v>0</v>
      </c>
      <c r="K57" s="10">
        <f t="shared" si="20"/>
        <v>0</v>
      </c>
      <c r="L57" s="2">
        <v>295972</v>
      </c>
      <c r="M57" s="106">
        <f t="shared" si="21"/>
        <v>0</v>
      </c>
      <c r="N57" s="105">
        <v>28802</v>
      </c>
      <c r="O57" s="107">
        <f t="shared" si="22"/>
        <v>0</v>
      </c>
      <c r="P57" s="2">
        <v>0</v>
      </c>
      <c r="Q57" s="28">
        <f t="shared" si="23"/>
        <v>0</v>
      </c>
      <c r="R57" s="84">
        <f t="shared" si="24"/>
        <v>0</v>
      </c>
      <c r="S57" s="79">
        <f t="shared" si="25"/>
        <v>0</v>
      </c>
      <c r="T57" s="34">
        <f t="shared" si="26"/>
        <v>0</v>
      </c>
      <c r="U57" s="108">
        <v>0</v>
      </c>
    </row>
    <row r="58" spans="1:30" ht="24" customHeight="1">
      <c r="A58" s="81">
        <v>8</v>
      </c>
      <c r="B58" s="31" t="s">
        <v>53</v>
      </c>
      <c r="C58" s="103" t="s">
        <v>210</v>
      </c>
      <c r="D58" s="103" t="s">
        <v>194</v>
      </c>
      <c r="E58" s="178" t="s">
        <v>211</v>
      </c>
      <c r="F58" s="35">
        <v>335472.09999999998</v>
      </c>
      <c r="G58" s="35">
        <v>335472.09999999998</v>
      </c>
      <c r="H58" s="104">
        <f t="shared" si="19"/>
        <v>0</v>
      </c>
      <c r="I58" s="110">
        <v>29974.18</v>
      </c>
      <c r="J58" s="111">
        <v>0</v>
      </c>
      <c r="K58" s="10">
        <f t="shared" si="20"/>
        <v>0</v>
      </c>
      <c r="L58" s="35">
        <v>335472.09999999998</v>
      </c>
      <c r="M58" s="106">
        <f t="shared" si="21"/>
        <v>0</v>
      </c>
      <c r="N58" s="110">
        <v>29974.18</v>
      </c>
      <c r="O58" s="107">
        <f t="shared" si="22"/>
        <v>0</v>
      </c>
      <c r="P58" s="112">
        <v>0</v>
      </c>
      <c r="Q58" s="28">
        <f t="shared" si="23"/>
        <v>0</v>
      </c>
      <c r="R58" s="84">
        <f t="shared" si="24"/>
        <v>0</v>
      </c>
      <c r="S58" s="79">
        <f t="shared" si="25"/>
        <v>0</v>
      </c>
      <c r="T58" s="34">
        <f t="shared" si="26"/>
        <v>0</v>
      </c>
      <c r="U58" s="1">
        <v>38</v>
      </c>
    </row>
    <row r="59" spans="1:30" ht="24" customHeight="1">
      <c r="A59" s="81">
        <v>9</v>
      </c>
      <c r="B59" s="31" t="s">
        <v>54</v>
      </c>
      <c r="C59" s="103" t="s">
        <v>210</v>
      </c>
      <c r="D59" s="103" t="s">
        <v>194</v>
      </c>
      <c r="E59" s="178" t="s">
        <v>211</v>
      </c>
      <c r="F59" s="104">
        <v>294295</v>
      </c>
      <c r="G59" s="104">
        <v>294295</v>
      </c>
      <c r="H59" s="104">
        <f t="shared" si="19"/>
        <v>0</v>
      </c>
      <c r="I59" s="110">
        <v>28202.11</v>
      </c>
      <c r="J59" s="111">
        <v>0</v>
      </c>
      <c r="K59" s="10">
        <f t="shared" si="20"/>
        <v>0</v>
      </c>
      <c r="L59" s="104">
        <v>294295</v>
      </c>
      <c r="M59" s="106">
        <f>L59-G59</f>
        <v>0</v>
      </c>
      <c r="N59" s="110">
        <v>28202.11</v>
      </c>
      <c r="O59" s="107">
        <f t="shared" si="22"/>
        <v>0</v>
      </c>
      <c r="P59" s="111">
        <v>0</v>
      </c>
      <c r="Q59" s="28">
        <f t="shared" si="23"/>
        <v>0</v>
      </c>
      <c r="R59" s="84">
        <f t="shared" si="24"/>
        <v>0</v>
      </c>
      <c r="S59" s="79">
        <f t="shared" si="25"/>
        <v>0</v>
      </c>
      <c r="T59" s="34">
        <f t="shared" si="26"/>
        <v>0</v>
      </c>
      <c r="U59" s="1">
        <v>39</v>
      </c>
      <c r="AD59" s="101"/>
    </row>
    <row r="60" spans="1:30" ht="24" customHeight="1">
      <c r="A60" s="81">
        <v>10</v>
      </c>
      <c r="B60" s="31" t="s">
        <v>55</v>
      </c>
      <c r="C60" s="103" t="s">
        <v>210</v>
      </c>
      <c r="D60" s="103" t="s">
        <v>194</v>
      </c>
      <c r="E60" s="178" t="s">
        <v>211</v>
      </c>
      <c r="F60" s="104">
        <v>298966.09999999998</v>
      </c>
      <c r="G60" s="104">
        <v>298966.09999999998</v>
      </c>
      <c r="H60" s="104">
        <f t="shared" si="19"/>
        <v>0</v>
      </c>
      <c r="I60" s="110">
        <v>27108.58</v>
      </c>
      <c r="J60" s="111">
        <v>0</v>
      </c>
      <c r="K60" s="10">
        <f t="shared" si="20"/>
        <v>0</v>
      </c>
      <c r="L60" s="104">
        <v>298966.09999999998</v>
      </c>
      <c r="M60" s="106">
        <f>L60-G60</f>
        <v>0</v>
      </c>
      <c r="N60" s="110">
        <v>27108.58</v>
      </c>
      <c r="O60" s="107">
        <f t="shared" si="22"/>
        <v>0</v>
      </c>
      <c r="P60" s="111">
        <v>0</v>
      </c>
      <c r="Q60" s="28">
        <f t="shared" si="23"/>
        <v>0</v>
      </c>
      <c r="R60" s="84">
        <f t="shared" si="24"/>
        <v>0</v>
      </c>
      <c r="S60" s="79">
        <f t="shared" si="25"/>
        <v>0</v>
      </c>
      <c r="T60" s="34">
        <f t="shared" si="26"/>
        <v>0</v>
      </c>
      <c r="U60" s="1">
        <v>0</v>
      </c>
      <c r="AD60" s="101"/>
    </row>
    <row r="61" spans="1:30" ht="24" customHeight="1">
      <c r="A61" s="81">
        <v>11</v>
      </c>
      <c r="B61" s="31" t="s">
        <v>56</v>
      </c>
      <c r="C61" s="103" t="s">
        <v>210</v>
      </c>
      <c r="D61" s="103" t="s">
        <v>194</v>
      </c>
      <c r="E61" s="178" t="s">
        <v>211</v>
      </c>
      <c r="F61" s="104">
        <v>341845</v>
      </c>
      <c r="G61" s="104">
        <v>341845</v>
      </c>
      <c r="H61" s="104">
        <f t="shared" si="19"/>
        <v>0</v>
      </c>
      <c r="I61" s="110">
        <v>27024.46</v>
      </c>
      <c r="J61" s="111">
        <v>0</v>
      </c>
      <c r="K61" s="10">
        <f t="shared" si="20"/>
        <v>0</v>
      </c>
      <c r="L61" s="104">
        <v>341845</v>
      </c>
      <c r="M61" s="106">
        <f>L61-G61</f>
        <v>0</v>
      </c>
      <c r="N61" s="110">
        <v>27024.46</v>
      </c>
      <c r="O61" s="107">
        <f t="shared" si="22"/>
        <v>0</v>
      </c>
      <c r="P61" s="111">
        <v>0</v>
      </c>
      <c r="Q61" s="28">
        <f t="shared" si="23"/>
        <v>0</v>
      </c>
      <c r="R61" s="84">
        <f t="shared" si="24"/>
        <v>0</v>
      </c>
      <c r="S61" s="79">
        <f t="shared" si="25"/>
        <v>0</v>
      </c>
      <c r="T61" s="34">
        <f t="shared" si="26"/>
        <v>0</v>
      </c>
      <c r="U61" s="1">
        <v>17</v>
      </c>
      <c r="AD61" s="101"/>
    </row>
    <row r="62" spans="1:30" ht="24" customHeight="1">
      <c r="A62" s="81">
        <v>12</v>
      </c>
      <c r="B62" s="31" t="s">
        <v>57</v>
      </c>
      <c r="C62" s="103" t="s">
        <v>210</v>
      </c>
      <c r="D62" s="103" t="s">
        <v>194</v>
      </c>
      <c r="E62" s="178" t="s">
        <v>211</v>
      </c>
      <c r="F62" s="104">
        <v>344876.4</v>
      </c>
      <c r="G62" s="104">
        <v>344876.4</v>
      </c>
      <c r="H62" s="104">
        <f t="shared" si="19"/>
        <v>0</v>
      </c>
      <c r="I62" s="110">
        <v>26835.33</v>
      </c>
      <c r="J62" s="111">
        <v>0</v>
      </c>
      <c r="K62" s="10">
        <f t="shared" si="20"/>
        <v>0</v>
      </c>
      <c r="L62" s="104">
        <v>344876.4</v>
      </c>
      <c r="M62" s="106">
        <f>L62-G62</f>
        <v>0</v>
      </c>
      <c r="N62" s="110">
        <v>26835.33</v>
      </c>
      <c r="O62" s="107">
        <f t="shared" si="22"/>
        <v>0</v>
      </c>
      <c r="P62" s="111">
        <v>0</v>
      </c>
      <c r="Q62" s="28">
        <f t="shared" si="23"/>
        <v>0</v>
      </c>
      <c r="R62" s="84">
        <f t="shared" si="24"/>
        <v>0</v>
      </c>
      <c r="S62" s="79">
        <f t="shared" si="25"/>
        <v>0</v>
      </c>
      <c r="T62" s="34">
        <f t="shared" si="26"/>
        <v>0</v>
      </c>
      <c r="U62" s="1">
        <v>8</v>
      </c>
      <c r="AD62" s="101"/>
    </row>
    <row r="63" spans="1:30" ht="24" customHeight="1">
      <c r="A63" s="81">
        <v>13</v>
      </c>
      <c r="B63" s="31" t="s">
        <v>58</v>
      </c>
      <c r="C63" s="103" t="s">
        <v>210</v>
      </c>
      <c r="D63" s="103" t="s">
        <v>194</v>
      </c>
      <c r="E63" s="178" t="s">
        <v>211</v>
      </c>
      <c r="F63" s="35">
        <v>301656.7</v>
      </c>
      <c r="G63" s="35">
        <v>301656.7</v>
      </c>
      <c r="H63" s="104">
        <f t="shared" si="19"/>
        <v>0</v>
      </c>
      <c r="I63" s="110">
        <v>26829.040000000001</v>
      </c>
      <c r="J63" s="111">
        <v>0</v>
      </c>
      <c r="K63" s="10">
        <f t="shared" si="20"/>
        <v>0</v>
      </c>
      <c r="L63" s="35">
        <v>301656.7</v>
      </c>
      <c r="M63" s="106">
        <f t="shared" si="21"/>
        <v>0</v>
      </c>
      <c r="N63" s="110">
        <v>26829.040000000001</v>
      </c>
      <c r="O63" s="107">
        <f t="shared" si="22"/>
        <v>0</v>
      </c>
      <c r="P63" s="112">
        <v>0</v>
      </c>
      <c r="Q63" s="28">
        <f>IFERROR(M63/P63,0)</f>
        <v>0</v>
      </c>
      <c r="R63" s="84">
        <f t="shared" si="24"/>
        <v>0</v>
      </c>
      <c r="S63" s="79">
        <f t="shared" si="25"/>
        <v>0</v>
      </c>
      <c r="T63" s="34">
        <f t="shared" si="26"/>
        <v>0</v>
      </c>
      <c r="U63" s="1">
        <v>30</v>
      </c>
      <c r="X63" s="113"/>
    </row>
    <row r="64" spans="1:30" ht="24" customHeight="1">
      <c r="A64" s="81">
        <v>14</v>
      </c>
      <c r="B64" s="31" t="s">
        <v>59</v>
      </c>
      <c r="C64" s="103" t="s">
        <v>210</v>
      </c>
      <c r="D64" s="103" t="s">
        <v>194</v>
      </c>
      <c r="E64" s="178" t="s">
        <v>211</v>
      </c>
      <c r="F64" s="35">
        <v>273623.8</v>
      </c>
      <c r="G64" s="35">
        <v>273623.8</v>
      </c>
      <c r="H64" s="104">
        <f t="shared" si="19"/>
        <v>0</v>
      </c>
      <c r="I64" s="110">
        <v>25585.32</v>
      </c>
      <c r="J64" s="111">
        <v>0</v>
      </c>
      <c r="K64" s="10">
        <f t="shared" si="20"/>
        <v>0</v>
      </c>
      <c r="L64" s="35">
        <v>273623.8</v>
      </c>
      <c r="M64" s="106">
        <f>L64-G64</f>
        <v>0</v>
      </c>
      <c r="N64" s="110">
        <v>25585.32</v>
      </c>
      <c r="O64" s="107">
        <f t="shared" si="22"/>
        <v>0</v>
      </c>
      <c r="P64" s="111">
        <v>0</v>
      </c>
      <c r="Q64" s="28">
        <f>IFERROR(M64/P64,0)</f>
        <v>0</v>
      </c>
      <c r="R64" s="84">
        <f t="shared" si="24"/>
        <v>0</v>
      </c>
      <c r="S64" s="79">
        <f t="shared" si="25"/>
        <v>0</v>
      </c>
      <c r="T64" s="34">
        <f t="shared" si="26"/>
        <v>0</v>
      </c>
      <c r="U64" s="1">
        <v>11</v>
      </c>
      <c r="AA64" t="s">
        <v>60</v>
      </c>
    </row>
    <row r="65" spans="1:21" ht="24" customHeight="1">
      <c r="A65" s="81">
        <v>15</v>
      </c>
      <c r="B65" s="31" t="s">
        <v>61</v>
      </c>
      <c r="C65" s="103" t="s">
        <v>210</v>
      </c>
      <c r="D65" s="103" t="s">
        <v>194</v>
      </c>
      <c r="E65" s="178" t="s">
        <v>211</v>
      </c>
      <c r="F65" s="104">
        <v>286761.59999999998</v>
      </c>
      <c r="G65" s="104">
        <v>286761.59999999998</v>
      </c>
      <c r="H65" s="104">
        <f t="shared" si="19"/>
        <v>0</v>
      </c>
      <c r="I65" s="110">
        <v>26775.52</v>
      </c>
      <c r="J65" s="111">
        <v>0</v>
      </c>
      <c r="K65" s="10">
        <f t="shared" si="20"/>
        <v>0</v>
      </c>
      <c r="L65" s="104">
        <v>286761.59999999998</v>
      </c>
      <c r="M65" s="106">
        <f>L65-G65</f>
        <v>0</v>
      </c>
      <c r="N65" s="110">
        <v>26775.52</v>
      </c>
      <c r="O65" s="107">
        <f t="shared" si="22"/>
        <v>0</v>
      </c>
      <c r="P65" s="112">
        <v>0</v>
      </c>
      <c r="Q65" s="28">
        <f t="shared" si="23"/>
        <v>0</v>
      </c>
      <c r="R65" s="84">
        <f t="shared" si="24"/>
        <v>0</v>
      </c>
      <c r="S65" s="79">
        <f t="shared" si="25"/>
        <v>0</v>
      </c>
      <c r="T65" s="34">
        <f t="shared" si="26"/>
        <v>0</v>
      </c>
      <c r="U65" s="1">
        <v>10</v>
      </c>
    </row>
    <row r="66" spans="1:21" ht="24" customHeight="1">
      <c r="A66" s="81">
        <v>16</v>
      </c>
      <c r="B66" s="31" t="s">
        <v>62</v>
      </c>
      <c r="C66" s="103" t="s">
        <v>210</v>
      </c>
      <c r="D66" s="103" t="s">
        <v>194</v>
      </c>
      <c r="E66" s="178" t="s">
        <v>211</v>
      </c>
      <c r="F66" s="35">
        <v>304622</v>
      </c>
      <c r="G66" s="35">
        <v>304622</v>
      </c>
      <c r="H66" s="104">
        <f t="shared" si="19"/>
        <v>0</v>
      </c>
      <c r="I66" s="110">
        <v>27412.22</v>
      </c>
      <c r="J66" s="111">
        <v>0</v>
      </c>
      <c r="K66" s="10">
        <f t="shared" si="20"/>
        <v>0</v>
      </c>
      <c r="L66" s="35">
        <v>304622</v>
      </c>
      <c r="M66" s="106">
        <f t="shared" si="21"/>
        <v>0</v>
      </c>
      <c r="N66" s="110">
        <v>27412.22</v>
      </c>
      <c r="O66" s="107">
        <f t="shared" si="22"/>
        <v>0</v>
      </c>
      <c r="P66" s="112">
        <v>0</v>
      </c>
      <c r="Q66" s="28">
        <f t="shared" si="23"/>
        <v>0</v>
      </c>
      <c r="R66" s="84">
        <f t="shared" si="24"/>
        <v>0</v>
      </c>
      <c r="S66" s="79">
        <f t="shared" si="25"/>
        <v>0</v>
      </c>
      <c r="T66" s="34">
        <f t="shared" si="26"/>
        <v>0</v>
      </c>
      <c r="U66" s="1">
        <v>0</v>
      </c>
    </row>
    <row r="67" spans="1:21" ht="24" customHeight="1">
      <c r="A67" s="81">
        <v>17</v>
      </c>
      <c r="B67" s="31" t="s">
        <v>158</v>
      </c>
      <c r="C67" s="103" t="s">
        <v>210</v>
      </c>
      <c r="D67" s="103" t="s">
        <v>194</v>
      </c>
      <c r="E67" s="178" t="s">
        <v>222</v>
      </c>
      <c r="F67" s="17">
        <v>276563</v>
      </c>
      <c r="G67" s="17">
        <v>276563</v>
      </c>
      <c r="H67" s="104">
        <f t="shared" si="19"/>
        <v>0</v>
      </c>
      <c r="I67" s="110">
        <v>25223</v>
      </c>
      <c r="J67" s="111">
        <v>0</v>
      </c>
      <c r="K67" s="10">
        <f t="shared" si="20"/>
        <v>0</v>
      </c>
      <c r="L67" s="17">
        <v>276563</v>
      </c>
      <c r="M67" s="106">
        <f t="shared" si="21"/>
        <v>0</v>
      </c>
      <c r="N67" s="110">
        <v>25223</v>
      </c>
      <c r="O67" s="107">
        <f t="shared" si="22"/>
        <v>0</v>
      </c>
      <c r="P67" s="111">
        <v>0</v>
      </c>
      <c r="Q67" s="28">
        <f t="shared" si="23"/>
        <v>0</v>
      </c>
      <c r="R67" s="84">
        <f t="shared" si="24"/>
        <v>0</v>
      </c>
      <c r="S67" s="79">
        <f t="shared" si="25"/>
        <v>0</v>
      </c>
      <c r="T67" s="34">
        <f t="shared" si="26"/>
        <v>0</v>
      </c>
      <c r="U67" s="1">
        <v>33</v>
      </c>
    </row>
    <row r="68" spans="1:21" ht="24" customHeight="1">
      <c r="A68" s="81">
        <v>18</v>
      </c>
      <c r="B68" s="31" t="s">
        <v>159</v>
      </c>
      <c r="C68" s="103" t="s">
        <v>210</v>
      </c>
      <c r="D68" s="103" t="s">
        <v>194</v>
      </c>
      <c r="E68" s="178" t="s">
        <v>222</v>
      </c>
      <c r="F68" s="17">
        <v>279844</v>
      </c>
      <c r="G68" s="17">
        <v>279844</v>
      </c>
      <c r="H68" s="104">
        <f t="shared" si="19"/>
        <v>0</v>
      </c>
      <c r="I68" s="110">
        <v>26071</v>
      </c>
      <c r="J68" s="111">
        <v>0</v>
      </c>
      <c r="K68" s="10">
        <f t="shared" si="20"/>
        <v>0</v>
      </c>
      <c r="L68" s="17">
        <v>279844</v>
      </c>
      <c r="M68" s="106">
        <f t="shared" si="21"/>
        <v>0</v>
      </c>
      <c r="N68" s="110">
        <v>26071</v>
      </c>
      <c r="O68" s="107">
        <f t="shared" si="22"/>
        <v>0</v>
      </c>
      <c r="P68" s="111">
        <v>0</v>
      </c>
      <c r="Q68" s="28">
        <f t="shared" si="23"/>
        <v>0</v>
      </c>
      <c r="R68" s="84">
        <f t="shared" si="24"/>
        <v>0</v>
      </c>
      <c r="S68" s="79">
        <f t="shared" si="25"/>
        <v>0</v>
      </c>
      <c r="T68" s="34">
        <f t="shared" si="26"/>
        <v>0</v>
      </c>
      <c r="U68" s="1">
        <v>17</v>
      </c>
    </row>
    <row r="69" spans="1:21" ht="24" customHeight="1">
      <c r="A69" s="81">
        <v>19</v>
      </c>
      <c r="B69" s="31" t="s">
        <v>160</v>
      </c>
      <c r="C69" s="103" t="s">
        <v>210</v>
      </c>
      <c r="D69" s="103" t="s">
        <v>194</v>
      </c>
      <c r="E69" s="178" t="s">
        <v>222</v>
      </c>
      <c r="F69" s="17">
        <v>306575</v>
      </c>
      <c r="G69" s="17">
        <v>306575</v>
      </c>
      <c r="H69" s="104">
        <f t="shared" si="19"/>
        <v>0</v>
      </c>
      <c r="I69" s="110">
        <v>25232</v>
      </c>
      <c r="J69" s="111">
        <v>0</v>
      </c>
      <c r="K69" s="10">
        <f t="shared" si="20"/>
        <v>0</v>
      </c>
      <c r="L69" s="17">
        <v>306575</v>
      </c>
      <c r="M69" s="106">
        <f t="shared" si="21"/>
        <v>0</v>
      </c>
      <c r="N69" s="110">
        <v>25232</v>
      </c>
      <c r="O69" s="107">
        <f t="shared" si="22"/>
        <v>0</v>
      </c>
      <c r="P69" s="111">
        <v>0</v>
      </c>
      <c r="Q69" s="28">
        <f t="shared" si="23"/>
        <v>0</v>
      </c>
      <c r="R69" s="84">
        <f t="shared" si="24"/>
        <v>0</v>
      </c>
      <c r="S69" s="79">
        <f t="shared" si="25"/>
        <v>0</v>
      </c>
      <c r="T69" s="34">
        <f t="shared" si="26"/>
        <v>0</v>
      </c>
      <c r="U69" s="1">
        <v>0</v>
      </c>
    </row>
    <row r="70" spans="1:21" ht="24" customHeight="1">
      <c r="A70" s="81">
        <v>20</v>
      </c>
      <c r="B70" s="31" t="s">
        <v>161</v>
      </c>
      <c r="C70" s="103" t="s">
        <v>210</v>
      </c>
      <c r="D70" s="103" t="s">
        <v>194</v>
      </c>
      <c r="E70" s="178" t="s">
        <v>222</v>
      </c>
      <c r="F70" s="17">
        <v>306347</v>
      </c>
      <c r="G70" s="17">
        <v>306347</v>
      </c>
      <c r="H70" s="104">
        <f t="shared" si="19"/>
        <v>0</v>
      </c>
      <c r="I70" s="110">
        <v>25598</v>
      </c>
      <c r="J70" s="116">
        <v>0</v>
      </c>
      <c r="K70" s="10">
        <f t="shared" si="20"/>
        <v>0</v>
      </c>
      <c r="L70" s="17">
        <v>306347</v>
      </c>
      <c r="M70" s="106">
        <f t="shared" si="21"/>
        <v>0</v>
      </c>
      <c r="N70" s="110">
        <v>25598</v>
      </c>
      <c r="O70" s="107">
        <f t="shared" si="22"/>
        <v>0</v>
      </c>
      <c r="P70" s="111">
        <v>0</v>
      </c>
      <c r="Q70" s="28">
        <f t="shared" si="23"/>
        <v>0</v>
      </c>
      <c r="R70" s="84">
        <f t="shared" si="24"/>
        <v>0</v>
      </c>
      <c r="S70" s="79">
        <f t="shared" si="25"/>
        <v>0</v>
      </c>
      <c r="T70" s="34">
        <f t="shared" si="26"/>
        <v>0</v>
      </c>
      <c r="U70" s="1">
        <v>31</v>
      </c>
    </row>
    <row r="71" spans="1:21" ht="24" customHeight="1">
      <c r="A71" s="81">
        <v>21</v>
      </c>
      <c r="B71" s="31" t="s">
        <v>162</v>
      </c>
      <c r="C71" s="103" t="s">
        <v>210</v>
      </c>
      <c r="D71" s="103" t="s">
        <v>194</v>
      </c>
      <c r="E71" s="178" t="s">
        <v>222</v>
      </c>
      <c r="F71" s="17">
        <v>322412</v>
      </c>
      <c r="G71" s="17">
        <v>322412</v>
      </c>
      <c r="H71" s="104">
        <f t="shared" si="19"/>
        <v>0</v>
      </c>
      <c r="I71" s="110">
        <v>26753</v>
      </c>
      <c r="J71" s="111">
        <v>0</v>
      </c>
      <c r="K71" s="10">
        <f t="shared" si="20"/>
        <v>0</v>
      </c>
      <c r="L71" s="17">
        <v>322412</v>
      </c>
      <c r="M71" s="106">
        <f t="shared" si="21"/>
        <v>0</v>
      </c>
      <c r="N71" s="110">
        <v>26753</v>
      </c>
      <c r="O71" s="107">
        <f t="shared" si="22"/>
        <v>0</v>
      </c>
      <c r="P71" s="111">
        <v>0</v>
      </c>
      <c r="Q71" s="28">
        <f t="shared" si="23"/>
        <v>0</v>
      </c>
      <c r="R71" s="84">
        <f t="shared" si="24"/>
        <v>0</v>
      </c>
      <c r="S71" s="79">
        <f t="shared" si="25"/>
        <v>0</v>
      </c>
      <c r="T71" s="34">
        <f t="shared" si="26"/>
        <v>0</v>
      </c>
      <c r="U71" s="1">
        <v>0</v>
      </c>
    </row>
    <row r="72" spans="1:21" ht="24" customHeight="1">
      <c r="A72" s="81">
        <v>22</v>
      </c>
      <c r="B72" s="31" t="s">
        <v>68</v>
      </c>
      <c r="C72" s="103" t="s">
        <v>210</v>
      </c>
      <c r="D72" s="103" t="s">
        <v>194</v>
      </c>
      <c r="E72" s="178" t="s">
        <v>211</v>
      </c>
      <c r="F72" s="17">
        <v>278470.59999999998</v>
      </c>
      <c r="G72" s="17">
        <v>278470.59999999998</v>
      </c>
      <c r="H72" s="104">
        <f t="shared" si="19"/>
        <v>0</v>
      </c>
      <c r="I72" s="110">
        <v>22620</v>
      </c>
      <c r="J72" s="111">
        <v>0</v>
      </c>
      <c r="K72" s="10">
        <f t="shared" si="20"/>
        <v>0</v>
      </c>
      <c r="L72" s="17">
        <v>278470.59999999998</v>
      </c>
      <c r="M72" s="106">
        <f t="shared" si="21"/>
        <v>0</v>
      </c>
      <c r="N72" s="110">
        <v>22620</v>
      </c>
      <c r="O72" s="107">
        <f t="shared" si="22"/>
        <v>0</v>
      </c>
      <c r="P72" s="112">
        <v>0</v>
      </c>
      <c r="Q72" s="28">
        <f t="shared" si="23"/>
        <v>0</v>
      </c>
      <c r="R72" s="84">
        <f t="shared" si="24"/>
        <v>0</v>
      </c>
      <c r="S72" s="79">
        <f t="shared" si="25"/>
        <v>0</v>
      </c>
      <c r="T72" s="34">
        <f t="shared" si="26"/>
        <v>0</v>
      </c>
      <c r="U72" s="1">
        <v>23</v>
      </c>
    </row>
    <row r="73" spans="1:21" ht="24" customHeight="1">
      <c r="A73" s="81">
        <v>23</v>
      </c>
      <c r="B73" s="31" t="s">
        <v>69</v>
      </c>
      <c r="C73" s="103" t="s">
        <v>210</v>
      </c>
      <c r="D73" s="103" t="s">
        <v>194</v>
      </c>
      <c r="E73" s="178" t="s">
        <v>211</v>
      </c>
      <c r="F73" s="17">
        <v>260470.8</v>
      </c>
      <c r="G73" s="17">
        <v>260470.8</v>
      </c>
      <c r="H73" s="104">
        <f t="shared" si="19"/>
        <v>0</v>
      </c>
      <c r="I73" s="110">
        <v>19985</v>
      </c>
      <c r="J73" s="111">
        <v>0</v>
      </c>
      <c r="K73" s="10">
        <f t="shared" si="20"/>
        <v>0</v>
      </c>
      <c r="L73" s="17">
        <v>260470.8</v>
      </c>
      <c r="M73" s="106">
        <f t="shared" si="21"/>
        <v>0</v>
      </c>
      <c r="N73" s="110">
        <v>19985</v>
      </c>
      <c r="O73" s="107">
        <f t="shared" si="22"/>
        <v>0</v>
      </c>
      <c r="P73" s="112">
        <v>0</v>
      </c>
      <c r="Q73" s="28">
        <f t="shared" si="23"/>
        <v>0</v>
      </c>
      <c r="R73" s="84">
        <f t="shared" si="24"/>
        <v>0</v>
      </c>
      <c r="S73" s="79">
        <f t="shared" si="25"/>
        <v>0</v>
      </c>
      <c r="T73" s="34">
        <f t="shared" si="26"/>
        <v>0</v>
      </c>
      <c r="U73" s="1">
        <v>30</v>
      </c>
    </row>
    <row r="74" spans="1:21" ht="24" customHeight="1">
      <c r="A74" s="81">
        <v>24</v>
      </c>
      <c r="B74" s="31" t="s">
        <v>70</v>
      </c>
      <c r="C74" s="103" t="s">
        <v>210</v>
      </c>
      <c r="D74" s="103" t="s">
        <v>194</v>
      </c>
      <c r="E74" s="178" t="s">
        <v>211</v>
      </c>
      <c r="F74" s="104">
        <v>304898.8</v>
      </c>
      <c r="G74" s="104">
        <v>304898.8</v>
      </c>
      <c r="H74" s="104">
        <f t="shared" si="19"/>
        <v>0</v>
      </c>
      <c r="I74" s="110">
        <v>5163</v>
      </c>
      <c r="J74" s="111">
        <v>0</v>
      </c>
      <c r="K74" s="10">
        <f t="shared" si="20"/>
        <v>0</v>
      </c>
      <c r="L74" s="104">
        <v>304898.8</v>
      </c>
      <c r="M74" s="106">
        <f t="shared" si="21"/>
        <v>0</v>
      </c>
      <c r="N74" s="110">
        <v>5163</v>
      </c>
      <c r="O74" s="107">
        <f t="shared" si="22"/>
        <v>0</v>
      </c>
      <c r="P74" s="111">
        <v>0</v>
      </c>
      <c r="Q74" s="28">
        <f t="shared" si="23"/>
        <v>0</v>
      </c>
      <c r="R74" s="84">
        <f t="shared" si="24"/>
        <v>0</v>
      </c>
      <c r="S74" s="79">
        <f t="shared" si="25"/>
        <v>0</v>
      </c>
      <c r="T74" s="34">
        <f t="shared" si="26"/>
        <v>0</v>
      </c>
      <c r="U74" s="1">
        <v>24</v>
      </c>
    </row>
    <row r="75" spans="1:21" ht="24" customHeight="1">
      <c r="A75" s="81">
        <v>25</v>
      </c>
      <c r="B75" s="31" t="s">
        <v>71</v>
      </c>
      <c r="C75" s="103" t="s">
        <v>210</v>
      </c>
      <c r="D75" s="103" t="s">
        <v>194</v>
      </c>
      <c r="E75" s="178" t="s">
        <v>211</v>
      </c>
      <c r="F75" s="35">
        <v>314820.90000000002</v>
      </c>
      <c r="G75" s="35">
        <v>314820.90000000002</v>
      </c>
      <c r="H75" s="104">
        <f t="shared" si="19"/>
        <v>0</v>
      </c>
      <c r="I75" s="110">
        <v>23049</v>
      </c>
      <c r="J75" s="111">
        <v>0</v>
      </c>
      <c r="K75" s="10">
        <f t="shared" si="20"/>
        <v>0</v>
      </c>
      <c r="L75" s="35">
        <v>314820.90000000002</v>
      </c>
      <c r="M75" s="106">
        <f t="shared" si="21"/>
        <v>0</v>
      </c>
      <c r="N75" s="110">
        <v>23049</v>
      </c>
      <c r="O75" s="107">
        <f t="shared" si="22"/>
        <v>0</v>
      </c>
      <c r="P75" s="111">
        <v>0</v>
      </c>
      <c r="Q75" s="28">
        <f>IFERROR(M75/P75,0)</f>
        <v>0</v>
      </c>
      <c r="R75" s="84">
        <f t="shared" si="24"/>
        <v>0</v>
      </c>
      <c r="S75" s="79">
        <f>J75+P75</f>
        <v>0</v>
      </c>
      <c r="T75" s="34">
        <f t="shared" si="26"/>
        <v>0</v>
      </c>
      <c r="U75" s="1">
        <v>25</v>
      </c>
    </row>
    <row r="76" spans="1:21" ht="24" customHeight="1">
      <c r="A76" s="81">
        <v>26</v>
      </c>
      <c r="B76" s="31" t="s">
        <v>72</v>
      </c>
      <c r="C76" s="103" t="s">
        <v>210</v>
      </c>
      <c r="D76" s="103" t="s">
        <v>194</v>
      </c>
      <c r="E76" s="178" t="s">
        <v>211</v>
      </c>
      <c r="F76" s="35">
        <v>285551</v>
      </c>
      <c r="G76" s="35">
        <v>285551</v>
      </c>
      <c r="H76" s="104">
        <f t="shared" si="19"/>
        <v>0</v>
      </c>
      <c r="I76" s="110">
        <v>20683</v>
      </c>
      <c r="J76" s="111">
        <v>0</v>
      </c>
      <c r="K76" s="10">
        <f t="shared" si="20"/>
        <v>0</v>
      </c>
      <c r="L76" s="35">
        <v>285551</v>
      </c>
      <c r="M76" s="106">
        <f t="shared" si="21"/>
        <v>0</v>
      </c>
      <c r="N76" s="110">
        <v>20683</v>
      </c>
      <c r="O76" s="107">
        <f t="shared" si="22"/>
        <v>0</v>
      </c>
      <c r="P76" s="112">
        <v>0</v>
      </c>
      <c r="Q76" s="28">
        <f t="shared" si="23"/>
        <v>0</v>
      </c>
      <c r="R76" s="84">
        <f t="shared" si="24"/>
        <v>0</v>
      </c>
      <c r="S76" s="79">
        <f t="shared" si="25"/>
        <v>0</v>
      </c>
      <c r="T76" s="34">
        <f t="shared" si="26"/>
        <v>0</v>
      </c>
      <c r="U76" s="1">
        <v>44</v>
      </c>
    </row>
    <row r="77" spans="1:21" ht="24" customHeight="1">
      <c r="A77" s="81">
        <v>27</v>
      </c>
      <c r="B77" s="31" t="s">
        <v>73</v>
      </c>
      <c r="C77" s="103" t="s">
        <v>210</v>
      </c>
      <c r="D77" s="103" t="s">
        <v>194</v>
      </c>
      <c r="E77" s="178" t="s">
        <v>211</v>
      </c>
      <c r="F77" s="104">
        <v>313847.09999999998</v>
      </c>
      <c r="G77" s="104">
        <v>313847.09999999998</v>
      </c>
      <c r="H77" s="104">
        <f t="shared" si="19"/>
        <v>0</v>
      </c>
      <c r="I77" s="110">
        <v>22817</v>
      </c>
      <c r="J77" s="111">
        <v>0</v>
      </c>
      <c r="K77" s="10">
        <f t="shared" si="20"/>
        <v>0</v>
      </c>
      <c r="L77" s="104">
        <v>313847.09999999998</v>
      </c>
      <c r="M77" s="106">
        <f t="shared" si="21"/>
        <v>0</v>
      </c>
      <c r="N77" s="110">
        <v>22817</v>
      </c>
      <c r="O77" s="107">
        <f t="shared" si="22"/>
        <v>0</v>
      </c>
      <c r="P77" s="112">
        <v>0</v>
      </c>
      <c r="Q77" s="28">
        <f t="shared" si="23"/>
        <v>0</v>
      </c>
      <c r="R77" s="84">
        <f t="shared" si="24"/>
        <v>0</v>
      </c>
      <c r="S77" s="79">
        <f t="shared" si="25"/>
        <v>0</v>
      </c>
      <c r="T77" s="34">
        <f t="shared" si="26"/>
        <v>0</v>
      </c>
      <c r="U77" s="1">
        <v>42</v>
      </c>
    </row>
    <row r="78" spans="1:21" ht="24" customHeight="1">
      <c r="A78" s="81">
        <v>28</v>
      </c>
      <c r="B78" s="31" t="s">
        <v>74</v>
      </c>
      <c r="C78" s="103" t="s">
        <v>210</v>
      </c>
      <c r="D78" s="103" t="s">
        <v>194</v>
      </c>
      <c r="E78" s="178" t="s">
        <v>211</v>
      </c>
      <c r="F78" s="35">
        <v>284089</v>
      </c>
      <c r="G78" s="35">
        <v>284089</v>
      </c>
      <c r="H78" s="104">
        <f t="shared" si="19"/>
        <v>0</v>
      </c>
      <c r="I78" s="110">
        <v>4335</v>
      </c>
      <c r="J78" s="111">
        <v>0</v>
      </c>
      <c r="K78" s="10">
        <f t="shared" si="20"/>
        <v>0</v>
      </c>
      <c r="L78" s="35">
        <v>284089</v>
      </c>
      <c r="M78" s="106">
        <f t="shared" si="21"/>
        <v>0</v>
      </c>
      <c r="N78" s="110">
        <v>4335</v>
      </c>
      <c r="O78" s="107">
        <f>N78-I78</f>
        <v>0</v>
      </c>
      <c r="P78" s="111">
        <v>0</v>
      </c>
      <c r="Q78" s="28">
        <f t="shared" si="23"/>
        <v>0</v>
      </c>
      <c r="R78" s="84">
        <f t="shared" si="24"/>
        <v>0</v>
      </c>
      <c r="S78" s="79">
        <f t="shared" si="25"/>
        <v>0</v>
      </c>
      <c r="T78" s="34">
        <f t="shared" si="26"/>
        <v>0</v>
      </c>
      <c r="U78" s="1">
        <v>32</v>
      </c>
    </row>
    <row r="79" spans="1:21" ht="24" customHeight="1">
      <c r="A79" s="81">
        <v>29</v>
      </c>
      <c r="B79" s="31" t="s">
        <v>75</v>
      </c>
      <c r="C79" s="103" t="s">
        <v>210</v>
      </c>
      <c r="D79" s="103" t="s">
        <v>194</v>
      </c>
      <c r="E79" s="178" t="s">
        <v>211</v>
      </c>
      <c r="F79" s="104">
        <v>301894.59999999998</v>
      </c>
      <c r="G79" s="104">
        <v>301894.59999999998</v>
      </c>
      <c r="H79" s="104">
        <f t="shared" si="19"/>
        <v>0</v>
      </c>
      <c r="I79" s="110">
        <v>21762</v>
      </c>
      <c r="J79" s="111">
        <v>0</v>
      </c>
      <c r="K79" s="10">
        <f t="shared" si="20"/>
        <v>0</v>
      </c>
      <c r="L79" s="104">
        <v>301894.59999999998</v>
      </c>
      <c r="M79" s="106">
        <f t="shared" si="21"/>
        <v>0</v>
      </c>
      <c r="N79" s="110">
        <v>21762</v>
      </c>
      <c r="O79" s="107">
        <f t="shared" si="22"/>
        <v>0</v>
      </c>
      <c r="P79" s="112">
        <v>0</v>
      </c>
      <c r="Q79" s="28">
        <f t="shared" si="23"/>
        <v>0</v>
      </c>
      <c r="R79" s="84">
        <f t="shared" si="24"/>
        <v>0</v>
      </c>
      <c r="S79" s="79">
        <f t="shared" si="25"/>
        <v>0</v>
      </c>
      <c r="T79" s="34">
        <f t="shared" si="26"/>
        <v>0</v>
      </c>
      <c r="U79" s="1">
        <v>30</v>
      </c>
    </row>
    <row r="80" spans="1:21" ht="24" customHeight="1">
      <c r="A80" s="81">
        <v>30</v>
      </c>
      <c r="B80" s="31" t="s">
        <v>76</v>
      </c>
      <c r="C80" s="103" t="s">
        <v>210</v>
      </c>
      <c r="D80" s="103" t="s">
        <v>194</v>
      </c>
      <c r="E80" s="178" t="s">
        <v>211</v>
      </c>
      <c r="F80" s="104">
        <v>266504.90000000002</v>
      </c>
      <c r="G80" s="104">
        <v>266504.90000000002</v>
      </c>
      <c r="H80" s="104">
        <f t="shared" si="19"/>
        <v>0</v>
      </c>
      <c r="I80" s="110">
        <v>19714</v>
      </c>
      <c r="J80" s="111">
        <v>0</v>
      </c>
      <c r="K80" s="10">
        <f t="shared" si="20"/>
        <v>0</v>
      </c>
      <c r="L80" s="104">
        <v>266504.90000000002</v>
      </c>
      <c r="M80" s="106">
        <f t="shared" si="21"/>
        <v>0</v>
      </c>
      <c r="N80" s="110">
        <v>19714</v>
      </c>
      <c r="O80" s="107">
        <f t="shared" si="22"/>
        <v>0</v>
      </c>
      <c r="P80" s="111">
        <v>0</v>
      </c>
      <c r="Q80" s="28">
        <f t="shared" si="23"/>
        <v>0</v>
      </c>
      <c r="R80" s="84">
        <f t="shared" si="24"/>
        <v>0</v>
      </c>
      <c r="S80" s="79">
        <f t="shared" si="25"/>
        <v>0</v>
      </c>
      <c r="T80" s="34">
        <f t="shared" si="26"/>
        <v>0</v>
      </c>
      <c r="U80" s="1">
        <v>30</v>
      </c>
    </row>
    <row r="81" spans="1:21" ht="24" customHeight="1">
      <c r="A81" s="81">
        <v>31</v>
      </c>
      <c r="B81" s="31" t="s">
        <v>77</v>
      </c>
      <c r="C81" s="103" t="s">
        <v>210</v>
      </c>
      <c r="D81" s="103" t="s">
        <v>194</v>
      </c>
      <c r="E81" s="178" t="s">
        <v>211</v>
      </c>
      <c r="F81" s="83">
        <v>264143.8</v>
      </c>
      <c r="G81" s="83">
        <v>264143.8</v>
      </c>
      <c r="H81" s="104">
        <f t="shared" si="19"/>
        <v>0</v>
      </c>
      <c r="I81" s="110">
        <v>19388</v>
      </c>
      <c r="J81" s="111">
        <v>0</v>
      </c>
      <c r="K81" s="10">
        <f t="shared" si="20"/>
        <v>0</v>
      </c>
      <c r="L81" s="83">
        <v>264143.8</v>
      </c>
      <c r="M81" s="106">
        <f t="shared" si="21"/>
        <v>0</v>
      </c>
      <c r="N81" s="110">
        <v>19388</v>
      </c>
      <c r="O81" s="107">
        <f>N81-I81</f>
        <v>0</v>
      </c>
      <c r="P81" s="111">
        <v>0</v>
      </c>
      <c r="Q81" s="28">
        <f t="shared" si="23"/>
        <v>0</v>
      </c>
      <c r="R81" s="84">
        <f t="shared" si="24"/>
        <v>0</v>
      </c>
      <c r="S81" s="79">
        <f t="shared" si="25"/>
        <v>0</v>
      </c>
      <c r="T81" s="34">
        <f t="shared" si="26"/>
        <v>0</v>
      </c>
      <c r="U81" s="1">
        <v>31</v>
      </c>
    </row>
    <row r="82" spans="1:21" ht="24" customHeight="1">
      <c r="A82" s="81">
        <v>32</v>
      </c>
      <c r="B82" s="31" t="s">
        <v>78</v>
      </c>
      <c r="C82" s="103" t="s">
        <v>210</v>
      </c>
      <c r="D82" s="103" t="s">
        <v>194</v>
      </c>
      <c r="E82" s="178" t="s">
        <v>211</v>
      </c>
      <c r="F82" s="104">
        <v>290366</v>
      </c>
      <c r="G82" s="104">
        <v>290366</v>
      </c>
      <c r="H82" s="104">
        <f t="shared" si="19"/>
        <v>0</v>
      </c>
      <c r="I82" s="110">
        <v>20992</v>
      </c>
      <c r="J82" s="111">
        <v>0</v>
      </c>
      <c r="K82" s="10">
        <f t="shared" si="20"/>
        <v>0</v>
      </c>
      <c r="L82" s="104">
        <v>290366</v>
      </c>
      <c r="M82" s="106">
        <f t="shared" si="21"/>
        <v>0</v>
      </c>
      <c r="N82" s="110">
        <v>20992</v>
      </c>
      <c r="O82" s="107">
        <f t="shared" si="22"/>
        <v>0</v>
      </c>
      <c r="P82" s="111">
        <v>0</v>
      </c>
      <c r="Q82" s="28">
        <f t="shared" si="23"/>
        <v>0</v>
      </c>
      <c r="R82" s="84">
        <f t="shared" si="24"/>
        <v>0</v>
      </c>
      <c r="S82" s="79">
        <f t="shared" si="25"/>
        <v>0</v>
      </c>
      <c r="T82" s="34">
        <f t="shared" si="26"/>
        <v>0</v>
      </c>
      <c r="U82" s="1">
        <v>31</v>
      </c>
    </row>
    <row r="83" spans="1:21" ht="24" customHeight="1">
      <c r="A83" s="81">
        <v>33</v>
      </c>
      <c r="B83" s="31" t="s">
        <v>79</v>
      </c>
      <c r="C83" s="103" t="s">
        <v>210</v>
      </c>
      <c r="D83" s="103" t="s">
        <v>194</v>
      </c>
      <c r="E83" s="178" t="s">
        <v>211</v>
      </c>
      <c r="F83" s="104">
        <v>305109.90000000002</v>
      </c>
      <c r="G83" s="104">
        <v>305109.90000000002</v>
      </c>
      <c r="H83" s="104">
        <f t="shared" si="19"/>
        <v>0</v>
      </c>
      <c r="I83" s="110">
        <v>21738</v>
      </c>
      <c r="J83" s="111">
        <v>0</v>
      </c>
      <c r="K83" s="10">
        <f t="shared" si="20"/>
        <v>0</v>
      </c>
      <c r="L83" s="104">
        <v>305109.90000000002</v>
      </c>
      <c r="M83" s="106">
        <f t="shared" si="21"/>
        <v>0</v>
      </c>
      <c r="N83" s="110">
        <v>21738</v>
      </c>
      <c r="O83" s="107">
        <f t="shared" si="22"/>
        <v>0</v>
      </c>
      <c r="P83" s="111">
        <v>0</v>
      </c>
      <c r="Q83" s="28">
        <f t="shared" si="23"/>
        <v>0</v>
      </c>
      <c r="R83" s="84">
        <f t="shared" si="24"/>
        <v>0</v>
      </c>
      <c r="S83" s="79">
        <f t="shared" si="25"/>
        <v>0</v>
      </c>
      <c r="T83" s="34">
        <f t="shared" si="26"/>
        <v>0</v>
      </c>
      <c r="U83" s="1">
        <v>44</v>
      </c>
    </row>
    <row r="84" spans="1:21" ht="24" customHeight="1">
      <c r="A84" s="81">
        <v>34</v>
      </c>
      <c r="B84" s="31" t="s">
        <v>163</v>
      </c>
      <c r="C84" s="103" t="s">
        <v>210</v>
      </c>
      <c r="D84" s="103" t="s">
        <v>194</v>
      </c>
      <c r="E84" s="178" t="s">
        <v>211</v>
      </c>
      <c r="F84" s="104">
        <v>246141.8</v>
      </c>
      <c r="G84" s="104">
        <v>246141.8</v>
      </c>
      <c r="H84" s="104">
        <f t="shared" si="19"/>
        <v>0</v>
      </c>
      <c r="I84" s="110">
        <v>18390</v>
      </c>
      <c r="J84" s="111">
        <v>0</v>
      </c>
      <c r="K84" s="10">
        <f t="shared" si="20"/>
        <v>0</v>
      </c>
      <c r="L84" s="104">
        <v>246141.8</v>
      </c>
      <c r="M84" s="106">
        <f t="shared" si="21"/>
        <v>0</v>
      </c>
      <c r="N84" s="110">
        <v>18390</v>
      </c>
      <c r="O84" s="107">
        <f t="shared" si="22"/>
        <v>0</v>
      </c>
      <c r="P84" s="111">
        <v>0</v>
      </c>
      <c r="Q84" s="28">
        <f t="shared" si="23"/>
        <v>0</v>
      </c>
      <c r="R84" s="84">
        <f t="shared" si="24"/>
        <v>0</v>
      </c>
      <c r="S84" s="79">
        <f t="shared" si="25"/>
        <v>0</v>
      </c>
      <c r="T84" s="34">
        <f t="shared" si="26"/>
        <v>0</v>
      </c>
      <c r="U84" s="1">
        <v>21</v>
      </c>
    </row>
    <row r="85" spans="1:21" ht="24" customHeight="1">
      <c r="A85" s="81">
        <v>35</v>
      </c>
      <c r="B85" s="31" t="s">
        <v>164</v>
      </c>
      <c r="C85" s="103" t="s">
        <v>210</v>
      </c>
      <c r="D85" s="103" t="s">
        <v>194</v>
      </c>
      <c r="E85" s="178" t="s">
        <v>211</v>
      </c>
      <c r="F85" s="104">
        <v>245713.5</v>
      </c>
      <c r="G85" s="104">
        <v>245713.5</v>
      </c>
      <c r="H85" s="104">
        <f t="shared" si="19"/>
        <v>0</v>
      </c>
      <c r="I85" s="110">
        <v>18373</v>
      </c>
      <c r="J85" s="111">
        <v>0</v>
      </c>
      <c r="K85" s="10">
        <f t="shared" si="20"/>
        <v>0</v>
      </c>
      <c r="L85" s="104">
        <v>245713.5</v>
      </c>
      <c r="M85" s="106">
        <f t="shared" si="21"/>
        <v>0</v>
      </c>
      <c r="N85" s="110">
        <v>18373</v>
      </c>
      <c r="O85" s="107">
        <f t="shared" si="22"/>
        <v>0</v>
      </c>
      <c r="P85" s="111">
        <v>0</v>
      </c>
      <c r="Q85" s="28">
        <f t="shared" si="23"/>
        <v>0</v>
      </c>
      <c r="R85" s="84">
        <f t="shared" si="24"/>
        <v>0</v>
      </c>
      <c r="S85" s="79">
        <f t="shared" si="25"/>
        <v>0</v>
      </c>
      <c r="T85" s="34">
        <f t="shared" si="26"/>
        <v>0</v>
      </c>
      <c r="U85" s="1">
        <v>30</v>
      </c>
    </row>
    <row r="86" spans="1:21" ht="24" customHeight="1">
      <c r="A86" s="81">
        <v>36</v>
      </c>
      <c r="B86" s="31" t="s">
        <v>165</v>
      </c>
      <c r="C86" s="103" t="s">
        <v>210</v>
      </c>
      <c r="D86" s="103" t="s">
        <v>194</v>
      </c>
      <c r="E86" s="178" t="s">
        <v>211</v>
      </c>
      <c r="F86" s="104">
        <v>252475</v>
      </c>
      <c r="G86" s="104">
        <v>252475</v>
      </c>
      <c r="H86" s="104">
        <f t="shared" si="19"/>
        <v>0</v>
      </c>
      <c r="I86" s="110">
        <v>18011</v>
      </c>
      <c r="J86" s="111">
        <v>0</v>
      </c>
      <c r="K86" s="10">
        <f t="shared" si="20"/>
        <v>0</v>
      </c>
      <c r="L86" s="104">
        <v>252475</v>
      </c>
      <c r="M86" s="106">
        <f t="shared" si="21"/>
        <v>0</v>
      </c>
      <c r="N86" s="110">
        <v>18011</v>
      </c>
      <c r="O86" s="107">
        <f t="shared" si="22"/>
        <v>0</v>
      </c>
      <c r="P86" s="112">
        <v>0</v>
      </c>
      <c r="Q86" s="28">
        <f t="shared" si="23"/>
        <v>0</v>
      </c>
      <c r="R86" s="84">
        <f t="shared" si="24"/>
        <v>0</v>
      </c>
      <c r="S86" s="79">
        <f t="shared" si="25"/>
        <v>0</v>
      </c>
      <c r="T86" s="34">
        <f t="shared" si="26"/>
        <v>0</v>
      </c>
      <c r="U86" s="1">
        <v>16</v>
      </c>
    </row>
    <row r="87" spans="1:21" ht="24" customHeight="1">
      <c r="A87" s="81">
        <v>37</v>
      </c>
      <c r="B87" s="31" t="s">
        <v>83</v>
      </c>
      <c r="C87" s="103" t="s">
        <v>210</v>
      </c>
      <c r="D87" s="103" t="s">
        <v>194</v>
      </c>
      <c r="E87" s="178" t="s">
        <v>211</v>
      </c>
      <c r="F87" s="104">
        <v>261013.6</v>
      </c>
      <c r="G87" s="104">
        <v>261013.6</v>
      </c>
      <c r="H87" s="104">
        <f t="shared" si="19"/>
        <v>0</v>
      </c>
      <c r="I87" s="110">
        <v>18536</v>
      </c>
      <c r="J87" s="111">
        <v>0</v>
      </c>
      <c r="K87" s="10">
        <f t="shared" si="20"/>
        <v>0</v>
      </c>
      <c r="L87" s="104">
        <v>261013.6</v>
      </c>
      <c r="M87" s="106">
        <f t="shared" si="21"/>
        <v>0</v>
      </c>
      <c r="N87" s="110">
        <v>18536</v>
      </c>
      <c r="O87" s="107">
        <f t="shared" si="22"/>
        <v>0</v>
      </c>
      <c r="P87" s="112">
        <v>0</v>
      </c>
      <c r="Q87" s="28">
        <f t="shared" si="23"/>
        <v>0</v>
      </c>
      <c r="R87" s="84">
        <f t="shared" si="24"/>
        <v>0</v>
      </c>
      <c r="S87" s="79">
        <f t="shared" si="25"/>
        <v>0</v>
      </c>
      <c r="T87" s="34">
        <f t="shared" si="26"/>
        <v>0</v>
      </c>
      <c r="U87" s="1">
        <v>29</v>
      </c>
    </row>
    <row r="88" spans="1:21" ht="24" customHeight="1">
      <c r="A88" s="81">
        <v>38</v>
      </c>
      <c r="B88" s="31" t="s">
        <v>84</v>
      </c>
      <c r="C88" s="103" t="s">
        <v>210</v>
      </c>
      <c r="D88" s="103" t="s">
        <v>194</v>
      </c>
      <c r="E88" s="178" t="s">
        <v>211</v>
      </c>
      <c r="F88" s="104">
        <v>272728.59999999998</v>
      </c>
      <c r="G88" s="104">
        <v>272728.59999999998</v>
      </c>
      <c r="H88" s="104">
        <f t="shared" si="19"/>
        <v>0</v>
      </c>
      <c r="I88" s="110">
        <v>17898</v>
      </c>
      <c r="J88" s="111">
        <v>0</v>
      </c>
      <c r="K88" s="10">
        <f t="shared" si="20"/>
        <v>0</v>
      </c>
      <c r="L88" s="104">
        <v>272728.59999999998</v>
      </c>
      <c r="M88" s="106">
        <f t="shared" si="21"/>
        <v>0</v>
      </c>
      <c r="N88" s="110">
        <v>17898</v>
      </c>
      <c r="O88" s="107">
        <f t="shared" si="22"/>
        <v>0</v>
      </c>
      <c r="P88" s="112">
        <v>0</v>
      </c>
      <c r="Q88" s="28">
        <f t="shared" si="23"/>
        <v>0</v>
      </c>
      <c r="R88" s="84">
        <f t="shared" si="24"/>
        <v>0</v>
      </c>
      <c r="S88" s="79">
        <f t="shared" si="25"/>
        <v>0</v>
      </c>
      <c r="T88" s="34">
        <f t="shared" si="26"/>
        <v>0</v>
      </c>
      <c r="U88" s="1">
        <v>17</v>
      </c>
    </row>
    <row r="89" spans="1:21" ht="24" customHeight="1">
      <c r="A89" s="81">
        <v>39</v>
      </c>
      <c r="B89" s="31" t="s">
        <v>85</v>
      </c>
      <c r="C89" s="103" t="s">
        <v>210</v>
      </c>
      <c r="D89" s="103" t="s">
        <v>194</v>
      </c>
      <c r="E89" s="178" t="s">
        <v>211</v>
      </c>
      <c r="F89" s="35">
        <v>280639.90000000002</v>
      </c>
      <c r="G89" s="35">
        <v>280639.90000000002</v>
      </c>
      <c r="H89" s="104">
        <f t="shared" si="19"/>
        <v>0</v>
      </c>
      <c r="I89" s="110">
        <v>19832</v>
      </c>
      <c r="J89" s="111">
        <v>0</v>
      </c>
      <c r="K89" s="10">
        <f t="shared" si="20"/>
        <v>0</v>
      </c>
      <c r="L89" s="35">
        <v>280639.90000000002</v>
      </c>
      <c r="M89" s="106">
        <f t="shared" si="21"/>
        <v>0</v>
      </c>
      <c r="N89" s="110">
        <v>19832</v>
      </c>
      <c r="O89" s="107">
        <f t="shared" si="22"/>
        <v>0</v>
      </c>
      <c r="P89" s="112">
        <v>0</v>
      </c>
      <c r="Q89" s="28">
        <f t="shared" si="23"/>
        <v>0</v>
      </c>
      <c r="R89" s="84">
        <f t="shared" si="24"/>
        <v>0</v>
      </c>
      <c r="S89" s="79">
        <f t="shared" si="25"/>
        <v>0</v>
      </c>
      <c r="T89" s="34">
        <f t="shared" si="26"/>
        <v>0</v>
      </c>
      <c r="U89" s="1">
        <v>23</v>
      </c>
    </row>
    <row r="90" spans="1:21" ht="24" customHeight="1">
      <c r="A90" s="81">
        <v>40</v>
      </c>
      <c r="B90" s="31" t="s">
        <v>86</v>
      </c>
      <c r="C90" s="103" t="s">
        <v>210</v>
      </c>
      <c r="D90" s="103" t="s">
        <v>194</v>
      </c>
      <c r="E90" s="178" t="s">
        <v>211</v>
      </c>
      <c r="F90" s="104">
        <v>251386.1</v>
      </c>
      <c r="G90" s="104">
        <v>251386.1</v>
      </c>
      <c r="H90" s="104">
        <f t="shared" si="19"/>
        <v>0</v>
      </c>
      <c r="I90" s="110">
        <v>17878</v>
      </c>
      <c r="J90" s="111">
        <v>0</v>
      </c>
      <c r="K90" s="10">
        <f t="shared" si="20"/>
        <v>0</v>
      </c>
      <c r="L90" s="104">
        <v>251386.1</v>
      </c>
      <c r="M90" s="106">
        <f t="shared" si="21"/>
        <v>0</v>
      </c>
      <c r="N90" s="110">
        <v>17878</v>
      </c>
      <c r="O90" s="107">
        <f t="shared" si="22"/>
        <v>0</v>
      </c>
      <c r="P90" s="112">
        <v>0</v>
      </c>
      <c r="Q90" s="28">
        <f t="shared" si="23"/>
        <v>0</v>
      </c>
      <c r="R90" s="84">
        <f t="shared" si="24"/>
        <v>0</v>
      </c>
      <c r="S90" s="79">
        <f t="shared" si="25"/>
        <v>0</v>
      </c>
      <c r="T90" s="34">
        <f t="shared" si="26"/>
        <v>0</v>
      </c>
      <c r="U90" s="1">
        <v>26</v>
      </c>
    </row>
    <row r="91" spans="1:21" ht="24" customHeight="1">
      <c r="A91" s="81">
        <v>41</v>
      </c>
      <c r="B91" s="31" t="s">
        <v>87</v>
      </c>
      <c r="C91" s="103" t="s">
        <v>210</v>
      </c>
      <c r="D91" s="103" t="s">
        <v>194</v>
      </c>
      <c r="E91" s="178" t="s">
        <v>211</v>
      </c>
      <c r="F91" s="104">
        <v>280224.8</v>
      </c>
      <c r="G91" s="104">
        <v>280224.8</v>
      </c>
      <c r="H91" s="104">
        <f t="shared" si="19"/>
        <v>0</v>
      </c>
      <c r="I91" s="110">
        <v>19375</v>
      </c>
      <c r="J91" s="111">
        <v>0</v>
      </c>
      <c r="K91" s="10">
        <f t="shared" si="20"/>
        <v>0</v>
      </c>
      <c r="L91" s="104">
        <v>280224.8</v>
      </c>
      <c r="M91" s="106">
        <f t="shared" si="21"/>
        <v>0</v>
      </c>
      <c r="N91" s="110">
        <v>19375</v>
      </c>
      <c r="O91" s="107">
        <f t="shared" si="22"/>
        <v>0</v>
      </c>
      <c r="P91" s="111">
        <v>0</v>
      </c>
      <c r="Q91" s="28">
        <f t="shared" si="23"/>
        <v>0</v>
      </c>
      <c r="R91" s="84">
        <f t="shared" si="24"/>
        <v>0</v>
      </c>
      <c r="S91" s="79">
        <f t="shared" si="25"/>
        <v>0</v>
      </c>
      <c r="T91" s="34">
        <f t="shared" si="26"/>
        <v>0</v>
      </c>
      <c r="U91" s="1">
        <v>28</v>
      </c>
    </row>
    <row r="92" spans="1:21" ht="24" customHeight="1">
      <c r="A92" s="81">
        <v>42</v>
      </c>
      <c r="B92" s="31" t="s">
        <v>88</v>
      </c>
      <c r="C92" s="103" t="s">
        <v>210</v>
      </c>
      <c r="D92" s="103" t="s">
        <v>194</v>
      </c>
      <c r="E92" s="178" t="s">
        <v>211</v>
      </c>
      <c r="F92" s="104">
        <v>276147.7</v>
      </c>
      <c r="G92" s="104">
        <v>276147.7</v>
      </c>
      <c r="H92" s="104">
        <f t="shared" si="19"/>
        <v>0</v>
      </c>
      <c r="I92" s="110">
        <v>18765</v>
      </c>
      <c r="J92" s="111">
        <v>0</v>
      </c>
      <c r="K92" s="10">
        <f t="shared" si="20"/>
        <v>0</v>
      </c>
      <c r="L92" s="104">
        <v>276147.7</v>
      </c>
      <c r="M92" s="106">
        <f t="shared" si="21"/>
        <v>0</v>
      </c>
      <c r="N92" s="110">
        <v>18765</v>
      </c>
      <c r="O92" s="107">
        <f t="shared" si="22"/>
        <v>0</v>
      </c>
      <c r="P92" s="111">
        <v>0</v>
      </c>
      <c r="Q92" s="28">
        <f t="shared" si="23"/>
        <v>0</v>
      </c>
      <c r="R92" s="84">
        <f t="shared" si="24"/>
        <v>0</v>
      </c>
      <c r="S92" s="79">
        <f t="shared" si="25"/>
        <v>0</v>
      </c>
      <c r="T92" s="34">
        <f t="shared" si="26"/>
        <v>0</v>
      </c>
      <c r="U92" s="1">
        <v>34</v>
      </c>
    </row>
    <row r="93" spans="1:21" ht="24" customHeight="1">
      <c r="A93" s="81">
        <v>43</v>
      </c>
      <c r="B93" s="31" t="s">
        <v>89</v>
      </c>
      <c r="C93" s="103" t="s">
        <v>210</v>
      </c>
      <c r="D93" s="103" t="s">
        <v>194</v>
      </c>
      <c r="E93" s="178" t="s">
        <v>211</v>
      </c>
      <c r="F93" s="35">
        <v>268644.8</v>
      </c>
      <c r="G93" s="35">
        <v>268644.8</v>
      </c>
      <c r="H93" s="104">
        <f t="shared" si="19"/>
        <v>0</v>
      </c>
      <c r="I93" s="110">
        <v>18426</v>
      </c>
      <c r="J93" s="111">
        <v>0</v>
      </c>
      <c r="K93" s="10">
        <f t="shared" si="20"/>
        <v>0</v>
      </c>
      <c r="L93" s="35">
        <v>268644.8</v>
      </c>
      <c r="M93" s="106">
        <f t="shared" si="21"/>
        <v>0</v>
      </c>
      <c r="N93" s="110">
        <v>18426</v>
      </c>
      <c r="O93" s="107">
        <f t="shared" si="22"/>
        <v>0</v>
      </c>
      <c r="P93" s="111">
        <v>0</v>
      </c>
      <c r="Q93" s="28">
        <f t="shared" si="23"/>
        <v>0</v>
      </c>
      <c r="R93" s="84">
        <f t="shared" si="24"/>
        <v>0</v>
      </c>
      <c r="S93" s="79">
        <f t="shared" si="25"/>
        <v>0</v>
      </c>
      <c r="T93" s="34">
        <f t="shared" si="26"/>
        <v>0</v>
      </c>
      <c r="U93" s="1">
        <v>31</v>
      </c>
    </row>
    <row r="94" spans="1:21" ht="24" customHeight="1">
      <c r="A94" s="81">
        <v>44</v>
      </c>
      <c r="B94" s="31" t="s">
        <v>90</v>
      </c>
      <c r="C94" s="103" t="s">
        <v>210</v>
      </c>
      <c r="D94" s="103" t="s">
        <v>194</v>
      </c>
      <c r="E94" s="178" t="s">
        <v>211</v>
      </c>
      <c r="F94" s="104">
        <v>245741.9</v>
      </c>
      <c r="G94" s="104">
        <v>245741.9</v>
      </c>
      <c r="H94" s="104">
        <f t="shared" si="19"/>
        <v>0</v>
      </c>
      <c r="I94" s="110">
        <v>17743</v>
      </c>
      <c r="J94" s="111">
        <v>0</v>
      </c>
      <c r="K94" s="10">
        <f>IFERROR(H94/J94,0)</f>
        <v>0</v>
      </c>
      <c r="L94" s="104">
        <v>245741.9</v>
      </c>
      <c r="M94" s="106">
        <f t="shared" si="21"/>
        <v>0</v>
      </c>
      <c r="N94" s="110">
        <v>17743</v>
      </c>
      <c r="O94" s="107">
        <f t="shared" si="22"/>
        <v>0</v>
      </c>
      <c r="P94" s="111">
        <v>0</v>
      </c>
      <c r="Q94" s="28">
        <f t="shared" si="23"/>
        <v>0</v>
      </c>
      <c r="R94" s="84">
        <f t="shared" si="24"/>
        <v>0</v>
      </c>
      <c r="S94" s="79">
        <f t="shared" si="25"/>
        <v>0</v>
      </c>
      <c r="T94" s="34">
        <f t="shared" si="26"/>
        <v>0</v>
      </c>
      <c r="U94" s="1">
        <v>23</v>
      </c>
    </row>
    <row r="95" spans="1:21" ht="24" customHeight="1">
      <c r="A95" s="81">
        <v>45</v>
      </c>
      <c r="B95" s="31" t="s">
        <v>91</v>
      </c>
      <c r="C95" s="103" t="s">
        <v>210</v>
      </c>
      <c r="D95" s="103" t="s">
        <v>194</v>
      </c>
      <c r="E95" s="178" t="s">
        <v>211</v>
      </c>
      <c r="F95" s="104">
        <v>254153.9</v>
      </c>
      <c r="G95" s="104">
        <v>254153.9</v>
      </c>
      <c r="H95" s="104">
        <f t="shared" si="19"/>
        <v>0</v>
      </c>
      <c r="I95" s="110">
        <v>17731</v>
      </c>
      <c r="J95" s="111">
        <v>0</v>
      </c>
      <c r="K95" s="10">
        <f t="shared" si="20"/>
        <v>0</v>
      </c>
      <c r="L95" s="104">
        <v>254153.9</v>
      </c>
      <c r="M95" s="106">
        <f t="shared" si="21"/>
        <v>0</v>
      </c>
      <c r="N95" s="110">
        <v>17731</v>
      </c>
      <c r="O95" s="107">
        <f t="shared" si="22"/>
        <v>0</v>
      </c>
      <c r="P95" s="111">
        <v>0</v>
      </c>
      <c r="Q95" s="28">
        <f t="shared" si="23"/>
        <v>0</v>
      </c>
      <c r="R95" s="84">
        <f t="shared" si="24"/>
        <v>0</v>
      </c>
      <c r="S95" s="79">
        <f t="shared" si="25"/>
        <v>0</v>
      </c>
      <c r="T95" s="34">
        <f t="shared" si="26"/>
        <v>0</v>
      </c>
      <c r="U95" s="1">
        <v>0</v>
      </c>
    </row>
    <row r="96" spans="1:21" ht="24" customHeight="1">
      <c r="A96" s="81">
        <v>46</v>
      </c>
      <c r="B96" s="31" t="s">
        <v>92</v>
      </c>
      <c r="C96" s="103" t="s">
        <v>210</v>
      </c>
      <c r="D96" s="103" t="s">
        <v>194</v>
      </c>
      <c r="E96" s="178" t="s">
        <v>211</v>
      </c>
      <c r="F96" s="35">
        <v>240227.8</v>
      </c>
      <c r="G96" s="35">
        <v>240227.8</v>
      </c>
      <c r="H96" s="104">
        <f>G96-F96</f>
        <v>0</v>
      </c>
      <c r="I96" s="110">
        <v>17420</v>
      </c>
      <c r="J96" s="111">
        <v>0</v>
      </c>
      <c r="K96" s="10">
        <f t="shared" si="20"/>
        <v>0</v>
      </c>
      <c r="L96" s="35">
        <v>240227.8</v>
      </c>
      <c r="M96" s="106">
        <f>L96-G96</f>
        <v>0</v>
      </c>
      <c r="N96" s="110">
        <v>17420</v>
      </c>
      <c r="O96" s="107">
        <f t="shared" si="22"/>
        <v>0</v>
      </c>
      <c r="P96" s="111">
        <v>0</v>
      </c>
      <c r="Q96" s="28">
        <f t="shared" si="23"/>
        <v>0</v>
      </c>
      <c r="R96" s="84">
        <f t="shared" si="24"/>
        <v>0</v>
      </c>
      <c r="S96" s="79">
        <f>J96+P96</f>
        <v>0</v>
      </c>
      <c r="T96" s="34">
        <f t="shared" si="26"/>
        <v>0</v>
      </c>
      <c r="U96" s="1">
        <v>28</v>
      </c>
    </row>
    <row r="97" spans="1:22" ht="24" customHeight="1">
      <c r="A97" s="81">
        <v>47</v>
      </c>
      <c r="B97" s="31" t="s">
        <v>93</v>
      </c>
      <c r="C97" s="103" t="s">
        <v>210</v>
      </c>
      <c r="D97" s="103" t="s">
        <v>194</v>
      </c>
      <c r="E97" s="178" t="s">
        <v>211</v>
      </c>
      <c r="F97" s="104">
        <v>248679.3</v>
      </c>
      <c r="G97" s="104">
        <v>248679.3</v>
      </c>
      <c r="H97" s="104">
        <f>G97-F97</f>
        <v>0</v>
      </c>
      <c r="I97" s="110">
        <v>16871</v>
      </c>
      <c r="J97" s="111">
        <v>0</v>
      </c>
      <c r="K97" s="10">
        <f t="shared" si="20"/>
        <v>0</v>
      </c>
      <c r="L97" s="104">
        <v>248679.3</v>
      </c>
      <c r="M97" s="106">
        <f>L97-G97</f>
        <v>0</v>
      </c>
      <c r="N97" s="110">
        <v>16871</v>
      </c>
      <c r="O97" s="107">
        <f t="shared" si="22"/>
        <v>0</v>
      </c>
      <c r="P97" s="111">
        <v>0</v>
      </c>
      <c r="Q97" s="28">
        <f t="shared" si="23"/>
        <v>0</v>
      </c>
      <c r="R97" s="84">
        <f t="shared" si="24"/>
        <v>0</v>
      </c>
      <c r="S97" s="79">
        <f t="shared" si="25"/>
        <v>0</v>
      </c>
      <c r="T97" s="34">
        <f t="shared" si="26"/>
        <v>0</v>
      </c>
      <c r="U97" s="1">
        <v>34</v>
      </c>
      <c r="V97" t="s">
        <v>94</v>
      </c>
    </row>
    <row r="98" spans="1:22" ht="24" customHeight="1">
      <c r="A98" s="81">
        <v>48</v>
      </c>
      <c r="B98" s="31" t="s">
        <v>95</v>
      </c>
      <c r="C98" s="103" t="s">
        <v>210</v>
      </c>
      <c r="D98" s="103" t="s">
        <v>194</v>
      </c>
      <c r="E98" s="178" t="s">
        <v>211</v>
      </c>
      <c r="F98" s="104">
        <v>245540.2</v>
      </c>
      <c r="G98" s="104">
        <v>245540.2</v>
      </c>
      <c r="H98" s="104">
        <f t="shared" si="19"/>
        <v>0</v>
      </c>
      <c r="I98" s="110">
        <v>18303</v>
      </c>
      <c r="J98" s="111">
        <v>0</v>
      </c>
      <c r="K98" s="10">
        <f t="shared" si="20"/>
        <v>0</v>
      </c>
      <c r="L98" s="104">
        <v>245540.2</v>
      </c>
      <c r="M98" s="106">
        <f t="shared" si="21"/>
        <v>0</v>
      </c>
      <c r="N98" s="110">
        <v>18303</v>
      </c>
      <c r="O98" s="107">
        <f t="shared" si="22"/>
        <v>0</v>
      </c>
      <c r="P98" s="111">
        <v>0</v>
      </c>
      <c r="Q98" s="28">
        <f t="shared" si="23"/>
        <v>0</v>
      </c>
      <c r="R98" s="84">
        <f t="shared" si="24"/>
        <v>0</v>
      </c>
      <c r="S98" s="79">
        <f t="shared" si="25"/>
        <v>0</v>
      </c>
      <c r="T98" s="34">
        <f t="shared" si="26"/>
        <v>0</v>
      </c>
      <c r="U98" s="1">
        <v>21</v>
      </c>
    </row>
    <row r="99" spans="1:22" ht="24" customHeight="1">
      <c r="A99" s="81">
        <v>49</v>
      </c>
      <c r="B99" s="31" t="s">
        <v>96</v>
      </c>
      <c r="C99" s="103" t="s">
        <v>210</v>
      </c>
      <c r="D99" s="103" t="s">
        <v>194</v>
      </c>
      <c r="E99" s="178" t="s">
        <v>211</v>
      </c>
      <c r="F99" s="35">
        <v>250125</v>
      </c>
      <c r="G99" s="35">
        <v>250125</v>
      </c>
      <c r="H99" s="104">
        <f t="shared" si="19"/>
        <v>0</v>
      </c>
      <c r="I99" s="110">
        <v>17986</v>
      </c>
      <c r="J99" s="111">
        <v>0</v>
      </c>
      <c r="K99" s="10">
        <f>IFERROR(H99/J99,0)</f>
        <v>0</v>
      </c>
      <c r="L99" s="35">
        <v>250125</v>
      </c>
      <c r="M99" s="106">
        <f t="shared" si="21"/>
        <v>0</v>
      </c>
      <c r="N99" s="110">
        <v>17986</v>
      </c>
      <c r="O99" s="107">
        <f t="shared" si="22"/>
        <v>0</v>
      </c>
      <c r="P99" s="111">
        <v>0</v>
      </c>
      <c r="Q99" s="28">
        <f t="shared" si="23"/>
        <v>0</v>
      </c>
      <c r="R99" s="84">
        <f t="shared" si="24"/>
        <v>0</v>
      </c>
      <c r="S99" s="79">
        <f t="shared" si="25"/>
        <v>0</v>
      </c>
      <c r="T99" s="34">
        <f t="shared" si="26"/>
        <v>0</v>
      </c>
      <c r="U99" s="1">
        <v>25</v>
      </c>
    </row>
    <row r="100" spans="1:22" ht="24" customHeight="1">
      <c r="A100" s="81">
        <v>50</v>
      </c>
      <c r="B100" s="31" t="s">
        <v>97</v>
      </c>
      <c r="C100" s="103" t="s">
        <v>210</v>
      </c>
      <c r="D100" s="103" t="s">
        <v>194</v>
      </c>
      <c r="E100" s="178" t="s">
        <v>211</v>
      </c>
      <c r="F100" s="104">
        <v>238868.7</v>
      </c>
      <c r="G100" s="104">
        <v>238868.7</v>
      </c>
      <c r="H100" s="104">
        <f t="shared" si="19"/>
        <v>0</v>
      </c>
      <c r="I100" s="110">
        <v>16501</v>
      </c>
      <c r="J100" s="111">
        <v>0</v>
      </c>
      <c r="K100" s="10">
        <f t="shared" si="20"/>
        <v>0</v>
      </c>
      <c r="L100" s="104">
        <v>238868.7</v>
      </c>
      <c r="M100" s="106">
        <f t="shared" si="21"/>
        <v>0</v>
      </c>
      <c r="N100" s="110">
        <v>16501</v>
      </c>
      <c r="O100" s="107">
        <f t="shared" si="22"/>
        <v>0</v>
      </c>
      <c r="P100" s="111">
        <v>0</v>
      </c>
      <c r="Q100" s="28">
        <f t="shared" si="23"/>
        <v>0</v>
      </c>
      <c r="R100" s="84">
        <f t="shared" si="24"/>
        <v>0</v>
      </c>
      <c r="S100" s="79">
        <f t="shared" si="25"/>
        <v>0</v>
      </c>
      <c r="T100" s="34">
        <f t="shared" si="26"/>
        <v>0</v>
      </c>
      <c r="U100" s="1">
        <v>32</v>
      </c>
    </row>
    <row r="101" spans="1:22" ht="24" customHeight="1">
      <c r="A101" s="81">
        <v>51</v>
      </c>
      <c r="B101" s="121" t="s">
        <v>166</v>
      </c>
      <c r="C101" s="103" t="s">
        <v>210</v>
      </c>
      <c r="D101" s="103" t="s">
        <v>194</v>
      </c>
      <c r="E101" s="178" t="s">
        <v>222</v>
      </c>
      <c r="F101" s="104">
        <v>206632</v>
      </c>
      <c r="G101" s="104">
        <v>206632</v>
      </c>
      <c r="H101" s="118">
        <f t="shared" si="19"/>
        <v>0</v>
      </c>
      <c r="I101" s="110">
        <v>17598</v>
      </c>
      <c r="J101" s="111">
        <v>0</v>
      </c>
      <c r="K101" s="55">
        <f t="shared" si="20"/>
        <v>0</v>
      </c>
      <c r="L101" s="104">
        <v>206632</v>
      </c>
      <c r="M101" s="119">
        <f t="shared" si="21"/>
        <v>0</v>
      </c>
      <c r="N101" s="110">
        <v>17598</v>
      </c>
      <c r="O101" s="120">
        <f t="shared" si="22"/>
        <v>0</v>
      </c>
      <c r="P101" s="111">
        <v>0</v>
      </c>
      <c r="Q101" s="28">
        <f t="shared" si="23"/>
        <v>0</v>
      </c>
      <c r="R101" s="58">
        <f t="shared" si="24"/>
        <v>0</v>
      </c>
      <c r="S101" s="79">
        <f t="shared" si="25"/>
        <v>0</v>
      </c>
      <c r="T101" s="34">
        <f t="shared" si="26"/>
        <v>0</v>
      </c>
      <c r="U101" s="1">
        <v>27</v>
      </c>
    </row>
    <row r="102" spans="1:22" ht="24" customHeight="1">
      <c r="A102" s="81">
        <v>52</v>
      </c>
      <c r="B102" s="121" t="s">
        <v>167</v>
      </c>
      <c r="C102" s="103" t="s">
        <v>210</v>
      </c>
      <c r="D102" s="103" t="s">
        <v>194</v>
      </c>
      <c r="E102" s="178" t="s">
        <v>222</v>
      </c>
      <c r="F102" s="104">
        <v>186406</v>
      </c>
      <c r="G102" s="104">
        <v>186406</v>
      </c>
      <c r="H102" s="118">
        <f t="shared" si="19"/>
        <v>0</v>
      </c>
      <c r="I102" s="110">
        <v>16317</v>
      </c>
      <c r="J102" s="111">
        <v>0</v>
      </c>
      <c r="K102" s="55">
        <f t="shared" si="20"/>
        <v>0</v>
      </c>
      <c r="L102" s="104">
        <v>186406</v>
      </c>
      <c r="M102" s="119">
        <f t="shared" si="21"/>
        <v>0</v>
      </c>
      <c r="N102" s="110">
        <v>16317</v>
      </c>
      <c r="O102" s="120">
        <f t="shared" si="22"/>
        <v>0</v>
      </c>
      <c r="P102" s="111">
        <v>0</v>
      </c>
      <c r="Q102" s="28">
        <f t="shared" si="23"/>
        <v>0</v>
      </c>
      <c r="R102" s="58">
        <f t="shared" si="24"/>
        <v>0</v>
      </c>
      <c r="S102" s="79">
        <f t="shared" si="25"/>
        <v>0</v>
      </c>
      <c r="T102" s="34">
        <f t="shared" si="26"/>
        <v>0</v>
      </c>
      <c r="U102" s="1">
        <v>0</v>
      </c>
    </row>
    <row r="103" spans="1:22" ht="24" customHeight="1">
      <c r="A103" s="81">
        <v>53</v>
      </c>
      <c r="B103" s="121" t="s">
        <v>168</v>
      </c>
      <c r="C103" s="103" t="s">
        <v>210</v>
      </c>
      <c r="D103" s="103" t="s">
        <v>194</v>
      </c>
      <c r="E103" s="178" t="s">
        <v>222</v>
      </c>
      <c r="F103" s="104">
        <v>193619</v>
      </c>
      <c r="G103" s="104">
        <v>193619</v>
      </c>
      <c r="H103" s="118">
        <f t="shared" si="19"/>
        <v>0</v>
      </c>
      <c r="I103" s="110">
        <v>17273</v>
      </c>
      <c r="J103" s="111">
        <v>0</v>
      </c>
      <c r="K103" s="55">
        <f t="shared" si="20"/>
        <v>0</v>
      </c>
      <c r="L103" s="104">
        <v>193619</v>
      </c>
      <c r="M103" s="119">
        <f t="shared" si="21"/>
        <v>0</v>
      </c>
      <c r="N103" s="110">
        <v>17273</v>
      </c>
      <c r="O103" s="120">
        <f t="shared" si="22"/>
        <v>0</v>
      </c>
      <c r="P103" s="111">
        <v>0</v>
      </c>
      <c r="Q103" s="28">
        <f t="shared" si="23"/>
        <v>0</v>
      </c>
      <c r="R103" s="58">
        <f t="shared" si="24"/>
        <v>0</v>
      </c>
      <c r="S103" s="79">
        <f t="shared" si="25"/>
        <v>0</v>
      </c>
      <c r="T103" s="34">
        <f t="shared" si="26"/>
        <v>0</v>
      </c>
      <c r="U103" s="1">
        <v>33</v>
      </c>
    </row>
    <row r="104" spans="1:22" ht="24" customHeight="1">
      <c r="A104" s="81">
        <v>54</v>
      </c>
      <c r="B104" s="121" t="s">
        <v>169</v>
      </c>
      <c r="C104" s="103" t="s">
        <v>210</v>
      </c>
      <c r="D104" s="103" t="s">
        <v>194</v>
      </c>
      <c r="E104" s="178" t="s">
        <v>222</v>
      </c>
      <c r="F104" s="104">
        <v>197688</v>
      </c>
      <c r="G104" s="104">
        <v>197688</v>
      </c>
      <c r="H104" s="118">
        <f t="shared" si="19"/>
        <v>0</v>
      </c>
      <c r="I104" s="110">
        <v>16758</v>
      </c>
      <c r="J104" s="111">
        <v>0</v>
      </c>
      <c r="K104" s="55">
        <f t="shared" si="20"/>
        <v>0</v>
      </c>
      <c r="L104" s="104">
        <v>197688</v>
      </c>
      <c r="M104" s="119">
        <f t="shared" si="21"/>
        <v>0</v>
      </c>
      <c r="N104" s="110">
        <v>16758</v>
      </c>
      <c r="O104" s="120">
        <f t="shared" si="22"/>
        <v>0</v>
      </c>
      <c r="P104" s="111">
        <v>0</v>
      </c>
      <c r="Q104" s="28">
        <f t="shared" si="23"/>
        <v>0</v>
      </c>
      <c r="R104" s="58">
        <f t="shared" si="24"/>
        <v>0</v>
      </c>
      <c r="S104" s="79">
        <f t="shared" si="25"/>
        <v>0</v>
      </c>
      <c r="T104" s="34">
        <f t="shared" si="26"/>
        <v>0</v>
      </c>
      <c r="U104" s="1">
        <v>26</v>
      </c>
    </row>
    <row r="105" spans="1:22" ht="24" customHeight="1">
      <c r="A105" s="81">
        <v>55</v>
      </c>
      <c r="B105" s="121" t="s">
        <v>104</v>
      </c>
      <c r="C105" s="103" t="s">
        <v>210</v>
      </c>
      <c r="D105" s="31" t="s">
        <v>194</v>
      </c>
      <c r="E105" s="31" t="s">
        <v>212</v>
      </c>
      <c r="F105" s="104">
        <v>72832.899999999994</v>
      </c>
      <c r="G105" s="104">
        <v>72832.899999999994</v>
      </c>
      <c r="H105" s="118">
        <f t="shared" si="19"/>
        <v>0</v>
      </c>
      <c r="I105" s="110">
        <v>4926</v>
      </c>
      <c r="J105" s="111">
        <v>0</v>
      </c>
      <c r="K105" s="78">
        <f t="shared" si="20"/>
        <v>0</v>
      </c>
      <c r="L105" s="104">
        <v>72832.899999999994</v>
      </c>
      <c r="M105" s="112">
        <f t="shared" si="21"/>
        <v>0</v>
      </c>
      <c r="N105" s="110">
        <v>4926</v>
      </c>
      <c r="O105" s="107">
        <f t="shared" si="22"/>
        <v>0</v>
      </c>
      <c r="P105" s="111">
        <v>0</v>
      </c>
      <c r="Q105" s="28">
        <f t="shared" si="23"/>
        <v>0</v>
      </c>
      <c r="R105" s="58">
        <f t="shared" si="24"/>
        <v>0</v>
      </c>
      <c r="S105" s="79">
        <f t="shared" si="25"/>
        <v>0</v>
      </c>
      <c r="T105" s="34">
        <f t="shared" si="26"/>
        <v>0</v>
      </c>
      <c r="U105" s="1">
        <v>34</v>
      </c>
    </row>
    <row r="106" spans="1:22" ht="24" customHeight="1">
      <c r="A106" s="81">
        <v>56</v>
      </c>
      <c r="B106" s="121" t="s">
        <v>105</v>
      </c>
      <c r="C106" s="103" t="s">
        <v>210</v>
      </c>
      <c r="D106" s="31" t="s">
        <v>194</v>
      </c>
      <c r="E106" s="31" t="s">
        <v>212</v>
      </c>
      <c r="F106" s="35">
        <v>71668</v>
      </c>
      <c r="G106" s="35">
        <v>71668</v>
      </c>
      <c r="H106" s="122">
        <f t="shared" si="19"/>
        <v>0</v>
      </c>
      <c r="I106" s="110">
        <v>4942</v>
      </c>
      <c r="J106" s="111">
        <v>0</v>
      </c>
      <c r="K106" s="78">
        <f t="shared" si="20"/>
        <v>0</v>
      </c>
      <c r="L106" s="35">
        <v>71668</v>
      </c>
      <c r="M106" s="112">
        <f t="shared" si="21"/>
        <v>0</v>
      </c>
      <c r="N106" s="110">
        <v>4942</v>
      </c>
      <c r="O106" s="107">
        <f t="shared" si="22"/>
        <v>0</v>
      </c>
      <c r="P106" s="111">
        <v>0</v>
      </c>
      <c r="Q106" s="28">
        <f t="shared" si="23"/>
        <v>0</v>
      </c>
      <c r="R106" s="58">
        <f t="shared" si="24"/>
        <v>0</v>
      </c>
      <c r="S106" s="79">
        <f t="shared" si="25"/>
        <v>0</v>
      </c>
      <c r="T106" s="34">
        <f t="shared" si="26"/>
        <v>0</v>
      </c>
      <c r="U106" s="1">
        <v>33</v>
      </c>
    </row>
    <row r="107" spans="1:22" ht="24" customHeight="1">
      <c r="A107" s="81">
        <v>57</v>
      </c>
      <c r="B107" s="121" t="s">
        <v>106</v>
      </c>
      <c r="C107" s="103" t="s">
        <v>210</v>
      </c>
      <c r="D107" s="31" t="s">
        <v>194</v>
      </c>
      <c r="E107" s="31" t="s">
        <v>212</v>
      </c>
      <c r="F107" s="104">
        <v>69542.399999999994</v>
      </c>
      <c r="G107" s="104">
        <v>69542.399999999994</v>
      </c>
      <c r="H107" s="122">
        <f t="shared" si="19"/>
        <v>0</v>
      </c>
      <c r="I107" s="110">
        <v>4965</v>
      </c>
      <c r="J107" s="111">
        <v>0</v>
      </c>
      <c r="K107" s="78">
        <f t="shared" si="20"/>
        <v>0</v>
      </c>
      <c r="L107" s="104">
        <v>69542.399999999994</v>
      </c>
      <c r="M107" s="112">
        <f t="shared" si="21"/>
        <v>0</v>
      </c>
      <c r="N107" s="110">
        <v>4965</v>
      </c>
      <c r="O107" s="107">
        <f t="shared" si="22"/>
        <v>0</v>
      </c>
      <c r="P107" s="111">
        <v>0</v>
      </c>
      <c r="Q107" s="28">
        <f t="shared" si="23"/>
        <v>0</v>
      </c>
      <c r="R107" s="58">
        <f t="shared" si="24"/>
        <v>0</v>
      </c>
      <c r="S107" s="79">
        <f t="shared" si="25"/>
        <v>0</v>
      </c>
      <c r="T107" s="34">
        <f t="shared" si="26"/>
        <v>0</v>
      </c>
      <c r="U107" s="1">
        <v>30</v>
      </c>
    </row>
    <row r="108" spans="1:22" ht="24" customHeight="1">
      <c r="A108" s="81">
        <v>58</v>
      </c>
      <c r="B108" s="121" t="s">
        <v>107</v>
      </c>
      <c r="C108" s="103" t="s">
        <v>210</v>
      </c>
      <c r="D108" s="31" t="s">
        <v>194</v>
      </c>
      <c r="E108" s="31" t="s">
        <v>212</v>
      </c>
      <c r="F108" s="104">
        <v>71808.5</v>
      </c>
      <c r="G108" s="104">
        <v>71808.5</v>
      </c>
      <c r="H108" s="122">
        <f t="shared" si="19"/>
        <v>0</v>
      </c>
      <c r="I108" s="110">
        <v>4966</v>
      </c>
      <c r="J108" s="111">
        <v>0</v>
      </c>
      <c r="K108" s="78">
        <f t="shared" si="20"/>
        <v>0</v>
      </c>
      <c r="L108" s="104">
        <v>71808.5</v>
      </c>
      <c r="M108" s="112">
        <f t="shared" si="21"/>
        <v>0</v>
      </c>
      <c r="N108" s="110">
        <v>4966</v>
      </c>
      <c r="O108" s="107">
        <f t="shared" si="22"/>
        <v>0</v>
      </c>
      <c r="P108" s="111">
        <v>0</v>
      </c>
      <c r="Q108" s="28">
        <f t="shared" si="23"/>
        <v>0</v>
      </c>
      <c r="R108" s="58">
        <f t="shared" si="24"/>
        <v>0</v>
      </c>
      <c r="S108" s="79">
        <f t="shared" si="25"/>
        <v>0</v>
      </c>
      <c r="T108" s="34">
        <f t="shared" si="26"/>
        <v>0</v>
      </c>
      <c r="U108" s="1">
        <v>30</v>
      </c>
    </row>
    <row r="109" spans="1:22" ht="24" customHeight="1">
      <c r="A109" s="81">
        <v>59</v>
      </c>
      <c r="B109" s="121" t="s">
        <v>108</v>
      </c>
      <c r="C109" s="103" t="s">
        <v>210</v>
      </c>
      <c r="D109" s="31" t="s">
        <v>194</v>
      </c>
      <c r="E109" s="31" t="s">
        <v>212</v>
      </c>
      <c r="F109" s="104">
        <v>70892.5</v>
      </c>
      <c r="G109" s="104">
        <v>70892.5</v>
      </c>
      <c r="H109" s="122">
        <f t="shared" si="19"/>
        <v>0</v>
      </c>
      <c r="I109" s="110">
        <v>4932</v>
      </c>
      <c r="J109" s="111">
        <v>0</v>
      </c>
      <c r="K109" s="78">
        <f t="shared" si="20"/>
        <v>0</v>
      </c>
      <c r="L109" s="104">
        <v>70892.5</v>
      </c>
      <c r="M109" s="112">
        <f t="shared" si="21"/>
        <v>0</v>
      </c>
      <c r="N109" s="110">
        <v>4932</v>
      </c>
      <c r="O109" s="107">
        <f t="shared" si="22"/>
        <v>0</v>
      </c>
      <c r="P109" s="111">
        <v>0</v>
      </c>
      <c r="Q109" s="28">
        <f t="shared" si="23"/>
        <v>0</v>
      </c>
      <c r="R109" s="58">
        <f t="shared" si="24"/>
        <v>0</v>
      </c>
      <c r="S109" s="79">
        <f t="shared" si="25"/>
        <v>0</v>
      </c>
      <c r="T109" s="34">
        <f t="shared" si="26"/>
        <v>0</v>
      </c>
      <c r="U109" s="1">
        <v>30</v>
      </c>
    </row>
    <row r="110" spans="1:22" ht="24" customHeight="1">
      <c r="A110" s="81">
        <v>60</v>
      </c>
      <c r="B110" s="121" t="s">
        <v>109</v>
      </c>
      <c r="C110" s="103" t="s">
        <v>210</v>
      </c>
      <c r="D110" s="31" t="s">
        <v>194</v>
      </c>
      <c r="E110" s="31" t="s">
        <v>212</v>
      </c>
      <c r="F110" s="104">
        <v>72825.399999999994</v>
      </c>
      <c r="G110" s="104">
        <v>72825.399999999994</v>
      </c>
      <c r="H110" s="118">
        <f t="shared" si="19"/>
        <v>0</v>
      </c>
      <c r="I110" s="110">
        <v>5025</v>
      </c>
      <c r="J110" s="111">
        <v>0</v>
      </c>
      <c r="K110" s="55">
        <f t="shared" si="20"/>
        <v>0</v>
      </c>
      <c r="L110" s="104">
        <v>72825.399999999994</v>
      </c>
      <c r="M110" s="119">
        <f t="shared" si="21"/>
        <v>0</v>
      </c>
      <c r="N110" s="110">
        <v>5025</v>
      </c>
      <c r="O110" s="120">
        <f t="shared" si="22"/>
        <v>0</v>
      </c>
      <c r="P110" s="111">
        <v>0</v>
      </c>
      <c r="Q110" s="28">
        <f t="shared" si="23"/>
        <v>0</v>
      </c>
      <c r="R110" s="58">
        <f t="shared" si="24"/>
        <v>0</v>
      </c>
      <c r="S110" s="79">
        <f t="shared" si="25"/>
        <v>0</v>
      </c>
      <c r="T110" s="34">
        <f t="shared" si="26"/>
        <v>0</v>
      </c>
      <c r="U110" s="1">
        <v>32</v>
      </c>
    </row>
    <row r="111" spans="1:22" ht="24" customHeight="1">
      <c r="A111" s="81">
        <v>61</v>
      </c>
      <c r="B111" s="121" t="s">
        <v>176</v>
      </c>
      <c r="C111" s="103" t="s">
        <v>210</v>
      </c>
      <c r="D111" s="31" t="s">
        <v>194</v>
      </c>
      <c r="E111" s="31" t="s">
        <v>212</v>
      </c>
      <c r="F111" s="104">
        <v>54280.5</v>
      </c>
      <c r="G111" s="104">
        <v>54280.5</v>
      </c>
      <c r="H111" s="118">
        <f t="shared" si="19"/>
        <v>0</v>
      </c>
      <c r="I111" s="110">
        <v>4375</v>
      </c>
      <c r="J111" s="111">
        <v>0</v>
      </c>
      <c r="K111" s="55">
        <f t="shared" si="20"/>
        <v>0</v>
      </c>
      <c r="L111" s="104">
        <v>54280.5</v>
      </c>
      <c r="M111" s="119">
        <f t="shared" si="21"/>
        <v>0</v>
      </c>
      <c r="N111" s="110">
        <v>4375</v>
      </c>
      <c r="O111" s="120">
        <f t="shared" si="22"/>
        <v>0</v>
      </c>
      <c r="P111" s="111">
        <v>0</v>
      </c>
      <c r="Q111" s="28">
        <f t="shared" si="23"/>
        <v>0</v>
      </c>
      <c r="R111" s="58">
        <f t="shared" si="24"/>
        <v>0</v>
      </c>
      <c r="S111" s="79">
        <f t="shared" si="25"/>
        <v>0</v>
      </c>
      <c r="T111" s="34">
        <f t="shared" si="26"/>
        <v>0</v>
      </c>
      <c r="U111" s="1">
        <v>20</v>
      </c>
    </row>
    <row r="112" spans="1:22" ht="24" customHeight="1">
      <c r="A112" s="81">
        <v>62</v>
      </c>
      <c r="B112" s="121" t="s">
        <v>177</v>
      </c>
      <c r="C112" s="103" t="s">
        <v>210</v>
      </c>
      <c r="D112" s="31" t="s">
        <v>194</v>
      </c>
      <c r="E112" s="31" t="s">
        <v>212</v>
      </c>
      <c r="F112" s="104">
        <v>53577</v>
      </c>
      <c r="G112" s="104">
        <v>53577</v>
      </c>
      <c r="H112" s="118">
        <f t="shared" si="19"/>
        <v>0</v>
      </c>
      <c r="I112" s="110">
        <v>4427</v>
      </c>
      <c r="J112" s="111">
        <v>0</v>
      </c>
      <c r="K112" s="55">
        <f t="shared" si="20"/>
        <v>0</v>
      </c>
      <c r="L112" s="104">
        <v>53577</v>
      </c>
      <c r="M112" s="119">
        <f t="shared" si="21"/>
        <v>0</v>
      </c>
      <c r="N112" s="110">
        <v>4427</v>
      </c>
      <c r="O112" s="120">
        <f t="shared" si="22"/>
        <v>0</v>
      </c>
      <c r="P112" s="111">
        <v>0</v>
      </c>
      <c r="Q112" s="28">
        <f t="shared" si="23"/>
        <v>0</v>
      </c>
      <c r="R112" s="58">
        <f t="shared" si="24"/>
        <v>0</v>
      </c>
      <c r="S112" s="79">
        <f t="shared" si="25"/>
        <v>0</v>
      </c>
      <c r="T112" s="34">
        <f t="shared" si="26"/>
        <v>0</v>
      </c>
      <c r="U112" s="1">
        <v>33</v>
      </c>
    </row>
    <row r="113" spans="1:21" ht="24" customHeight="1">
      <c r="A113" s="81">
        <v>63</v>
      </c>
      <c r="B113" s="121" t="s">
        <v>178</v>
      </c>
      <c r="C113" s="103" t="s">
        <v>210</v>
      </c>
      <c r="D113" s="31" t="s">
        <v>194</v>
      </c>
      <c r="E113" s="31" t="s">
        <v>212</v>
      </c>
      <c r="F113" s="104">
        <v>52110.5</v>
      </c>
      <c r="G113" s="104">
        <v>52110.5</v>
      </c>
      <c r="H113" s="118">
        <f t="shared" si="19"/>
        <v>0</v>
      </c>
      <c r="I113" s="110">
        <v>4167</v>
      </c>
      <c r="J113" s="111">
        <v>0</v>
      </c>
      <c r="K113" s="55">
        <f t="shared" si="20"/>
        <v>0</v>
      </c>
      <c r="L113" s="104">
        <v>52110.5</v>
      </c>
      <c r="M113" s="119">
        <f t="shared" si="21"/>
        <v>0</v>
      </c>
      <c r="N113" s="110">
        <v>4167</v>
      </c>
      <c r="O113" s="120">
        <f t="shared" si="22"/>
        <v>0</v>
      </c>
      <c r="P113" s="111">
        <v>0</v>
      </c>
      <c r="Q113" s="28">
        <f t="shared" si="23"/>
        <v>0</v>
      </c>
      <c r="R113" s="58">
        <f t="shared" si="24"/>
        <v>0</v>
      </c>
      <c r="S113" s="79">
        <f t="shared" si="25"/>
        <v>0</v>
      </c>
      <c r="T113" s="34">
        <f t="shared" si="26"/>
        <v>0</v>
      </c>
      <c r="U113" s="1">
        <v>32</v>
      </c>
    </row>
    <row r="114" spans="1:21" ht="24" customHeight="1">
      <c r="A114" s="81">
        <v>64</v>
      </c>
      <c r="B114" s="121" t="s">
        <v>179</v>
      </c>
      <c r="C114" s="103" t="s">
        <v>210</v>
      </c>
      <c r="D114" s="31" t="s">
        <v>194</v>
      </c>
      <c r="E114" s="31" t="s">
        <v>212</v>
      </c>
      <c r="F114" s="104">
        <v>52929.8</v>
      </c>
      <c r="G114" s="104">
        <v>52929.8</v>
      </c>
      <c r="H114" s="118">
        <f t="shared" si="19"/>
        <v>0</v>
      </c>
      <c r="I114" s="110">
        <v>4334</v>
      </c>
      <c r="J114" s="111">
        <v>0</v>
      </c>
      <c r="K114" s="55">
        <f t="shared" si="20"/>
        <v>0</v>
      </c>
      <c r="L114" s="104">
        <v>52929.8</v>
      </c>
      <c r="M114" s="119">
        <f t="shared" si="21"/>
        <v>0</v>
      </c>
      <c r="N114" s="110">
        <v>4334</v>
      </c>
      <c r="O114" s="120">
        <f t="shared" si="22"/>
        <v>0</v>
      </c>
      <c r="P114" s="111">
        <v>0</v>
      </c>
      <c r="Q114" s="28">
        <f t="shared" si="23"/>
        <v>0</v>
      </c>
      <c r="R114" s="58">
        <f t="shared" si="24"/>
        <v>0</v>
      </c>
      <c r="S114" s="79">
        <f t="shared" si="25"/>
        <v>0</v>
      </c>
      <c r="T114" s="34">
        <f t="shared" si="26"/>
        <v>0</v>
      </c>
      <c r="U114" s="1">
        <v>27</v>
      </c>
    </row>
    <row r="115" spans="1:21" ht="24" customHeight="1">
      <c r="A115" s="81">
        <v>65</v>
      </c>
      <c r="B115" s="121" t="s">
        <v>180</v>
      </c>
      <c r="C115" s="103" t="s">
        <v>210</v>
      </c>
      <c r="D115" s="31" t="s">
        <v>194</v>
      </c>
      <c r="E115" s="31" t="s">
        <v>212</v>
      </c>
      <c r="F115" s="104">
        <v>53301.3</v>
      </c>
      <c r="G115" s="104">
        <v>53301.3</v>
      </c>
      <c r="H115" s="118">
        <f t="shared" si="19"/>
        <v>0</v>
      </c>
      <c r="I115" s="110">
        <v>4276</v>
      </c>
      <c r="J115" s="111">
        <v>0</v>
      </c>
      <c r="K115" s="55">
        <f t="shared" si="20"/>
        <v>0</v>
      </c>
      <c r="L115" s="104">
        <v>53301.3</v>
      </c>
      <c r="M115" s="119">
        <f t="shared" si="21"/>
        <v>0</v>
      </c>
      <c r="N115" s="110">
        <v>4276</v>
      </c>
      <c r="O115" s="120">
        <f t="shared" si="22"/>
        <v>0</v>
      </c>
      <c r="P115" s="111">
        <v>0</v>
      </c>
      <c r="Q115" s="28">
        <f t="shared" si="23"/>
        <v>0</v>
      </c>
      <c r="R115" s="58">
        <f t="shared" si="24"/>
        <v>0</v>
      </c>
      <c r="S115" s="79">
        <f t="shared" si="25"/>
        <v>0</v>
      </c>
      <c r="T115" s="34">
        <f t="shared" si="26"/>
        <v>0</v>
      </c>
      <c r="U115" s="1">
        <v>34</v>
      </c>
    </row>
    <row r="116" spans="1:21" ht="24" customHeight="1">
      <c r="A116" s="81">
        <v>66</v>
      </c>
      <c r="B116" s="121" t="s">
        <v>110</v>
      </c>
      <c r="C116" s="103" t="s">
        <v>210</v>
      </c>
      <c r="D116" s="31" t="s">
        <v>194</v>
      </c>
      <c r="E116" s="31" t="s">
        <v>212</v>
      </c>
      <c r="F116" s="104">
        <v>36596.199999999997</v>
      </c>
      <c r="G116" s="104">
        <v>36596.199999999997</v>
      </c>
      <c r="H116" s="118">
        <f t="shared" si="19"/>
        <v>0</v>
      </c>
      <c r="I116" s="110">
        <v>2936</v>
      </c>
      <c r="J116" s="111">
        <v>0</v>
      </c>
      <c r="K116" s="55">
        <f t="shared" si="20"/>
        <v>0</v>
      </c>
      <c r="L116" s="104">
        <v>36596.199999999997</v>
      </c>
      <c r="M116" s="119">
        <f t="shared" si="21"/>
        <v>0</v>
      </c>
      <c r="N116" s="110">
        <v>2936</v>
      </c>
      <c r="O116" s="120">
        <f t="shared" si="22"/>
        <v>0</v>
      </c>
      <c r="P116" s="111">
        <v>0</v>
      </c>
      <c r="Q116" s="28">
        <f t="shared" si="23"/>
        <v>0</v>
      </c>
      <c r="R116" s="58">
        <f t="shared" si="24"/>
        <v>0</v>
      </c>
      <c r="S116" s="79">
        <f t="shared" si="25"/>
        <v>0</v>
      </c>
      <c r="T116" s="34">
        <f t="shared" si="26"/>
        <v>0</v>
      </c>
      <c r="U116" s="1">
        <v>32</v>
      </c>
    </row>
    <row r="117" spans="1:21" ht="22.2" customHeight="1">
      <c r="A117" s="123" t="s">
        <v>28</v>
      </c>
      <c r="B117" s="123"/>
      <c r="C117" s="123"/>
      <c r="D117" s="123"/>
      <c r="E117" s="123"/>
      <c r="F117" s="40"/>
      <c r="G117" s="123"/>
      <c r="H117" s="124">
        <f>SUM(H51:H116)</f>
        <v>0</v>
      </c>
      <c r="I117" s="125"/>
      <c r="J117" s="126">
        <f>SUM(J51:J116)</f>
        <v>0</v>
      </c>
      <c r="K117" s="39"/>
      <c r="L117" s="40"/>
      <c r="M117" s="40">
        <f>SUM(M51:M116)</f>
        <v>0</v>
      </c>
      <c r="N117" s="127"/>
      <c r="O117" s="128">
        <f>SUM(O51:O116)</f>
        <v>0</v>
      </c>
      <c r="P117" s="128">
        <f>SUM(P51:P116)</f>
        <v>0</v>
      </c>
      <c r="Q117" s="28">
        <f>IFERROR(M117/P117,0)</f>
        <v>0</v>
      </c>
      <c r="R117" s="129">
        <f>SUM(R51:R116)</f>
        <v>0</v>
      </c>
      <c r="S117" s="79">
        <f>J117+P117</f>
        <v>0</v>
      </c>
      <c r="T117" s="34">
        <f>IFERROR(R117/S117,0)</f>
        <v>0</v>
      </c>
      <c r="U117" s="130">
        <f>SUM(U51:U116)</f>
        <v>1669</v>
      </c>
    </row>
    <row r="118" spans="1:21" ht="22.2" customHeight="1" thickBot="1">
      <c r="A118" s="206" t="s">
        <v>111</v>
      </c>
      <c r="B118" s="207"/>
      <c r="C118" s="207"/>
      <c r="D118" s="207"/>
      <c r="E118" s="207"/>
      <c r="F118" s="207"/>
      <c r="G118" s="207"/>
      <c r="H118" s="207"/>
      <c r="I118" s="207"/>
      <c r="J118" s="207"/>
      <c r="K118" s="207"/>
      <c r="L118" s="207"/>
      <c r="M118" s="207"/>
      <c r="N118" s="207"/>
      <c r="O118" s="208"/>
      <c r="P118" s="131"/>
      <c r="Q118" s="132"/>
      <c r="R118" s="133"/>
    </row>
    <row r="119" spans="1:21" ht="22.2" customHeight="1">
      <c r="A119" s="209" t="s">
        <v>3</v>
      </c>
      <c r="B119" s="211" t="s">
        <v>4</v>
      </c>
      <c r="C119" s="174"/>
      <c r="D119" s="174"/>
      <c r="E119" s="174"/>
      <c r="F119" s="213" t="s">
        <v>5</v>
      </c>
      <c r="G119" s="214"/>
      <c r="H119" s="214"/>
      <c r="I119" s="214"/>
      <c r="J119" s="215"/>
      <c r="K119" s="216" t="s">
        <v>6</v>
      </c>
      <c r="L119" s="217"/>
      <c r="M119" s="217"/>
      <c r="N119" s="218"/>
      <c r="O119" s="48"/>
      <c r="P119" s="219" t="s">
        <v>7</v>
      </c>
      <c r="Q119" s="194" t="s">
        <v>8</v>
      </c>
      <c r="R119" s="37"/>
    </row>
    <row r="120" spans="1:21" ht="27.6" customHeight="1" thickBot="1">
      <c r="A120" s="210"/>
      <c r="B120" s="212"/>
      <c r="C120" s="173"/>
      <c r="D120" s="173"/>
      <c r="E120" s="173"/>
      <c r="F120" s="49" t="s">
        <v>11</v>
      </c>
      <c r="G120" s="49" t="s">
        <v>12</v>
      </c>
      <c r="H120" s="49" t="s">
        <v>13</v>
      </c>
      <c r="I120" s="6" t="s">
        <v>14</v>
      </c>
      <c r="J120" s="6" t="s">
        <v>8</v>
      </c>
      <c r="K120" s="49" t="s">
        <v>12</v>
      </c>
      <c r="L120" s="49" t="s">
        <v>13</v>
      </c>
      <c r="M120" s="49" t="s">
        <v>14</v>
      </c>
      <c r="N120" s="7" t="s">
        <v>8</v>
      </c>
      <c r="O120" s="50" t="s">
        <v>15</v>
      </c>
      <c r="P120" s="220"/>
      <c r="Q120" s="195"/>
      <c r="R120" s="37"/>
    </row>
    <row r="121" spans="1:21" ht="22.2" customHeight="1">
      <c r="A121" s="76">
        <v>1</v>
      </c>
      <c r="B121" s="186" t="s">
        <v>112</v>
      </c>
      <c r="C121" s="31"/>
      <c r="D121" s="31"/>
      <c r="E121" s="31"/>
      <c r="F121" s="35">
        <v>122082</v>
      </c>
      <c r="G121" s="35">
        <v>122313</v>
      </c>
      <c r="H121" s="17">
        <f>G121-F121</f>
        <v>231</v>
      </c>
      <c r="I121" s="33">
        <v>43</v>
      </c>
      <c r="J121" s="10">
        <f>IFERROR(I121/H121,0)</f>
        <v>0.18614718614718614</v>
      </c>
      <c r="K121" s="35">
        <v>122313</v>
      </c>
      <c r="L121" s="19">
        <f>K121-G121</f>
        <v>0</v>
      </c>
      <c r="M121" s="33">
        <v>0</v>
      </c>
      <c r="N121" s="28">
        <f t="shared" ref="N121:N142" si="27">IFERROR(M121/L121,0)</f>
        <v>0</v>
      </c>
      <c r="O121" s="18">
        <f t="shared" ref="O121:P142" si="28">H121+L121</f>
        <v>231</v>
      </c>
      <c r="P121" s="22">
        <f>I121+M121</f>
        <v>43</v>
      </c>
      <c r="Q121" s="71">
        <f>IFERROR(O121/P121,0)</f>
        <v>5.3720930232558137</v>
      </c>
      <c r="R121" s="37"/>
    </row>
    <row r="122" spans="1:21" ht="22.2" customHeight="1">
      <c r="A122" s="76">
        <v>2</v>
      </c>
      <c r="B122" s="186" t="s">
        <v>113</v>
      </c>
      <c r="C122" s="31"/>
      <c r="D122" s="31"/>
      <c r="E122" s="31"/>
      <c r="F122" s="35">
        <v>4298.33</v>
      </c>
      <c r="G122" s="35">
        <v>4298.33</v>
      </c>
      <c r="H122" s="17">
        <f t="shared" ref="H122:H142" si="29">G122-F122</f>
        <v>0</v>
      </c>
      <c r="I122" s="33">
        <v>0</v>
      </c>
      <c r="J122" s="10">
        <f t="shared" ref="J122:J142" si="30">IFERROR(I122/H122,0)</f>
        <v>0</v>
      </c>
      <c r="K122" s="35">
        <v>4313.32</v>
      </c>
      <c r="L122" s="19">
        <f>K122-G122</f>
        <v>14.989999999999782</v>
      </c>
      <c r="M122" s="33">
        <v>114</v>
      </c>
      <c r="N122" s="28">
        <f t="shared" si="27"/>
        <v>7.6050700466979091</v>
      </c>
      <c r="O122" s="18">
        <f t="shared" si="28"/>
        <v>14.989999999999782</v>
      </c>
      <c r="P122" s="22">
        <f t="shared" si="28"/>
        <v>114</v>
      </c>
      <c r="Q122" s="71">
        <f t="shared" ref="Q122:Q142" si="31">IFERROR(O122/P122,0)</f>
        <v>0.13149122807017352</v>
      </c>
      <c r="R122" s="134"/>
    </row>
    <row r="123" spans="1:21" ht="22.2" customHeight="1">
      <c r="A123" s="76">
        <v>3</v>
      </c>
      <c r="B123" s="186" t="s">
        <v>114</v>
      </c>
      <c r="C123" s="31"/>
      <c r="D123" s="31"/>
      <c r="E123" s="31"/>
      <c r="F123" s="35">
        <v>180.5</v>
      </c>
      <c r="G123" s="35">
        <v>180.5</v>
      </c>
      <c r="H123" s="17">
        <f t="shared" si="29"/>
        <v>0</v>
      </c>
      <c r="I123" s="33">
        <v>0</v>
      </c>
      <c r="J123" s="10">
        <f t="shared" si="30"/>
        <v>0</v>
      </c>
      <c r="K123" s="35">
        <v>180.5</v>
      </c>
      <c r="L123" s="19">
        <f t="shared" ref="L123:L141" si="32">K123-G123</f>
        <v>0</v>
      </c>
      <c r="M123" s="33">
        <v>0</v>
      </c>
      <c r="N123" s="28">
        <f t="shared" si="27"/>
        <v>0</v>
      </c>
      <c r="O123" s="18">
        <f t="shared" si="28"/>
        <v>0</v>
      </c>
      <c r="P123" s="22">
        <f t="shared" si="28"/>
        <v>0</v>
      </c>
      <c r="Q123" s="71">
        <f t="shared" si="31"/>
        <v>0</v>
      </c>
      <c r="R123" s="37"/>
    </row>
    <row r="124" spans="1:21" ht="22.2" customHeight="1">
      <c r="A124" s="76">
        <v>4</v>
      </c>
      <c r="B124" s="186" t="s">
        <v>115</v>
      </c>
      <c r="C124" s="31"/>
      <c r="D124" s="31"/>
      <c r="E124" s="31"/>
      <c r="F124" s="136">
        <v>141545</v>
      </c>
      <c r="G124" s="136">
        <v>141545</v>
      </c>
      <c r="H124" s="17">
        <f t="shared" si="29"/>
        <v>0</v>
      </c>
      <c r="I124" s="33">
        <v>0</v>
      </c>
      <c r="J124" s="10">
        <f t="shared" si="30"/>
        <v>0</v>
      </c>
      <c r="K124" s="136">
        <v>141895</v>
      </c>
      <c r="L124" s="19">
        <f t="shared" si="32"/>
        <v>350</v>
      </c>
      <c r="M124" s="33">
        <v>35</v>
      </c>
      <c r="N124" s="28">
        <f t="shared" si="27"/>
        <v>0.1</v>
      </c>
      <c r="O124" s="18">
        <f t="shared" si="28"/>
        <v>350</v>
      </c>
      <c r="P124" s="22">
        <f t="shared" si="28"/>
        <v>35</v>
      </c>
      <c r="Q124" s="71">
        <f t="shared" si="31"/>
        <v>10</v>
      </c>
      <c r="R124" s="137"/>
    </row>
    <row r="125" spans="1:21" ht="22.2" customHeight="1">
      <c r="A125" s="76">
        <v>5</v>
      </c>
      <c r="B125" s="186" t="s">
        <v>116</v>
      </c>
      <c r="C125" s="31"/>
      <c r="D125" s="31"/>
      <c r="E125" s="31"/>
      <c r="F125" s="35">
        <v>44558.9</v>
      </c>
      <c r="G125" s="35">
        <v>44558.9</v>
      </c>
      <c r="H125" s="17">
        <f t="shared" si="29"/>
        <v>0</v>
      </c>
      <c r="I125" s="33">
        <v>0</v>
      </c>
      <c r="J125" s="10">
        <f t="shared" si="30"/>
        <v>0</v>
      </c>
      <c r="K125" s="35">
        <v>44558.9</v>
      </c>
      <c r="L125" s="19">
        <f t="shared" si="32"/>
        <v>0</v>
      </c>
      <c r="M125" s="33">
        <v>0</v>
      </c>
      <c r="N125" s="28">
        <f t="shared" si="27"/>
        <v>0</v>
      </c>
      <c r="O125" s="18">
        <f t="shared" si="28"/>
        <v>0</v>
      </c>
      <c r="P125" s="22">
        <f t="shared" si="28"/>
        <v>0</v>
      </c>
      <c r="Q125" s="71">
        <f t="shared" si="31"/>
        <v>0</v>
      </c>
      <c r="R125" s="77"/>
    </row>
    <row r="126" spans="1:21" ht="22.2" customHeight="1">
      <c r="A126" s="76">
        <v>6</v>
      </c>
      <c r="B126" s="186" t="s">
        <v>117</v>
      </c>
      <c r="C126" s="31"/>
      <c r="D126" s="31"/>
      <c r="E126" s="31"/>
      <c r="F126" s="35">
        <v>100820</v>
      </c>
      <c r="G126" s="35">
        <v>100820</v>
      </c>
      <c r="H126" s="17">
        <f t="shared" si="29"/>
        <v>0</v>
      </c>
      <c r="I126" s="33">
        <v>0</v>
      </c>
      <c r="J126" s="10">
        <f t="shared" si="30"/>
        <v>0</v>
      </c>
      <c r="K126" s="35">
        <v>100820</v>
      </c>
      <c r="L126" s="19">
        <f t="shared" si="32"/>
        <v>0</v>
      </c>
      <c r="M126" s="33">
        <v>0</v>
      </c>
      <c r="N126" s="28">
        <f t="shared" si="27"/>
        <v>0</v>
      </c>
      <c r="O126" s="18">
        <f t="shared" si="28"/>
        <v>0</v>
      </c>
      <c r="P126" s="22">
        <f t="shared" si="28"/>
        <v>0</v>
      </c>
      <c r="Q126" s="71">
        <f t="shared" si="31"/>
        <v>0</v>
      </c>
      <c r="R126" s="37"/>
    </row>
    <row r="127" spans="1:21" ht="22.2" customHeight="1">
      <c r="A127" s="76">
        <v>7</v>
      </c>
      <c r="B127" s="186" t="s">
        <v>118</v>
      </c>
      <c r="C127" s="31"/>
      <c r="D127" s="31"/>
      <c r="E127" s="31"/>
      <c r="F127" s="35">
        <v>152282.79999999999</v>
      </c>
      <c r="G127" s="35">
        <v>152282.79999999999</v>
      </c>
      <c r="H127" s="17">
        <f t="shared" si="29"/>
        <v>0</v>
      </c>
      <c r="I127" s="33">
        <v>0</v>
      </c>
      <c r="J127" s="10">
        <f t="shared" si="30"/>
        <v>0</v>
      </c>
      <c r="K127" s="35">
        <v>152282.79999999999</v>
      </c>
      <c r="L127" s="19">
        <f t="shared" si="32"/>
        <v>0</v>
      </c>
      <c r="M127" s="33">
        <v>0</v>
      </c>
      <c r="N127" s="28">
        <f t="shared" si="27"/>
        <v>0</v>
      </c>
      <c r="O127" s="18">
        <f t="shared" si="28"/>
        <v>0</v>
      </c>
      <c r="P127" s="22">
        <f>I127+M127</f>
        <v>0</v>
      </c>
      <c r="Q127" s="71">
        <f t="shared" si="31"/>
        <v>0</v>
      </c>
      <c r="R127" s="37"/>
    </row>
    <row r="128" spans="1:21" ht="22.2" customHeight="1">
      <c r="A128" s="76">
        <v>8</v>
      </c>
      <c r="B128" s="187" t="s">
        <v>119</v>
      </c>
      <c r="C128" s="138"/>
      <c r="D128" s="138"/>
      <c r="E128" s="138"/>
      <c r="F128" s="136">
        <v>40766.5</v>
      </c>
      <c r="G128" s="136">
        <v>40766.5</v>
      </c>
      <c r="H128" s="17">
        <f t="shared" si="29"/>
        <v>0</v>
      </c>
      <c r="I128" s="33">
        <v>0</v>
      </c>
      <c r="J128" s="10">
        <f t="shared" si="30"/>
        <v>0</v>
      </c>
      <c r="K128" s="136">
        <v>40766.5</v>
      </c>
      <c r="L128" s="19">
        <f t="shared" si="32"/>
        <v>0</v>
      </c>
      <c r="M128" s="33">
        <v>0</v>
      </c>
      <c r="N128" s="28">
        <f t="shared" si="27"/>
        <v>0</v>
      </c>
      <c r="O128" s="18">
        <f t="shared" si="28"/>
        <v>0</v>
      </c>
      <c r="P128" s="22">
        <f>I128+M128</f>
        <v>0</v>
      </c>
      <c r="Q128" s="71">
        <f t="shared" si="31"/>
        <v>0</v>
      </c>
      <c r="R128" s="37"/>
    </row>
    <row r="129" spans="1:20" ht="22.2" customHeight="1">
      <c r="A129" s="76">
        <v>9</v>
      </c>
      <c r="B129" s="187" t="s">
        <v>120</v>
      </c>
      <c r="C129" s="138"/>
      <c r="D129" s="138"/>
      <c r="E129" s="138"/>
      <c r="F129" s="35">
        <v>33988</v>
      </c>
      <c r="G129" s="35">
        <v>33988</v>
      </c>
      <c r="H129" s="17">
        <f t="shared" si="29"/>
        <v>0</v>
      </c>
      <c r="I129" s="33">
        <v>0</v>
      </c>
      <c r="J129" s="10">
        <f t="shared" si="30"/>
        <v>0</v>
      </c>
      <c r="K129" s="35">
        <v>33988</v>
      </c>
      <c r="L129" s="19">
        <f t="shared" si="32"/>
        <v>0</v>
      </c>
      <c r="M129" s="33">
        <v>0</v>
      </c>
      <c r="N129" s="28">
        <f t="shared" si="27"/>
        <v>0</v>
      </c>
      <c r="O129" s="18">
        <f t="shared" si="28"/>
        <v>0</v>
      </c>
      <c r="P129" s="22">
        <f t="shared" si="28"/>
        <v>0</v>
      </c>
      <c r="Q129" s="71">
        <f t="shared" si="31"/>
        <v>0</v>
      </c>
      <c r="R129" s="37"/>
    </row>
    <row r="130" spans="1:20" ht="22.2" customHeight="1">
      <c r="A130" s="76">
        <v>10</v>
      </c>
      <c r="B130" s="186" t="s">
        <v>121</v>
      </c>
      <c r="C130" s="31"/>
      <c r="D130" s="31"/>
      <c r="E130" s="31"/>
      <c r="F130" s="35">
        <v>156564</v>
      </c>
      <c r="G130" s="35">
        <v>156864</v>
      </c>
      <c r="H130" s="17">
        <f t="shared" si="29"/>
        <v>300</v>
      </c>
      <c r="I130" s="33">
        <v>36</v>
      </c>
      <c r="J130" s="10">
        <f t="shared" si="30"/>
        <v>0.12</v>
      </c>
      <c r="K130" s="35">
        <v>156864</v>
      </c>
      <c r="L130" s="19">
        <f t="shared" si="32"/>
        <v>0</v>
      </c>
      <c r="M130" s="33">
        <v>0</v>
      </c>
      <c r="N130" s="28">
        <f t="shared" si="27"/>
        <v>0</v>
      </c>
      <c r="O130" s="18">
        <f t="shared" si="28"/>
        <v>300</v>
      </c>
      <c r="P130" s="22">
        <f t="shared" si="28"/>
        <v>36</v>
      </c>
      <c r="Q130" s="71">
        <f t="shared" si="31"/>
        <v>8.3333333333333339</v>
      </c>
      <c r="R130" s="137"/>
    </row>
    <row r="131" spans="1:20" ht="23.4" customHeight="1">
      <c r="A131" s="76">
        <v>11</v>
      </c>
      <c r="B131" s="187" t="s">
        <v>122</v>
      </c>
      <c r="C131" s="138"/>
      <c r="D131" s="138"/>
      <c r="E131" s="138"/>
      <c r="F131" s="35">
        <v>36866</v>
      </c>
      <c r="G131" s="35">
        <v>36866</v>
      </c>
      <c r="H131" s="17">
        <f t="shared" si="29"/>
        <v>0</v>
      </c>
      <c r="I131" s="33">
        <v>0</v>
      </c>
      <c r="J131" s="10">
        <f t="shared" si="30"/>
        <v>0</v>
      </c>
      <c r="K131" s="35">
        <v>36866</v>
      </c>
      <c r="L131" s="19">
        <f t="shared" si="32"/>
        <v>0</v>
      </c>
      <c r="M131" s="33">
        <v>0</v>
      </c>
      <c r="N131" s="28">
        <f t="shared" si="27"/>
        <v>0</v>
      </c>
      <c r="O131" s="18">
        <f t="shared" si="28"/>
        <v>0</v>
      </c>
      <c r="P131" s="22">
        <f t="shared" si="28"/>
        <v>0</v>
      </c>
      <c r="Q131" s="71">
        <f t="shared" si="31"/>
        <v>0</v>
      </c>
      <c r="R131" s="37"/>
      <c r="T131" s="38"/>
    </row>
    <row r="132" spans="1:20" ht="22.2" customHeight="1">
      <c r="A132" s="76">
        <v>12</v>
      </c>
      <c r="B132" s="187" t="s">
        <v>123</v>
      </c>
      <c r="C132" s="138"/>
      <c r="D132" s="138"/>
      <c r="E132" s="138"/>
      <c r="F132" s="35">
        <v>16649</v>
      </c>
      <c r="G132" s="35">
        <v>16649</v>
      </c>
      <c r="H132" s="17">
        <f t="shared" si="29"/>
        <v>0</v>
      </c>
      <c r="I132" s="33">
        <v>0</v>
      </c>
      <c r="J132" s="78">
        <f t="shared" si="30"/>
        <v>0</v>
      </c>
      <c r="K132" s="35">
        <v>16649</v>
      </c>
      <c r="L132" s="19">
        <f t="shared" si="32"/>
        <v>0</v>
      </c>
      <c r="M132" s="33">
        <v>0</v>
      </c>
      <c r="N132" s="28">
        <f t="shared" si="27"/>
        <v>0</v>
      </c>
      <c r="O132" s="18">
        <f t="shared" si="28"/>
        <v>0</v>
      </c>
      <c r="P132" s="79">
        <f t="shared" si="28"/>
        <v>0</v>
      </c>
      <c r="Q132" s="71">
        <f t="shared" si="31"/>
        <v>0</v>
      </c>
      <c r="R132" s="37"/>
      <c r="T132" s="45"/>
    </row>
    <row r="133" spans="1:20" ht="21.6" customHeight="1">
      <c r="A133" s="76">
        <v>13</v>
      </c>
      <c r="B133" s="171" t="s">
        <v>124</v>
      </c>
      <c r="C133" s="138"/>
      <c r="D133" s="138"/>
      <c r="E133" s="138"/>
      <c r="F133" s="35">
        <v>890.2</v>
      </c>
      <c r="G133" s="35">
        <v>890.2</v>
      </c>
      <c r="H133" s="17">
        <f t="shared" si="29"/>
        <v>0</v>
      </c>
      <c r="I133" s="35">
        <v>0</v>
      </c>
      <c r="J133" s="78">
        <f t="shared" si="30"/>
        <v>0</v>
      </c>
      <c r="K133" s="35">
        <v>890.2</v>
      </c>
      <c r="L133" s="19">
        <f t="shared" si="32"/>
        <v>0</v>
      </c>
      <c r="M133" s="35">
        <v>0</v>
      </c>
      <c r="N133" s="28">
        <f t="shared" si="27"/>
        <v>0</v>
      </c>
      <c r="O133" s="18">
        <f t="shared" si="28"/>
        <v>0</v>
      </c>
      <c r="P133" s="79">
        <f t="shared" si="28"/>
        <v>0</v>
      </c>
      <c r="Q133" s="71">
        <f t="shared" si="31"/>
        <v>0</v>
      </c>
      <c r="R133" s="37"/>
      <c r="T133" s="45"/>
    </row>
    <row r="134" spans="1:20" ht="21.6" customHeight="1">
      <c r="A134" s="76">
        <v>14</v>
      </c>
      <c r="B134" s="171" t="s">
        <v>174</v>
      </c>
      <c r="C134" s="138"/>
      <c r="D134" s="138"/>
      <c r="E134" s="138"/>
      <c r="F134" s="35">
        <v>3066</v>
      </c>
      <c r="G134" s="35">
        <v>3066</v>
      </c>
      <c r="H134" s="17">
        <f t="shared" si="29"/>
        <v>0</v>
      </c>
      <c r="I134" s="35">
        <v>0</v>
      </c>
      <c r="J134" s="78">
        <f t="shared" si="30"/>
        <v>0</v>
      </c>
      <c r="K134" s="35">
        <v>3066</v>
      </c>
      <c r="L134" s="19">
        <f t="shared" si="32"/>
        <v>0</v>
      </c>
      <c r="M134" s="141">
        <v>0</v>
      </c>
      <c r="N134" s="28">
        <f t="shared" si="27"/>
        <v>0</v>
      </c>
      <c r="O134" s="18">
        <f t="shared" si="28"/>
        <v>0</v>
      </c>
      <c r="P134" s="79">
        <f t="shared" si="28"/>
        <v>0</v>
      </c>
      <c r="Q134" s="71">
        <f t="shared" si="31"/>
        <v>0</v>
      </c>
      <c r="R134" s="37"/>
      <c r="T134" s="45"/>
    </row>
    <row r="135" spans="1:20" ht="25.2" customHeight="1">
      <c r="A135" s="76">
        <v>15</v>
      </c>
      <c r="B135" s="187" t="s">
        <v>127</v>
      </c>
      <c r="C135" s="138"/>
      <c r="D135" s="138"/>
      <c r="E135" s="138"/>
      <c r="F135" s="35">
        <v>0</v>
      </c>
      <c r="G135" s="35">
        <v>0</v>
      </c>
      <c r="H135" s="17">
        <f t="shared" si="29"/>
        <v>0</v>
      </c>
      <c r="I135" s="33">
        <v>0</v>
      </c>
      <c r="J135" s="78">
        <f t="shared" si="30"/>
        <v>0</v>
      </c>
      <c r="K135" s="35">
        <v>0</v>
      </c>
      <c r="L135" s="19">
        <f t="shared" si="32"/>
        <v>0</v>
      </c>
      <c r="M135" s="33">
        <v>0</v>
      </c>
      <c r="N135" s="28">
        <f t="shared" si="27"/>
        <v>0</v>
      </c>
      <c r="O135" s="18">
        <f t="shared" si="28"/>
        <v>0</v>
      </c>
      <c r="P135" s="79">
        <f t="shared" si="28"/>
        <v>0</v>
      </c>
      <c r="Q135" s="71">
        <f t="shared" si="31"/>
        <v>0</v>
      </c>
      <c r="R135" s="77"/>
      <c r="T135" s="45"/>
    </row>
    <row r="136" spans="1:20" ht="25.2" customHeight="1">
      <c r="A136" s="76">
        <v>16</v>
      </c>
      <c r="B136" s="187" t="s">
        <v>183</v>
      </c>
      <c r="C136" s="138"/>
      <c r="D136" s="138"/>
      <c r="E136" s="138"/>
      <c r="F136" s="35">
        <v>295805</v>
      </c>
      <c r="G136" s="35">
        <v>295805</v>
      </c>
      <c r="H136" s="17">
        <f t="shared" si="29"/>
        <v>0</v>
      </c>
      <c r="I136" s="33">
        <v>0</v>
      </c>
      <c r="J136" s="78">
        <f t="shared" si="30"/>
        <v>0</v>
      </c>
      <c r="K136" s="35">
        <v>295805</v>
      </c>
      <c r="L136" s="19">
        <f t="shared" si="32"/>
        <v>0</v>
      </c>
      <c r="M136" s="33">
        <v>0</v>
      </c>
      <c r="N136" s="28">
        <f t="shared" si="27"/>
        <v>0</v>
      </c>
      <c r="O136" s="18">
        <f t="shared" si="28"/>
        <v>0</v>
      </c>
      <c r="P136" s="79">
        <f t="shared" si="28"/>
        <v>0</v>
      </c>
      <c r="Q136" s="71">
        <f t="shared" si="31"/>
        <v>0</v>
      </c>
      <c r="R136" s="77"/>
      <c r="T136" s="45"/>
    </row>
    <row r="137" spans="1:20" ht="25.2" customHeight="1">
      <c r="A137" s="76">
        <v>17</v>
      </c>
      <c r="B137" s="187" t="s">
        <v>184</v>
      </c>
      <c r="C137" s="138"/>
      <c r="D137" s="138"/>
      <c r="E137" s="138"/>
      <c r="F137" s="35">
        <v>77139.3</v>
      </c>
      <c r="G137" s="35">
        <v>77139.3</v>
      </c>
      <c r="H137" s="17">
        <f t="shared" si="29"/>
        <v>0</v>
      </c>
      <c r="I137" s="33">
        <v>0</v>
      </c>
      <c r="J137" s="78">
        <f t="shared" si="30"/>
        <v>0</v>
      </c>
      <c r="K137" s="35">
        <v>77139.3</v>
      </c>
      <c r="L137" s="19">
        <f t="shared" si="32"/>
        <v>0</v>
      </c>
      <c r="M137" s="33">
        <v>0</v>
      </c>
      <c r="N137" s="28">
        <f t="shared" si="27"/>
        <v>0</v>
      </c>
      <c r="O137" s="18">
        <f t="shared" si="28"/>
        <v>0</v>
      </c>
      <c r="P137" s="79">
        <f t="shared" si="28"/>
        <v>0</v>
      </c>
      <c r="Q137" s="71">
        <f t="shared" si="31"/>
        <v>0</v>
      </c>
      <c r="R137" s="77"/>
      <c r="T137" s="45"/>
    </row>
    <row r="138" spans="1:20" ht="25.2" customHeight="1">
      <c r="A138" s="76">
        <v>18</v>
      </c>
      <c r="B138" s="187" t="s">
        <v>185</v>
      </c>
      <c r="C138" s="138"/>
      <c r="D138" s="138"/>
      <c r="E138" s="138"/>
      <c r="F138" s="35">
        <v>113495.8</v>
      </c>
      <c r="G138" s="35">
        <v>113495.8</v>
      </c>
      <c r="H138" s="17">
        <f t="shared" si="29"/>
        <v>0</v>
      </c>
      <c r="I138" s="33">
        <v>0</v>
      </c>
      <c r="J138" s="78">
        <f t="shared" si="30"/>
        <v>0</v>
      </c>
      <c r="K138" s="35">
        <v>113495.8</v>
      </c>
      <c r="L138" s="19">
        <f t="shared" si="32"/>
        <v>0</v>
      </c>
      <c r="M138" s="33">
        <v>0</v>
      </c>
      <c r="N138" s="28">
        <f t="shared" si="27"/>
        <v>0</v>
      </c>
      <c r="O138" s="18">
        <f t="shared" si="28"/>
        <v>0</v>
      </c>
      <c r="P138" s="79">
        <f t="shared" si="28"/>
        <v>0</v>
      </c>
      <c r="Q138" s="71">
        <f t="shared" si="31"/>
        <v>0</v>
      </c>
      <c r="R138" s="77"/>
      <c r="T138" s="45"/>
    </row>
    <row r="139" spans="1:20" ht="25.2" customHeight="1">
      <c r="A139" s="76">
        <v>19</v>
      </c>
      <c r="B139" s="187" t="s">
        <v>187</v>
      </c>
      <c r="C139" s="138"/>
      <c r="D139" s="138"/>
      <c r="E139" s="138"/>
      <c r="F139" s="35">
        <v>59801.4</v>
      </c>
      <c r="G139" s="35">
        <v>59801.4</v>
      </c>
      <c r="H139" s="35">
        <f t="shared" si="29"/>
        <v>0</v>
      </c>
      <c r="I139" s="33">
        <v>0</v>
      </c>
      <c r="J139" s="78">
        <f t="shared" si="30"/>
        <v>0</v>
      </c>
      <c r="K139" s="35">
        <v>59801.4</v>
      </c>
      <c r="L139" s="56">
        <f t="shared" si="32"/>
        <v>0</v>
      </c>
      <c r="M139" s="33">
        <v>0</v>
      </c>
      <c r="N139" s="28">
        <f t="shared" si="27"/>
        <v>0</v>
      </c>
      <c r="O139" s="84">
        <f t="shared" si="28"/>
        <v>0</v>
      </c>
      <c r="P139" s="79">
        <f t="shared" si="28"/>
        <v>0</v>
      </c>
      <c r="Q139" s="34">
        <f t="shared" si="31"/>
        <v>0</v>
      </c>
      <c r="R139" s="77"/>
      <c r="T139" s="45"/>
    </row>
    <row r="140" spans="1:20" ht="25.2" customHeight="1">
      <c r="A140" s="76">
        <v>20</v>
      </c>
      <c r="B140" s="187" t="s">
        <v>188</v>
      </c>
      <c r="C140" s="138"/>
      <c r="D140" s="138"/>
      <c r="E140" s="138"/>
      <c r="F140" s="35">
        <v>485627</v>
      </c>
      <c r="G140" s="35">
        <v>485627</v>
      </c>
      <c r="H140" s="35">
        <f t="shared" si="29"/>
        <v>0</v>
      </c>
      <c r="I140" s="33">
        <v>0</v>
      </c>
      <c r="J140" s="78">
        <f t="shared" si="30"/>
        <v>0</v>
      </c>
      <c r="K140" s="35">
        <v>485627</v>
      </c>
      <c r="L140" s="56">
        <f t="shared" si="32"/>
        <v>0</v>
      </c>
      <c r="M140" s="33">
        <v>0</v>
      </c>
      <c r="N140" s="28">
        <f t="shared" si="27"/>
        <v>0</v>
      </c>
      <c r="O140" s="84">
        <f t="shared" si="28"/>
        <v>0</v>
      </c>
      <c r="P140" s="79">
        <f t="shared" si="28"/>
        <v>0</v>
      </c>
      <c r="Q140" s="34">
        <f t="shared" si="31"/>
        <v>0</v>
      </c>
      <c r="R140" s="77"/>
      <c r="T140" s="45"/>
    </row>
    <row r="141" spans="1:20" ht="25.2" customHeight="1">
      <c r="A141" s="76">
        <v>21</v>
      </c>
      <c r="B141" s="187" t="s">
        <v>189</v>
      </c>
      <c r="C141" s="138"/>
      <c r="D141" s="138"/>
      <c r="E141" s="138"/>
      <c r="F141" s="35">
        <v>46458.2</v>
      </c>
      <c r="G141" s="35">
        <v>46458.2</v>
      </c>
      <c r="H141" s="35">
        <f t="shared" si="29"/>
        <v>0</v>
      </c>
      <c r="I141" s="33">
        <v>0</v>
      </c>
      <c r="J141" s="78">
        <f t="shared" si="30"/>
        <v>0</v>
      </c>
      <c r="K141" s="35">
        <v>46458.2</v>
      </c>
      <c r="L141" s="56">
        <f t="shared" si="32"/>
        <v>0</v>
      </c>
      <c r="M141" s="33">
        <v>0</v>
      </c>
      <c r="N141" s="28">
        <f t="shared" si="27"/>
        <v>0</v>
      </c>
      <c r="O141" s="84">
        <f t="shared" si="28"/>
        <v>0</v>
      </c>
      <c r="P141" s="79">
        <f t="shared" si="28"/>
        <v>0</v>
      </c>
      <c r="Q141" s="34">
        <f t="shared" si="31"/>
        <v>0</v>
      </c>
      <c r="R141" s="77"/>
      <c r="T141" s="45"/>
    </row>
    <row r="142" spans="1:20" ht="25.2" customHeight="1">
      <c r="A142" s="144">
        <v>22</v>
      </c>
      <c r="B142" s="187" t="s">
        <v>213</v>
      </c>
      <c r="C142" s="138"/>
      <c r="D142" s="138"/>
      <c r="E142" s="138"/>
      <c r="F142" s="35">
        <v>99823.4</v>
      </c>
      <c r="G142" s="35">
        <v>99823.4</v>
      </c>
      <c r="H142" s="35">
        <f t="shared" si="29"/>
        <v>0</v>
      </c>
      <c r="I142" s="33">
        <v>0</v>
      </c>
      <c r="J142" s="78">
        <f t="shared" si="30"/>
        <v>0</v>
      </c>
      <c r="K142" s="35">
        <v>99823.4</v>
      </c>
      <c r="L142" s="35">
        <v>99823.4</v>
      </c>
      <c r="M142" s="33">
        <v>0</v>
      </c>
      <c r="N142" s="28">
        <f t="shared" si="27"/>
        <v>0</v>
      </c>
      <c r="O142" s="84">
        <f t="shared" si="28"/>
        <v>99823.4</v>
      </c>
      <c r="P142" s="79">
        <f t="shared" si="28"/>
        <v>0</v>
      </c>
      <c r="Q142" s="34">
        <f t="shared" si="31"/>
        <v>0</v>
      </c>
      <c r="R142" s="77"/>
      <c r="T142" s="45"/>
    </row>
    <row r="143" spans="1:20" ht="18">
      <c r="A143" s="196" t="s">
        <v>28</v>
      </c>
      <c r="B143" s="197"/>
      <c r="C143" s="175"/>
      <c r="D143" s="175"/>
      <c r="E143" s="175"/>
      <c r="F143" s="123"/>
      <c r="G143" s="123"/>
      <c r="H143" s="40">
        <f>SUM(H121:H142)</f>
        <v>531</v>
      </c>
      <c r="I143" s="40">
        <f>SUM(I121:I142)</f>
        <v>79</v>
      </c>
      <c r="J143" s="39"/>
      <c r="K143" s="39"/>
      <c r="L143" s="40">
        <f>SUM(L121:L142)</f>
        <v>100188.39</v>
      </c>
      <c r="M143" s="40">
        <f>SUM(M121:M142)</f>
        <v>149</v>
      </c>
      <c r="N143" s="145"/>
      <c r="O143" s="146">
        <f>SUM(O121:O142)</f>
        <v>100719.39</v>
      </c>
      <c r="P143" s="147">
        <f>SUM(P121:P142)</f>
        <v>228</v>
      </c>
      <c r="Q143" s="34"/>
      <c r="R143" s="37"/>
      <c r="S143" s="72"/>
    </row>
    <row r="144" spans="1:20" ht="21.6" thickBot="1">
      <c r="A144" s="148"/>
      <c r="B144" s="149"/>
      <c r="C144" s="149"/>
      <c r="D144" s="149"/>
      <c r="E144" s="149"/>
      <c r="F144" s="149"/>
      <c r="G144" s="149"/>
      <c r="H144" s="149" t="s">
        <v>139</v>
      </c>
      <c r="I144" s="150">
        <f>I19+I25+I34+I40+I47+J117+I143</f>
        <v>443</v>
      </c>
      <c r="J144" s="149"/>
      <c r="K144" s="149"/>
      <c r="L144" s="151" t="s">
        <v>140</v>
      </c>
      <c r="M144" s="150">
        <f>M19+M25+M34+M40+M47+P117+M143</f>
        <v>149</v>
      </c>
      <c r="N144" s="198" t="s">
        <v>141</v>
      </c>
      <c r="O144" s="198"/>
      <c r="P144" s="198"/>
      <c r="Q144" s="198"/>
      <c r="R144" s="152"/>
    </row>
    <row r="145" spans="1:19" ht="15">
      <c r="B145" s="153"/>
      <c r="C145" s="153"/>
      <c r="D145" s="153"/>
      <c r="E145" s="153"/>
      <c r="F145" s="152"/>
      <c r="G145" s="152"/>
      <c r="H145" s="152"/>
      <c r="I145" s="152"/>
      <c r="J145" s="152"/>
      <c r="K145" s="152"/>
      <c r="L145" s="152"/>
      <c r="M145" s="154"/>
      <c r="N145" s="155" t="s">
        <v>142</v>
      </c>
      <c r="O145" s="199">
        <f>Q2</f>
        <v>46225</v>
      </c>
      <c r="P145" s="200"/>
      <c r="Q145" s="156"/>
      <c r="R145" s="157">
        <f>P143-Q151</f>
        <v>228</v>
      </c>
    </row>
    <row r="146" spans="1:19" ht="18">
      <c r="B146" s="158" t="s">
        <v>143</v>
      </c>
      <c r="C146" s="158"/>
      <c r="D146" s="158"/>
      <c r="E146" s="158"/>
      <c r="F146" s="159">
        <f>I144</f>
        <v>443</v>
      </c>
      <c r="G146" s="160"/>
      <c r="H146" s="160"/>
      <c r="I146" s="159"/>
      <c r="J146" s="160"/>
      <c r="K146" s="160"/>
      <c r="L146" s="160"/>
      <c r="M146" s="45"/>
      <c r="N146" s="188" t="s">
        <v>144</v>
      </c>
      <c r="O146" s="189"/>
      <c r="P146" s="190"/>
      <c r="Q146" s="161">
        <f>S117</f>
        <v>0</v>
      </c>
      <c r="R146" s="152"/>
    </row>
    <row r="147" spans="1:19" ht="18">
      <c r="B147" s="158" t="s">
        <v>145</v>
      </c>
      <c r="C147" s="158"/>
      <c r="D147" s="158"/>
      <c r="E147" s="158"/>
      <c r="F147" s="159">
        <f>M144</f>
        <v>149</v>
      </c>
      <c r="G147" s="160"/>
      <c r="H147" s="160"/>
      <c r="I147" s="159"/>
      <c r="J147" s="159"/>
      <c r="K147" s="160"/>
      <c r="L147" s="160"/>
      <c r="M147" s="45"/>
      <c r="N147" s="188" t="s">
        <v>146</v>
      </c>
      <c r="O147" s="189"/>
      <c r="P147" s="190"/>
      <c r="Q147" s="161">
        <f>P19</f>
        <v>364</v>
      </c>
      <c r="R147" s="152"/>
    </row>
    <row r="148" spans="1:19" ht="18">
      <c r="B148" s="158" t="s">
        <v>28</v>
      </c>
      <c r="C148" s="158"/>
      <c r="D148" s="158"/>
      <c r="E148" s="158"/>
      <c r="F148" s="159">
        <f>F146+F147</f>
        <v>592</v>
      </c>
      <c r="G148" s="160"/>
      <c r="H148" s="160"/>
      <c r="I148" s="160"/>
      <c r="J148" s="159"/>
      <c r="K148" s="160"/>
      <c r="L148" s="160"/>
      <c r="N148" s="188" t="s">
        <v>147</v>
      </c>
      <c r="O148" s="189"/>
      <c r="P148" s="190"/>
      <c r="Q148" s="161">
        <f>P34</f>
        <v>0</v>
      </c>
    </row>
    <row r="149" spans="1:19" ht="18">
      <c r="F149" s="45"/>
      <c r="G149" s="45"/>
      <c r="H149" s="45"/>
      <c r="I149" s="45"/>
      <c r="J149" s="45"/>
      <c r="K149" s="160" t="s">
        <v>94</v>
      </c>
      <c r="L149" s="45"/>
      <c r="N149" s="188" t="s">
        <v>148</v>
      </c>
      <c r="O149" s="189"/>
      <c r="P149" s="190"/>
      <c r="Q149" s="161">
        <f>P40</f>
        <v>0</v>
      </c>
    </row>
    <row r="150" spans="1:19" ht="25.2" customHeight="1">
      <c r="B150" s="162" t="s">
        <v>149</v>
      </c>
      <c r="C150" s="162"/>
      <c r="D150" s="162"/>
      <c r="E150" s="162"/>
      <c r="F150" s="193"/>
      <c r="G150" s="193"/>
      <c r="H150" s="193"/>
      <c r="I150" s="193"/>
      <c r="J150" s="193"/>
      <c r="K150" s="193"/>
      <c r="L150" s="193"/>
      <c r="M150" s="193"/>
      <c r="N150" s="188" t="s">
        <v>150</v>
      </c>
      <c r="O150" s="189"/>
      <c r="P150" s="190"/>
      <c r="Q150" s="161">
        <f>P47</f>
        <v>0</v>
      </c>
    </row>
    <row r="151" spans="1:19" ht="18">
      <c r="F151" s="45"/>
      <c r="G151" s="45"/>
      <c r="H151" s="26"/>
      <c r="I151" s="26"/>
      <c r="J151" s="45"/>
      <c r="K151" s="160"/>
      <c r="L151" s="45"/>
      <c r="N151" s="188" t="s">
        <v>151</v>
      </c>
      <c r="O151" s="189"/>
      <c r="P151" s="190"/>
      <c r="Q151" s="161">
        <f>P125+P126+P127+P128</f>
        <v>0</v>
      </c>
    </row>
    <row r="152" spans="1:19" ht="18">
      <c r="H152" s="38"/>
      <c r="I152" s="45"/>
      <c r="J152" s="45"/>
      <c r="K152" s="160"/>
      <c r="L152" s="45"/>
      <c r="N152" s="188" t="s">
        <v>152</v>
      </c>
      <c r="O152" s="189"/>
      <c r="P152" s="190"/>
      <c r="Q152" s="161">
        <f>R145</f>
        <v>228</v>
      </c>
    </row>
    <row r="153" spans="1:19" ht="18.600000000000001" thickBot="1">
      <c r="F153" s="38"/>
      <c r="G153" s="38"/>
      <c r="J153" s="163"/>
      <c r="K153" s="160"/>
      <c r="N153" s="188" t="s">
        <v>153</v>
      </c>
      <c r="O153" s="189"/>
      <c r="P153" s="190"/>
      <c r="Q153" s="164">
        <f>P25</f>
        <v>0</v>
      </c>
      <c r="S153" s="38"/>
    </row>
    <row r="154" spans="1:19" ht="16.8" thickBot="1">
      <c r="F154" s="38"/>
      <c r="G154" s="38"/>
      <c r="H154" s="38"/>
      <c r="I154" s="38"/>
      <c r="K154" s="38"/>
      <c r="N154" s="191" t="s">
        <v>154</v>
      </c>
      <c r="O154" s="192"/>
      <c r="P154" s="192"/>
      <c r="Q154" s="165">
        <f>SUM(Q146:Q153)</f>
        <v>592</v>
      </c>
    </row>
    <row r="155" spans="1:19">
      <c r="F155" s="38"/>
      <c r="G155" s="38"/>
      <c r="H155" s="159"/>
      <c r="I155" s="159"/>
      <c r="K155" s="38"/>
      <c r="L155" s="38"/>
    </row>
    <row r="156" spans="1:19">
      <c r="F156" s="38"/>
      <c r="G156" s="38"/>
      <c r="H156" s="38"/>
      <c r="I156" s="38"/>
      <c r="K156" s="160"/>
    </row>
    <row r="157" spans="1:19">
      <c r="A157" s="159"/>
      <c r="B157" s="159"/>
      <c r="C157" s="159"/>
      <c r="D157" s="159"/>
      <c r="E157" s="159"/>
      <c r="F157" s="159"/>
      <c r="G157" s="159"/>
      <c r="H157" s="159"/>
      <c r="I157" s="159"/>
      <c r="J157" s="38"/>
      <c r="K157" s="38"/>
      <c r="Q157" s="45"/>
    </row>
    <row r="158" spans="1:19">
      <c r="A158" s="159"/>
    </row>
  </sheetData>
  <mergeCells count="72">
    <mergeCell ref="A1:Q1"/>
    <mergeCell ref="A2:O2"/>
    <mergeCell ref="A3:A4"/>
    <mergeCell ref="B3:B4"/>
    <mergeCell ref="F3:J3"/>
    <mergeCell ref="K3:O3"/>
    <mergeCell ref="P3:P4"/>
    <mergeCell ref="Q3:Q4"/>
    <mergeCell ref="R3:R4"/>
    <mergeCell ref="S3:S4"/>
    <mergeCell ref="A19:B19"/>
    <mergeCell ref="A20:O20"/>
    <mergeCell ref="A21:A22"/>
    <mergeCell ref="B21:B22"/>
    <mergeCell ref="F21:J21"/>
    <mergeCell ref="K21:N21"/>
    <mergeCell ref="P21:P22"/>
    <mergeCell ref="Q21:Q22"/>
    <mergeCell ref="A25:B25"/>
    <mergeCell ref="A26:O26"/>
    <mergeCell ref="A27:A28"/>
    <mergeCell ref="B27:B28"/>
    <mergeCell ref="F27:J27"/>
    <mergeCell ref="K27:N27"/>
    <mergeCell ref="P27:P28"/>
    <mergeCell ref="Q27:Q28"/>
    <mergeCell ref="A34:B34"/>
    <mergeCell ref="A35:O35"/>
    <mergeCell ref="A36:A37"/>
    <mergeCell ref="B36:B37"/>
    <mergeCell ref="F36:J36"/>
    <mergeCell ref="K36:N36"/>
    <mergeCell ref="P36:P37"/>
    <mergeCell ref="Q36:Q37"/>
    <mergeCell ref="A40:B40"/>
    <mergeCell ref="A41:O41"/>
    <mergeCell ref="A42:A43"/>
    <mergeCell ref="B42:B43"/>
    <mergeCell ref="F42:J42"/>
    <mergeCell ref="K42:N42"/>
    <mergeCell ref="P42:P43"/>
    <mergeCell ref="Q42:Q43"/>
    <mergeCell ref="A47:B47"/>
    <mergeCell ref="A48:O48"/>
    <mergeCell ref="A49:A50"/>
    <mergeCell ref="B49:B50"/>
    <mergeCell ref="F49:K49"/>
    <mergeCell ref="L49:Q49"/>
    <mergeCell ref="N147:P147"/>
    <mergeCell ref="R49:R50"/>
    <mergeCell ref="S49:S50"/>
    <mergeCell ref="T49:T50"/>
    <mergeCell ref="U49:U50"/>
    <mergeCell ref="A118:O118"/>
    <mergeCell ref="A119:A120"/>
    <mergeCell ref="B119:B120"/>
    <mergeCell ref="F119:J119"/>
    <mergeCell ref="K119:N119"/>
    <mergeCell ref="P119:P120"/>
    <mergeCell ref="Q119:Q120"/>
    <mergeCell ref="A143:B143"/>
    <mergeCell ref="N144:Q144"/>
    <mergeCell ref="O145:P145"/>
    <mergeCell ref="N146:P146"/>
    <mergeCell ref="N153:P153"/>
    <mergeCell ref="N154:P154"/>
    <mergeCell ref="N148:P148"/>
    <mergeCell ref="N149:P149"/>
    <mergeCell ref="F150:M150"/>
    <mergeCell ref="N150:P150"/>
    <mergeCell ref="N151:P151"/>
    <mergeCell ref="N152:P152"/>
  </mergeCells>
  <conditionalFormatting sqref="Q7:Q20 Q23:Q24 Q29:Q33 Q38:Q39 Q44:Q46">
    <cfRule type="cellIs" dxfId="9" priority="2" operator="greaterThan">
      <formula>40</formula>
    </cfRule>
  </conditionalFormatting>
  <conditionalFormatting sqref="T51:T117">
    <cfRule type="cellIs" dxfId="8" priority="1" operator="lessThan">
      <formula>0.5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49735-57E3-46CA-89AA-AD45589661B1}">
  <dimension ref="A1:AD158"/>
  <sheetViews>
    <sheetView zoomScale="74" zoomScaleNormal="74" workbookViewId="0">
      <pane ySplit="1" topLeftCell="A26" activePane="bottomLeft" state="frozen"/>
      <selection pane="bottomLeft" activeCell="K29" sqref="K29"/>
    </sheetView>
  </sheetViews>
  <sheetFormatPr defaultColWidth="9" defaultRowHeight="14.4"/>
  <cols>
    <col min="1" max="1" width="8.5546875" customWidth="1"/>
    <col min="2" max="2" width="29.44140625" bestFit="1" customWidth="1"/>
    <col min="3" max="3" width="18.88671875" customWidth="1"/>
    <col min="4" max="4" width="17.109375" customWidth="1"/>
    <col min="5" max="5" width="18.88671875" customWidth="1"/>
    <col min="6" max="6" width="11.6640625" customWidth="1"/>
    <col min="7" max="7" width="11.21875" customWidth="1"/>
    <col min="8" max="8" width="9.77734375" customWidth="1"/>
    <col min="9" max="9" width="13.6640625" customWidth="1"/>
    <col min="10" max="10" width="10" customWidth="1"/>
    <col min="11" max="11" width="9.77734375" customWidth="1"/>
    <col min="12" max="12" width="12.77734375" bestFit="1" customWidth="1"/>
    <col min="13" max="13" width="10.6640625" bestFit="1" customWidth="1"/>
    <col min="14" max="14" width="15.77734375" customWidth="1"/>
    <col min="15" max="15" width="10.77734375" customWidth="1"/>
    <col min="16" max="16" width="12.5546875" customWidth="1"/>
    <col min="17" max="17" width="17.88671875" customWidth="1"/>
    <col min="18" max="18" width="13.44140625" customWidth="1"/>
    <col min="19" max="19" width="17" customWidth="1"/>
    <col min="20" max="20" width="11.109375" bestFit="1" customWidth="1"/>
    <col min="22" max="22" width="9.21875" bestFit="1" customWidth="1"/>
    <col min="23" max="23" width="8.21875" bestFit="1" customWidth="1"/>
    <col min="24" max="25" width="11.21875" customWidth="1"/>
  </cols>
  <sheetData>
    <row r="1" spans="1:25" ht="18.600000000000001" thickBot="1">
      <c r="A1" s="249" t="s">
        <v>0</v>
      </c>
      <c r="B1" s="249"/>
      <c r="C1" s="249"/>
      <c r="D1" s="249"/>
      <c r="E1" s="249"/>
      <c r="F1" s="249"/>
      <c r="G1" s="249"/>
      <c r="H1" s="249"/>
      <c r="I1" s="249"/>
      <c r="J1" s="249"/>
      <c r="K1" s="249"/>
      <c r="L1" s="249"/>
      <c r="M1" s="249"/>
      <c r="N1" s="249"/>
      <c r="O1" s="249"/>
      <c r="P1" s="249"/>
      <c r="Q1" s="249"/>
      <c r="R1" s="1"/>
      <c r="Y1" s="2"/>
    </row>
    <row r="2" spans="1:25" ht="19.8" customHeight="1" thickBot="1">
      <c r="A2" s="250" t="s">
        <v>1</v>
      </c>
      <c r="B2" s="251"/>
      <c r="C2" s="252"/>
      <c r="D2" s="252"/>
      <c r="E2" s="252"/>
      <c r="F2" s="252"/>
      <c r="G2" s="252"/>
      <c r="H2" s="252"/>
      <c r="I2" s="252"/>
      <c r="J2" s="252"/>
      <c r="K2" s="252"/>
      <c r="L2" s="252"/>
      <c r="M2" s="252"/>
      <c r="N2" s="252"/>
      <c r="O2" s="251"/>
      <c r="P2" s="3" t="s">
        <v>2</v>
      </c>
      <c r="Q2" s="4">
        <v>46226</v>
      </c>
      <c r="R2" s="1"/>
    </row>
    <row r="3" spans="1:25" ht="18" customHeight="1">
      <c r="A3" s="209" t="s">
        <v>3</v>
      </c>
      <c r="B3" s="211" t="s">
        <v>4</v>
      </c>
      <c r="C3" s="174"/>
      <c r="D3" s="174"/>
      <c r="E3" s="174"/>
      <c r="F3" s="213" t="s">
        <v>5</v>
      </c>
      <c r="G3" s="214"/>
      <c r="H3" s="214"/>
      <c r="I3" s="214"/>
      <c r="J3" s="215"/>
      <c r="K3" s="253" t="s">
        <v>6</v>
      </c>
      <c r="L3" s="254"/>
      <c r="M3" s="254"/>
      <c r="N3" s="254"/>
      <c r="O3" s="255"/>
      <c r="P3" s="219" t="s">
        <v>7</v>
      </c>
      <c r="Q3" s="194" t="s">
        <v>8</v>
      </c>
      <c r="R3" s="243" t="s">
        <v>9</v>
      </c>
      <c r="S3" s="222" t="s">
        <v>10</v>
      </c>
    </row>
    <row r="4" spans="1:25" ht="22.8" customHeight="1">
      <c r="A4" s="247"/>
      <c r="B4" s="248"/>
      <c r="C4" s="183" t="s">
        <v>190</v>
      </c>
      <c r="D4" s="183" t="s">
        <v>191</v>
      </c>
      <c r="E4" s="183" t="s">
        <v>192</v>
      </c>
      <c r="F4" s="6" t="s">
        <v>11</v>
      </c>
      <c r="G4" s="6" t="s">
        <v>12</v>
      </c>
      <c r="H4" s="6" t="s">
        <v>13</v>
      </c>
      <c r="I4" s="6" t="s">
        <v>14</v>
      </c>
      <c r="J4" s="6" t="s">
        <v>8</v>
      </c>
      <c r="K4" s="6" t="s">
        <v>12</v>
      </c>
      <c r="L4" s="6" t="s">
        <v>13</v>
      </c>
      <c r="M4" s="6" t="s">
        <v>14</v>
      </c>
      <c r="N4" s="7" t="s">
        <v>8</v>
      </c>
      <c r="O4" s="8" t="s">
        <v>15</v>
      </c>
      <c r="P4" s="236"/>
      <c r="Q4" s="237"/>
      <c r="R4" s="248"/>
      <c r="S4" s="243"/>
    </row>
    <row r="5" spans="1:25" ht="22.8" customHeight="1">
      <c r="A5" s="5">
        <v>1</v>
      </c>
      <c r="B5" s="9" t="s">
        <v>175</v>
      </c>
      <c r="C5" s="9" t="s">
        <v>193</v>
      </c>
      <c r="D5" s="9" t="s">
        <v>194</v>
      </c>
      <c r="E5" s="9" t="s">
        <v>214</v>
      </c>
      <c r="F5" s="2">
        <v>32132.1</v>
      </c>
      <c r="G5" s="2">
        <v>32132.1</v>
      </c>
      <c r="H5" s="2">
        <f>G5-F5</f>
        <v>0</v>
      </c>
      <c r="I5" s="2">
        <v>0</v>
      </c>
      <c r="J5" s="10">
        <f>IFERROR(I5/H5,0)</f>
        <v>0</v>
      </c>
      <c r="K5" s="2">
        <v>32132.1</v>
      </c>
      <c r="L5" s="167">
        <f>K5-G5</f>
        <v>0</v>
      </c>
      <c r="M5" s="2">
        <v>0</v>
      </c>
      <c r="N5" s="11">
        <f>IFERROR(M5/L5,0)</f>
        <v>0</v>
      </c>
      <c r="O5" s="12">
        <f t="shared" ref="O5:P17" si="0">H5+L5</f>
        <v>0</v>
      </c>
      <c r="P5" s="13">
        <f t="shared" si="0"/>
        <v>0</v>
      </c>
      <c r="Q5" s="14">
        <f>IFERROR(P5/O5,0)</f>
        <v>0</v>
      </c>
      <c r="R5" s="2">
        <v>0</v>
      </c>
      <c r="S5" s="5"/>
    </row>
    <row r="6" spans="1:25" ht="22.8" customHeight="1">
      <c r="A6" s="81">
        <v>2</v>
      </c>
      <c r="B6" s="16" t="s">
        <v>170</v>
      </c>
      <c r="C6" s="9" t="s">
        <v>193</v>
      </c>
      <c r="D6" s="9" t="s">
        <v>194</v>
      </c>
      <c r="E6" s="9" t="s">
        <v>214</v>
      </c>
      <c r="F6" s="49">
        <v>33931.699999999997</v>
      </c>
      <c r="G6" s="49">
        <v>33931.699999999997</v>
      </c>
      <c r="H6" s="2">
        <f>G6-F6</f>
        <v>0</v>
      </c>
      <c r="I6" s="49">
        <v>0</v>
      </c>
      <c r="J6" s="10">
        <f>IFERROR(I6/H6,0)</f>
        <v>0</v>
      </c>
      <c r="K6" s="49">
        <v>33931.699999999997</v>
      </c>
      <c r="L6" s="167">
        <f>K6-G6</f>
        <v>0</v>
      </c>
      <c r="M6" s="49">
        <v>0</v>
      </c>
      <c r="N6" s="11">
        <f>IFERROR(M6/L6,0)</f>
        <v>0</v>
      </c>
      <c r="O6" s="12">
        <f t="shared" si="0"/>
        <v>0</v>
      </c>
      <c r="P6" s="13">
        <f t="shared" si="0"/>
        <v>0</v>
      </c>
      <c r="Q6" s="14">
        <f>IFERROR(P6/O6,0)</f>
        <v>0</v>
      </c>
      <c r="R6" s="49">
        <v>0</v>
      </c>
      <c r="S6" s="81"/>
    </row>
    <row r="7" spans="1:25" ht="24" customHeight="1">
      <c r="A7" s="5">
        <v>3</v>
      </c>
      <c r="B7" s="16" t="s">
        <v>17</v>
      </c>
      <c r="C7" s="9" t="s">
        <v>193</v>
      </c>
      <c r="D7" s="9" t="s">
        <v>194</v>
      </c>
      <c r="E7" s="9" t="s">
        <v>214</v>
      </c>
      <c r="F7" s="17">
        <v>32493.3</v>
      </c>
      <c r="G7" s="17">
        <v>32493.3</v>
      </c>
      <c r="H7" s="17">
        <f t="shared" ref="H7:H18" si="1">G7-F7</f>
        <v>0</v>
      </c>
      <c r="I7" s="18">
        <v>0</v>
      </c>
      <c r="J7" s="10">
        <f>IFERROR(I7/H7,0)</f>
        <v>0</v>
      </c>
      <c r="K7" s="17">
        <v>32493.3</v>
      </c>
      <c r="L7" s="19">
        <f t="shared" ref="L7:L14" si="2">K7-G7</f>
        <v>0</v>
      </c>
      <c r="M7" s="20">
        <v>0</v>
      </c>
      <c r="N7" s="21">
        <f>IFERROR(M7/L7,0)</f>
        <v>0</v>
      </c>
      <c r="O7" s="18">
        <f t="shared" si="0"/>
        <v>0</v>
      </c>
      <c r="P7" s="22">
        <f t="shared" si="0"/>
        <v>0</v>
      </c>
      <c r="Q7" s="23">
        <f>IFERROR(P7/O7,0)</f>
        <v>0</v>
      </c>
      <c r="R7" s="24">
        <v>0</v>
      </c>
      <c r="S7" s="25"/>
      <c r="T7" s="26"/>
    </row>
    <row r="8" spans="1:25" ht="25.8" customHeight="1">
      <c r="A8" s="81">
        <v>4</v>
      </c>
      <c r="B8" s="16" t="s">
        <v>18</v>
      </c>
      <c r="C8" s="9" t="s">
        <v>193</v>
      </c>
      <c r="D8" s="9" t="s">
        <v>194</v>
      </c>
      <c r="E8" s="9" t="s">
        <v>214</v>
      </c>
      <c r="F8" s="17">
        <v>24795.7</v>
      </c>
      <c r="G8" s="17">
        <v>24795.7</v>
      </c>
      <c r="H8" s="17">
        <f t="shared" si="1"/>
        <v>0</v>
      </c>
      <c r="I8" s="18">
        <v>0</v>
      </c>
      <c r="J8" s="10">
        <f t="shared" ref="J8:J13" si="3">IFERROR(I8/H8,0)</f>
        <v>0</v>
      </c>
      <c r="K8" s="17">
        <v>24805.200000000001</v>
      </c>
      <c r="L8" s="19">
        <f t="shared" si="2"/>
        <v>9.5</v>
      </c>
      <c r="M8" s="20">
        <v>313.41000000000003</v>
      </c>
      <c r="N8" s="28">
        <f t="shared" ref="N8:N14" si="4">IFERROR(M8/L8,0)</f>
        <v>32.990526315789474</v>
      </c>
      <c r="O8" s="18">
        <f t="shared" si="0"/>
        <v>9.5</v>
      </c>
      <c r="P8" s="22">
        <f t="shared" si="0"/>
        <v>313.41000000000003</v>
      </c>
      <c r="Q8" s="23">
        <f t="shared" ref="Q8:Q18" si="5">IFERROR(P8/O8,0)</f>
        <v>32.990526315789474</v>
      </c>
      <c r="R8" s="29">
        <v>83</v>
      </c>
      <c r="S8" s="30"/>
      <c r="T8" s="26"/>
      <c r="V8" s="26"/>
    </row>
    <row r="9" spans="1:25" ht="25.8" customHeight="1">
      <c r="A9" s="5">
        <v>5</v>
      </c>
      <c r="B9" s="31" t="s">
        <v>19</v>
      </c>
      <c r="C9" s="9" t="s">
        <v>193</v>
      </c>
      <c r="D9" s="9" t="s">
        <v>194</v>
      </c>
      <c r="E9" s="9" t="s">
        <v>214</v>
      </c>
      <c r="F9" s="17">
        <v>32708.3</v>
      </c>
      <c r="G9" s="17">
        <v>32708.3</v>
      </c>
      <c r="H9" s="17">
        <f t="shared" si="1"/>
        <v>0</v>
      </c>
      <c r="I9" s="32">
        <v>0</v>
      </c>
      <c r="J9" s="10">
        <f t="shared" si="3"/>
        <v>0</v>
      </c>
      <c r="K9" s="17">
        <v>32718.7</v>
      </c>
      <c r="L9" s="19">
        <f t="shared" si="2"/>
        <v>10.400000000001455</v>
      </c>
      <c r="M9" s="33">
        <v>324.97000000000003</v>
      </c>
      <c r="N9" s="28">
        <f t="shared" si="4"/>
        <v>31.247115384611014</v>
      </c>
      <c r="O9" s="18">
        <f t="shared" si="0"/>
        <v>10.400000000001455</v>
      </c>
      <c r="P9" s="22">
        <f t="shared" si="0"/>
        <v>324.97000000000003</v>
      </c>
      <c r="Q9" s="23">
        <f t="shared" si="5"/>
        <v>31.247115384611014</v>
      </c>
      <c r="R9" s="29">
        <v>163</v>
      </c>
      <c r="S9" s="30"/>
      <c r="T9" s="26"/>
      <c r="V9" s="26"/>
    </row>
    <row r="10" spans="1:25" ht="25.8" customHeight="1">
      <c r="A10" s="81">
        <v>6</v>
      </c>
      <c r="B10" s="16" t="s">
        <v>20</v>
      </c>
      <c r="C10" s="9" t="s">
        <v>193</v>
      </c>
      <c r="D10" s="9" t="s">
        <v>195</v>
      </c>
      <c r="E10" s="184" t="s">
        <v>215</v>
      </c>
      <c r="F10" s="17">
        <v>33642.400000000001</v>
      </c>
      <c r="G10" s="17">
        <v>33642.400000000001</v>
      </c>
      <c r="H10" s="17">
        <f>G10-F10</f>
        <v>0</v>
      </c>
      <c r="I10" s="34">
        <v>0</v>
      </c>
      <c r="J10" s="10">
        <f>IFERROR(I10/H10,0)</f>
        <v>0</v>
      </c>
      <c r="K10" s="17">
        <v>33642.400000000001</v>
      </c>
      <c r="L10" s="19">
        <f>K10-G10</f>
        <v>0</v>
      </c>
      <c r="M10" s="33">
        <v>0</v>
      </c>
      <c r="N10" s="28">
        <f>IFERROR(M10/L10,0)</f>
        <v>0</v>
      </c>
      <c r="O10" s="18">
        <f>H10+L10</f>
        <v>0</v>
      </c>
      <c r="P10" s="22">
        <f>I10+M10</f>
        <v>0</v>
      </c>
      <c r="Q10" s="23">
        <f>IFERROR(P10/O10,0)</f>
        <v>0</v>
      </c>
      <c r="R10" s="29">
        <v>0</v>
      </c>
      <c r="S10" s="30"/>
      <c r="T10" s="26"/>
      <c r="V10" s="26"/>
    </row>
    <row r="11" spans="1:25" ht="22.8" customHeight="1">
      <c r="A11" s="5">
        <v>7</v>
      </c>
      <c r="B11" s="16" t="s">
        <v>21</v>
      </c>
      <c r="C11" s="9" t="s">
        <v>193</v>
      </c>
      <c r="D11" s="16" t="s">
        <v>194</v>
      </c>
      <c r="E11" s="16" t="s">
        <v>214</v>
      </c>
      <c r="F11" s="17">
        <v>28183.4</v>
      </c>
      <c r="G11" s="17">
        <v>28183.4</v>
      </c>
      <c r="H11" s="17">
        <f t="shared" si="1"/>
        <v>0</v>
      </c>
      <c r="I11" s="32">
        <v>0</v>
      </c>
      <c r="J11" s="10">
        <f t="shared" si="3"/>
        <v>0</v>
      </c>
      <c r="K11" s="17">
        <v>28183.4</v>
      </c>
      <c r="L11" s="19">
        <f t="shared" si="2"/>
        <v>0</v>
      </c>
      <c r="M11" s="20">
        <v>0</v>
      </c>
      <c r="N11" s="28">
        <f t="shared" si="4"/>
        <v>0</v>
      </c>
      <c r="O11" s="18">
        <f t="shared" si="0"/>
        <v>0</v>
      </c>
      <c r="P11" s="22">
        <f t="shared" si="0"/>
        <v>0</v>
      </c>
      <c r="Q11" s="23">
        <f t="shared" si="5"/>
        <v>0</v>
      </c>
      <c r="R11" s="29">
        <v>0</v>
      </c>
      <c r="S11" s="30"/>
      <c r="T11" s="26"/>
      <c r="V11" s="26"/>
    </row>
    <row r="12" spans="1:25" ht="22.8" customHeight="1">
      <c r="A12" s="81">
        <v>8</v>
      </c>
      <c r="B12" s="31" t="s">
        <v>22</v>
      </c>
      <c r="C12" s="9" t="s">
        <v>193</v>
      </c>
      <c r="D12" s="31" t="s">
        <v>194</v>
      </c>
      <c r="E12" s="31" t="s">
        <v>214</v>
      </c>
      <c r="F12" s="35">
        <v>27568.799999999999</v>
      </c>
      <c r="G12" s="35">
        <v>27568.799999999999</v>
      </c>
      <c r="H12" s="17">
        <f t="shared" si="1"/>
        <v>0</v>
      </c>
      <c r="I12" s="32">
        <v>0</v>
      </c>
      <c r="J12" s="10">
        <f t="shared" si="3"/>
        <v>0</v>
      </c>
      <c r="K12" s="35">
        <v>27568.799999999999</v>
      </c>
      <c r="L12" s="19">
        <f t="shared" si="2"/>
        <v>0</v>
      </c>
      <c r="M12" s="33">
        <v>0</v>
      </c>
      <c r="N12" s="28">
        <f t="shared" si="4"/>
        <v>0</v>
      </c>
      <c r="O12" s="18">
        <f t="shared" si="0"/>
        <v>0</v>
      </c>
      <c r="P12" s="22">
        <f t="shared" si="0"/>
        <v>0</v>
      </c>
      <c r="Q12" s="23">
        <f t="shared" si="5"/>
        <v>0</v>
      </c>
      <c r="R12" s="29">
        <v>133</v>
      </c>
      <c r="S12" s="30"/>
      <c r="T12" s="26"/>
      <c r="V12" s="26"/>
    </row>
    <row r="13" spans="1:25" ht="24" customHeight="1">
      <c r="A13" s="5">
        <v>9</v>
      </c>
      <c r="B13" s="31" t="s">
        <v>23</v>
      </c>
      <c r="C13" s="9" t="s">
        <v>193</v>
      </c>
      <c r="D13" s="16" t="s">
        <v>196</v>
      </c>
      <c r="E13" s="16" t="s">
        <v>216</v>
      </c>
      <c r="F13" s="17">
        <v>22709.11</v>
      </c>
      <c r="G13" s="17">
        <v>22709.11</v>
      </c>
      <c r="H13" s="17">
        <f t="shared" si="1"/>
        <v>0</v>
      </c>
      <c r="I13" s="34">
        <v>0</v>
      </c>
      <c r="J13" s="10">
        <f t="shared" si="3"/>
        <v>0</v>
      </c>
      <c r="K13" s="17">
        <v>22719.65</v>
      </c>
      <c r="L13" s="19">
        <f t="shared" si="2"/>
        <v>10.540000000000873</v>
      </c>
      <c r="M13" s="20">
        <v>368.46</v>
      </c>
      <c r="N13" s="28">
        <f t="shared" si="4"/>
        <v>34.958254269446819</v>
      </c>
      <c r="O13" s="18">
        <f t="shared" si="0"/>
        <v>10.540000000000873</v>
      </c>
      <c r="P13" s="22">
        <f t="shared" si="0"/>
        <v>368.46</v>
      </c>
      <c r="Q13" s="23">
        <f t="shared" si="5"/>
        <v>34.958254269446819</v>
      </c>
      <c r="R13" s="29">
        <v>0</v>
      </c>
      <c r="S13" s="36"/>
      <c r="T13" s="26"/>
      <c r="V13" s="26"/>
    </row>
    <row r="14" spans="1:25" ht="24" customHeight="1">
      <c r="A14" s="81">
        <v>10</v>
      </c>
      <c r="B14" s="31" t="s">
        <v>24</v>
      </c>
      <c r="C14" s="9" t="s">
        <v>193</v>
      </c>
      <c r="D14" s="16" t="s">
        <v>196</v>
      </c>
      <c r="E14" s="16" t="s">
        <v>216</v>
      </c>
      <c r="F14" s="17">
        <v>22665.24</v>
      </c>
      <c r="G14" s="17">
        <v>22665.24</v>
      </c>
      <c r="H14" s="17">
        <f t="shared" si="1"/>
        <v>0</v>
      </c>
      <c r="I14" s="32">
        <v>0</v>
      </c>
      <c r="J14" s="10">
        <f>IFERROR(I14/H14,0)</f>
        <v>0</v>
      </c>
      <c r="K14" s="17">
        <v>22665.24</v>
      </c>
      <c r="L14" s="19">
        <f t="shared" si="2"/>
        <v>0</v>
      </c>
      <c r="M14" s="20">
        <v>0</v>
      </c>
      <c r="N14" s="28">
        <f t="shared" si="4"/>
        <v>0</v>
      </c>
      <c r="O14" s="18">
        <f t="shared" si="0"/>
        <v>0</v>
      </c>
      <c r="P14" s="22">
        <f t="shared" si="0"/>
        <v>0</v>
      </c>
      <c r="Q14" s="23">
        <f t="shared" si="5"/>
        <v>0</v>
      </c>
      <c r="R14" s="29">
        <v>195</v>
      </c>
      <c r="S14" s="37"/>
      <c r="T14" s="26"/>
      <c r="V14" s="26"/>
    </row>
    <row r="15" spans="1:25" ht="24" customHeight="1">
      <c r="A15" s="5">
        <v>11</v>
      </c>
      <c r="B15" s="31" t="s">
        <v>25</v>
      </c>
      <c r="C15" s="9" t="s">
        <v>193</v>
      </c>
      <c r="D15" s="16" t="s">
        <v>196</v>
      </c>
      <c r="E15" s="16" t="s">
        <v>216</v>
      </c>
      <c r="F15" s="17">
        <v>20153.150000000001</v>
      </c>
      <c r="G15" s="17">
        <v>20153.150000000001</v>
      </c>
      <c r="H15" s="17">
        <f t="shared" si="1"/>
        <v>0</v>
      </c>
      <c r="I15" s="32">
        <v>0</v>
      </c>
      <c r="J15" s="10">
        <f>IFERROR(I15/H15,0)</f>
        <v>0</v>
      </c>
      <c r="K15" s="17">
        <v>20160.03</v>
      </c>
      <c r="L15" s="19">
        <f>K15-G15</f>
        <v>6.8799999999973807</v>
      </c>
      <c r="M15" s="20">
        <v>335.14</v>
      </c>
      <c r="N15" s="28">
        <f>IFERROR(M15/L15,0)</f>
        <v>48.712209302344128</v>
      </c>
      <c r="O15" s="18">
        <f>H15+L15</f>
        <v>6.8799999999973807</v>
      </c>
      <c r="P15" s="22">
        <f t="shared" si="0"/>
        <v>335.14</v>
      </c>
      <c r="Q15" s="23">
        <f t="shared" si="5"/>
        <v>48.712209302344128</v>
      </c>
      <c r="R15" s="29">
        <v>0</v>
      </c>
      <c r="S15" s="37"/>
      <c r="T15" s="26"/>
      <c r="V15" s="26"/>
      <c r="W15" s="38"/>
    </row>
    <row r="16" spans="1:25" ht="24" customHeight="1">
      <c r="A16" s="81">
        <v>12</v>
      </c>
      <c r="B16" s="31" t="s">
        <v>181</v>
      </c>
      <c r="C16" s="9" t="s">
        <v>193</v>
      </c>
      <c r="D16" s="16" t="s">
        <v>196</v>
      </c>
      <c r="E16" s="16" t="s">
        <v>217</v>
      </c>
      <c r="F16" s="17">
        <v>10196.35</v>
      </c>
      <c r="G16" s="17">
        <v>10196.35</v>
      </c>
      <c r="H16" s="17">
        <f t="shared" si="1"/>
        <v>0</v>
      </c>
      <c r="I16" s="32">
        <v>0</v>
      </c>
      <c r="J16" s="10">
        <f>IFERROR(I16/H16,0)</f>
        <v>0</v>
      </c>
      <c r="K16" s="17">
        <v>10196.35</v>
      </c>
      <c r="L16" s="19">
        <f>K16-G16</f>
        <v>0</v>
      </c>
      <c r="M16" s="20">
        <v>0</v>
      </c>
      <c r="N16" s="28">
        <f>IFERROR(M16/L16,0)</f>
        <v>0</v>
      </c>
      <c r="O16" s="18">
        <f>H16+L16</f>
        <v>0</v>
      </c>
      <c r="P16" s="22">
        <f t="shared" si="0"/>
        <v>0</v>
      </c>
      <c r="Q16" s="23">
        <f t="shared" si="5"/>
        <v>0</v>
      </c>
      <c r="R16" s="29">
        <v>0</v>
      </c>
      <c r="S16" s="37"/>
      <c r="T16" s="26"/>
      <c r="V16" s="26"/>
      <c r="W16" s="38"/>
    </row>
    <row r="17" spans="1:23" ht="24" customHeight="1">
      <c r="A17" s="5">
        <v>13</v>
      </c>
      <c r="B17" s="31" t="s">
        <v>27</v>
      </c>
      <c r="C17" s="9" t="s">
        <v>193</v>
      </c>
      <c r="D17" s="16" t="s">
        <v>197</v>
      </c>
      <c r="E17" s="16" t="s">
        <v>218</v>
      </c>
      <c r="F17" s="17">
        <v>18325.900000000001</v>
      </c>
      <c r="G17" s="17">
        <v>18325.900000000001</v>
      </c>
      <c r="H17" s="17">
        <f t="shared" si="1"/>
        <v>0</v>
      </c>
      <c r="I17" s="18">
        <v>0</v>
      </c>
      <c r="J17" s="10">
        <f>IFERROR(I17/H17,0)</f>
        <v>0</v>
      </c>
      <c r="K17" s="17">
        <v>18341.2</v>
      </c>
      <c r="L17" s="19">
        <f t="shared" ref="L17" si="6">K17-G17</f>
        <v>15.299999999999272</v>
      </c>
      <c r="M17" s="20">
        <v>283</v>
      </c>
      <c r="N17" s="28">
        <f t="shared" ref="N17" si="7">IFERROR(M17/L17,0)</f>
        <v>18.49673202614467</v>
      </c>
      <c r="O17" s="18">
        <f t="shared" ref="O17" si="8">H17+L17</f>
        <v>15.299999999999272</v>
      </c>
      <c r="P17" s="22">
        <f t="shared" si="0"/>
        <v>283</v>
      </c>
      <c r="Q17" s="23">
        <f t="shared" si="5"/>
        <v>18.49673202614467</v>
      </c>
      <c r="R17" s="29">
        <v>0</v>
      </c>
      <c r="S17" s="172"/>
      <c r="T17" s="26"/>
      <c r="V17" s="26"/>
      <c r="W17" s="38"/>
    </row>
    <row r="18" spans="1:23" ht="24" customHeight="1">
      <c r="A18" s="81">
        <v>14</v>
      </c>
      <c r="B18" s="31" t="s">
        <v>26</v>
      </c>
      <c r="C18" s="9" t="s">
        <v>193</v>
      </c>
      <c r="D18" s="185" t="s">
        <v>198</v>
      </c>
      <c r="E18" s="178" t="s">
        <v>199</v>
      </c>
      <c r="F18" s="17">
        <v>15234.3</v>
      </c>
      <c r="G18" s="17">
        <v>15234.3</v>
      </c>
      <c r="H18" s="17">
        <f t="shared" si="1"/>
        <v>0</v>
      </c>
      <c r="I18" s="32">
        <v>0</v>
      </c>
      <c r="J18" s="10">
        <f>IFERROR(I18/H18,0)</f>
        <v>0</v>
      </c>
      <c r="K18" s="17">
        <v>15234.3</v>
      </c>
      <c r="L18" s="19">
        <f>K18-G18</f>
        <v>0</v>
      </c>
      <c r="M18" s="20">
        <v>0</v>
      </c>
      <c r="N18" s="28">
        <f>IFERROR(M18/L18,0)</f>
        <v>0</v>
      </c>
      <c r="O18" s="18">
        <f>H18+L18</f>
        <v>0</v>
      </c>
      <c r="P18" s="22">
        <f>I18+M18</f>
        <v>0</v>
      </c>
      <c r="Q18" s="23">
        <f t="shared" si="5"/>
        <v>0</v>
      </c>
      <c r="R18" s="29">
        <v>0</v>
      </c>
      <c r="S18" s="37"/>
      <c r="T18" s="26"/>
      <c r="V18" s="26"/>
      <c r="W18" s="38"/>
    </row>
    <row r="19" spans="1:23" ht="24" customHeight="1">
      <c r="A19" s="196" t="s">
        <v>28</v>
      </c>
      <c r="B19" s="197"/>
      <c r="C19" s="175"/>
      <c r="D19" s="175"/>
      <c r="E19" s="175"/>
      <c r="F19" s="39"/>
      <c r="G19" s="39"/>
      <c r="H19" s="40">
        <f>SUM(H7:H18)</f>
        <v>0</v>
      </c>
      <c r="I19" s="41">
        <f>SUM(I5:I18)</f>
        <v>0</v>
      </c>
      <c r="J19" s="39"/>
      <c r="K19" s="39"/>
      <c r="L19" s="40">
        <f>SUM(L7:L18)</f>
        <v>52.619999999998981</v>
      </c>
      <c r="M19" s="41">
        <f>SUM(M5:M18)</f>
        <v>1624.98</v>
      </c>
      <c r="N19" s="28">
        <f>IFERROR(M19/L19,0)</f>
        <v>30.881413911061031</v>
      </c>
      <c r="O19" s="42">
        <f>SUM(O7:O18)</f>
        <v>52.619999999998981</v>
      </c>
      <c r="P19" s="43">
        <f>SUM(P5:P18)</f>
        <v>1624.98</v>
      </c>
      <c r="Q19" s="23">
        <f>IFERROR(P19/O19,0)</f>
        <v>30.881413911061031</v>
      </c>
      <c r="R19" s="44">
        <f>SUM(R5:R18)</f>
        <v>574</v>
      </c>
      <c r="S19" s="45"/>
      <c r="V19" s="26"/>
    </row>
    <row r="20" spans="1:23" ht="18" customHeight="1" thickBot="1">
      <c r="A20" s="206" t="s">
        <v>29</v>
      </c>
      <c r="B20" s="207"/>
      <c r="C20" s="207"/>
      <c r="D20" s="207"/>
      <c r="E20" s="207"/>
      <c r="F20" s="207"/>
      <c r="G20" s="207"/>
      <c r="H20" s="207"/>
      <c r="I20" s="207"/>
      <c r="J20" s="207"/>
      <c r="K20" s="207"/>
      <c r="L20" s="207"/>
      <c r="M20" s="207"/>
      <c r="N20" s="207"/>
      <c r="O20" s="208"/>
      <c r="P20" s="46"/>
      <c r="Q20" s="47"/>
      <c r="R20" s="37"/>
    </row>
    <row r="21" spans="1:23" ht="22.8" customHeight="1">
      <c r="A21" s="209" t="s">
        <v>3</v>
      </c>
      <c r="B21" s="211" t="s">
        <v>4</v>
      </c>
      <c r="C21" s="173"/>
      <c r="D21" s="173"/>
      <c r="E21" s="173"/>
      <c r="F21" s="234" t="s">
        <v>5</v>
      </c>
      <c r="G21" s="234"/>
      <c r="H21" s="234"/>
      <c r="I21" s="234"/>
      <c r="J21" s="234"/>
      <c r="K21" s="235" t="s">
        <v>6</v>
      </c>
      <c r="L21" s="235"/>
      <c r="M21" s="235"/>
      <c r="N21" s="235"/>
      <c r="O21" s="48"/>
      <c r="P21" s="219" t="s">
        <v>7</v>
      </c>
      <c r="Q21" s="194" t="s">
        <v>8</v>
      </c>
      <c r="R21" s="37"/>
    </row>
    <row r="22" spans="1:23" s="51" customFormat="1" ht="24" customHeight="1" thickBot="1">
      <c r="A22" s="210"/>
      <c r="B22" s="212"/>
      <c r="C22" s="183" t="s">
        <v>190</v>
      </c>
      <c r="D22" s="183" t="s">
        <v>191</v>
      </c>
      <c r="E22" s="183" t="s">
        <v>192</v>
      </c>
      <c r="F22" s="49" t="s">
        <v>11</v>
      </c>
      <c r="G22" s="49" t="s">
        <v>12</v>
      </c>
      <c r="H22" s="49" t="s">
        <v>13</v>
      </c>
      <c r="I22" s="2" t="s">
        <v>14</v>
      </c>
      <c r="J22" s="2" t="s">
        <v>8</v>
      </c>
      <c r="K22" s="49" t="s">
        <v>12</v>
      </c>
      <c r="L22" s="49" t="s">
        <v>13</v>
      </c>
      <c r="M22" s="49" t="s">
        <v>14</v>
      </c>
      <c r="N22" s="7" t="s">
        <v>8</v>
      </c>
      <c r="O22" s="50" t="s">
        <v>15</v>
      </c>
      <c r="P22" s="220"/>
      <c r="Q22" s="195"/>
      <c r="R22" s="37"/>
      <c r="T22"/>
      <c r="U22"/>
      <c r="V22"/>
      <c r="W22"/>
    </row>
    <row r="23" spans="1:23" s="51" customFormat="1" ht="24" customHeight="1">
      <c r="A23" s="27">
        <v>1</v>
      </c>
      <c r="B23" s="52" t="s">
        <v>30</v>
      </c>
      <c r="C23" s="179" t="s">
        <v>200</v>
      </c>
      <c r="D23" s="179" t="s">
        <v>197</v>
      </c>
      <c r="E23" s="179" t="s">
        <v>201</v>
      </c>
      <c r="F23" s="6">
        <v>18948.599999999999</v>
      </c>
      <c r="G23" s="6">
        <v>18948.599999999999</v>
      </c>
      <c r="H23" s="53">
        <f>G23-F23</f>
        <v>0</v>
      </c>
      <c r="I23" s="54">
        <v>0</v>
      </c>
      <c r="J23" s="55">
        <f>IFERROR(I23/H23,0)</f>
        <v>0</v>
      </c>
      <c r="K23" s="6">
        <v>18948.599999999999</v>
      </c>
      <c r="L23" s="56">
        <f>K23-G23</f>
        <v>0</v>
      </c>
      <c r="M23" s="54">
        <v>0</v>
      </c>
      <c r="N23" s="57">
        <f>IFERROR(M23/L23,0)</f>
        <v>0</v>
      </c>
      <c r="O23" s="58">
        <f>H23+L23</f>
        <v>0</v>
      </c>
      <c r="P23" s="59">
        <f t="shared" ref="P23:P24" si="9">I23+M23</f>
        <v>0</v>
      </c>
      <c r="Q23" s="60">
        <f>IFERROR(P23/O23,0)</f>
        <v>0</v>
      </c>
      <c r="R23" s="61"/>
      <c r="T23"/>
      <c r="U23"/>
      <c r="V23"/>
      <c r="W23"/>
    </row>
    <row r="24" spans="1:23" ht="24" customHeight="1">
      <c r="A24" s="62">
        <v>2</v>
      </c>
      <c r="B24" s="52" t="s">
        <v>31</v>
      </c>
      <c r="C24" s="52" t="s">
        <v>200</v>
      </c>
      <c r="D24" s="52" t="s">
        <v>197</v>
      </c>
      <c r="E24" s="52" t="s">
        <v>201</v>
      </c>
      <c r="F24" s="63">
        <v>11321.6</v>
      </c>
      <c r="G24" s="63">
        <v>11321.6</v>
      </c>
      <c r="H24" s="53">
        <f>G24-F24</f>
        <v>0</v>
      </c>
      <c r="I24" s="54">
        <v>0</v>
      </c>
      <c r="J24" s="55">
        <f>IFERROR(I24/H24,0)</f>
        <v>0</v>
      </c>
      <c r="K24" s="63">
        <v>11332.9</v>
      </c>
      <c r="L24" s="64">
        <f>K24-G24</f>
        <v>11.299999999999272</v>
      </c>
      <c r="M24" s="54">
        <v>197</v>
      </c>
      <c r="N24" s="57">
        <f>IFERROR(M24/L24,0)</f>
        <v>17.433628318585193</v>
      </c>
      <c r="O24" s="58">
        <f>H24+L24</f>
        <v>11.299999999999272</v>
      </c>
      <c r="P24" s="59">
        <f t="shared" si="9"/>
        <v>197</v>
      </c>
      <c r="Q24" s="60">
        <f>IFERROR(P24/O24,0)</f>
        <v>17.433628318585193</v>
      </c>
      <c r="R24" s="65"/>
    </row>
    <row r="25" spans="1:23" ht="24" customHeight="1" thickBot="1">
      <c r="A25" s="238" t="s">
        <v>28</v>
      </c>
      <c r="B25" s="239"/>
      <c r="C25" s="180"/>
      <c r="D25" s="180"/>
      <c r="E25" s="180"/>
      <c r="F25" s="66"/>
      <c r="G25" s="66"/>
      <c r="H25" s="67">
        <f>SUM(H23:H24)</f>
        <v>0</v>
      </c>
      <c r="I25" s="67">
        <f>SUM(I23:I24)</f>
        <v>0</v>
      </c>
      <c r="J25" s="68"/>
      <c r="K25" s="68"/>
      <c r="L25" s="67">
        <f>SUM(L23:L24)</f>
        <v>11.299999999999272</v>
      </c>
      <c r="M25" s="67">
        <f>SUM(M23:M24)</f>
        <v>197</v>
      </c>
      <c r="N25" s="69">
        <f>SUM(N23:N24)</f>
        <v>17.433628318585193</v>
      </c>
      <c r="O25" s="70">
        <f>SUM(O23:O24)</f>
        <v>11.299999999999272</v>
      </c>
      <c r="P25" s="43">
        <f>SUM(P23:P24)</f>
        <v>197</v>
      </c>
      <c r="Q25" s="71"/>
      <c r="R25" s="37"/>
      <c r="S25" s="72"/>
    </row>
    <row r="26" spans="1:23" ht="18" customHeight="1" thickBot="1">
      <c r="A26" s="245" t="s">
        <v>32</v>
      </c>
      <c r="B26" s="246"/>
      <c r="C26" s="226"/>
      <c r="D26" s="226"/>
      <c r="E26" s="226"/>
      <c r="F26" s="226"/>
      <c r="G26" s="226"/>
      <c r="H26" s="226"/>
      <c r="I26" s="226"/>
      <c r="J26" s="226"/>
      <c r="K26" s="226"/>
      <c r="L26" s="226"/>
      <c r="M26" s="226"/>
      <c r="N26" s="226"/>
      <c r="O26" s="246"/>
      <c r="P26" s="46"/>
      <c r="Q26" s="47"/>
      <c r="R26" s="37"/>
    </row>
    <row r="27" spans="1:23" ht="22.8" customHeight="1">
      <c r="A27" s="209" t="s">
        <v>3</v>
      </c>
      <c r="B27" s="211" t="s">
        <v>4</v>
      </c>
      <c r="C27" s="173"/>
      <c r="D27" s="173"/>
      <c r="E27" s="173"/>
      <c r="F27" s="234" t="s">
        <v>5</v>
      </c>
      <c r="G27" s="234"/>
      <c r="H27" s="234"/>
      <c r="I27" s="234"/>
      <c r="J27" s="234"/>
      <c r="K27" s="235" t="s">
        <v>6</v>
      </c>
      <c r="L27" s="235"/>
      <c r="M27" s="235"/>
      <c r="N27" s="235"/>
      <c r="O27" s="48"/>
      <c r="P27" s="219" t="s">
        <v>7</v>
      </c>
      <c r="Q27" s="194" t="s">
        <v>8</v>
      </c>
      <c r="R27" s="37"/>
      <c r="V27" s="51"/>
    </row>
    <row r="28" spans="1:23" ht="24" customHeight="1">
      <c r="A28" s="247"/>
      <c r="B28" s="248"/>
      <c r="C28" s="183" t="s">
        <v>190</v>
      </c>
      <c r="D28" s="183" t="s">
        <v>191</v>
      </c>
      <c r="E28" s="183" t="s">
        <v>192</v>
      </c>
      <c r="F28" s="6" t="s">
        <v>11</v>
      </c>
      <c r="G28" s="6" t="s">
        <v>12</v>
      </c>
      <c r="H28" s="6" t="s">
        <v>13</v>
      </c>
      <c r="I28" s="6" t="s">
        <v>14</v>
      </c>
      <c r="J28" s="6" t="s">
        <v>8</v>
      </c>
      <c r="K28" s="6" t="s">
        <v>12</v>
      </c>
      <c r="L28" s="6" t="s">
        <v>13</v>
      </c>
      <c r="M28" s="6" t="s">
        <v>14</v>
      </c>
      <c r="N28" s="7" t="s">
        <v>8</v>
      </c>
      <c r="O28" s="73" t="s">
        <v>15</v>
      </c>
      <c r="P28" s="236"/>
      <c r="Q28" s="237"/>
      <c r="R28" s="61"/>
      <c r="S28" s="74"/>
      <c r="V28" s="51"/>
      <c r="W28" s="75"/>
    </row>
    <row r="29" spans="1:23" ht="24" customHeight="1">
      <c r="A29" s="76">
        <v>1</v>
      </c>
      <c r="B29" s="31" t="s">
        <v>33</v>
      </c>
      <c r="C29" s="31" t="s">
        <v>202</v>
      </c>
      <c r="D29" s="31" t="s">
        <v>203</v>
      </c>
      <c r="E29" s="31" t="s">
        <v>219</v>
      </c>
      <c r="F29" s="35">
        <v>21776.3</v>
      </c>
      <c r="G29" s="35">
        <v>21776.3</v>
      </c>
      <c r="H29" s="35">
        <f>G29-F29</f>
        <v>0</v>
      </c>
      <c r="I29" s="33">
        <v>0</v>
      </c>
      <c r="J29" s="10">
        <f t="shared" ref="J29:J33" si="10">IFERROR(I29/H29,0)</f>
        <v>0</v>
      </c>
      <c r="K29" s="35">
        <v>21839.9</v>
      </c>
      <c r="L29" s="56">
        <f>K29-G29</f>
        <v>63.600000000002183</v>
      </c>
      <c r="M29" s="33">
        <v>382.25</v>
      </c>
      <c r="N29" s="28">
        <f t="shared" ref="N29:N33" si="11">IFERROR(M29/L29,0)</f>
        <v>6.0102201257859571</v>
      </c>
      <c r="O29" s="84">
        <f t="shared" ref="O29:P33" si="12">H29+L29</f>
        <v>63.600000000002183</v>
      </c>
      <c r="P29" s="79">
        <f t="shared" si="12"/>
        <v>382.25</v>
      </c>
      <c r="Q29" s="34">
        <f>IFERROR(P29/O29,0)</f>
        <v>6.0102201257859571</v>
      </c>
      <c r="R29" s="37"/>
    </row>
    <row r="30" spans="1:23" ht="24" customHeight="1">
      <c r="A30" s="76">
        <v>2</v>
      </c>
      <c r="B30" s="31" t="s">
        <v>34</v>
      </c>
      <c r="C30" s="31" t="s">
        <v>202</v>
      </c>
      <c r="D30" s="31" t="s">
        <v>203</v>
      </c>
      <c r="E30" s="31" t="s">
        <v>219</v>
      </c>
      <c r="F30" s="35">
        <v>21207.200000000001</v>
      </c>
      <c r="G30" s="35">
        <v>21207.200000000001</v>
      </c>
      <c r="H30" s="35">
        <f>G30-F30</f>
        <v>0</v>
      </c>
      <c r="I30" s="33">
        <v>0</v>
      </c>
      <c r="J30" s="10">
        <f t="shared" si="10"/>
        <v>0</v>
      </c>
      <c r="K30" s="35">
        <v>21219.599999999999</v>
      </c>
      <c r="L30" s="56">
        <f>K30-G30</f>
        <v>12.399999999997817</v>
      </c>
      <c r="M30" s="33">
        <v>245</v>
      </c>
      <c r="N30" s="28">
        <f>IFERROR(M30/L30,0)</f>
        <v>19.75806451613251</v>
      </c>
      <c r="O30" s="18">
        <f t="shared" si="12"/>
        <v>12.399999999997817</v>
      </c>
      <c r="P30" s="22">
        <f t="shared" si="12"/>
        <v>245</v>
      </c>
      <c r="Q30" s="23">
        <f>IFERROR(P30/O30,0)</f>
        <v>19.75806451613251</v>
      </c>
      <c r="R30" s="37"/>
    </row>
    <row r="31" spans="1:23" ht="24" customHeight="1">
      <c r="A31" s="76">
        <v>3</v>
      </c>
      <c r="B31" s="31" t="s">
        <v>35</v>
      </c>
      <c r="C31" s="31" t="s">
        <v>202</v>
      </c>
      <c r="D31" s="31" t="s">
        <v>197</v>
      </c>
      <c r="E31" s="31" t="s">
        <v>220</v>
      </c>
      <c r="F31" s="35">
        <v>8994.7000000000007</v>
      </c>
      <c r="G31" s="35">
        <v>8994.7000000000007</v>
      </c>
      <c r="H31" s="17">
        <f t="shared" ref="H31:H33" si="13">G31-F31</f>
        <v>0</v>
      </c>
      <c r="I31" s="33">
        <v>0</v>
      </c>
      <c r="J31" s="10">
        <f t="shared" si="10"/>
        <v>0</v>
      </c>
      <c r="K31" s="35">
        <v>8994.7000000000007</v>
      </c>
      <c r="L31" s="19">
        <f>K31-G31</f>
        <v>0</v>
      </c>
      <c r="M31" s="33">
        <v>0</v>
      </c>
      <c r="N31" s="28">
        <f t="shared" si="11"/>
        <v>0</v>
      </c>
      <c r="O31" s="18">
        <f t="shared" si="12"/>
        <v>0</v>
      </c>
      <c r="P31" s="22">
        <f t="shared" si="12"/>
        <v>0</v>
      </c>
      <c r="Q31" s="23">
        <f>IFERROR(P31/O31,0)</f>
        <v>0</v>
      </c>
      <c r="R31" s="77"/>
    </row>
    <row r="32" spans="1:23" ht="24.6" customHeight="1">
      <c r="A32" s="76">
        <v>4</v>
      </c>
      <c r="B32" s="31" t="s">
        <v>36</v>
      </c>
      <c r="C32" s="31" t="s">
        <v>202</v>
      </c>
      <c r="D32" s="31" t="s">
        <v>203</v>
      </c>
      <c r="E32" s="31" t="s">
        <v>219</v>
      </c>
      <c r="F32" s="35">
        <v>3505.8</v>
      </c>
      <c r="G32" s="35">
        <v>3505.8</v>
      </c>
      <c r="H32" s="17">
        <f t="shared" si="13"/>
        <v>0</v>
      </c>
      <c r="I32" s="33">
        <v>0</v>
      </c>
      <c r="J32" s="78">
        <f t="shared" si="10"/>
        <v>0</v>
      </c>
      <c r="K32" s="35">
        <v>3517.9</v>
      </c>
      <c r="L32" s="19">
        <f t="shared" ref="L32:L33" si="14">K32-G32</f>
        <v>12.099999999999909</v>
      </c>
      <c r="M32" s="33">
        <v>310</v>
      </c>
      <c r="N32" s="28">
        <f t="shared" si="11"/>
        <v>25.619834710743994</v>
      </c>
      <c r="O32" s="18">
        <f t="shared" si="12"/>
        <v>12.099999999999909</v>
      </c>
      <c r="P32" s="79">
        <f t="shared" si="12"/>
        <v>310</v>
      </c>
      <c r="Q32" s="23">
        <f>IFERROR(P32/O32,0)</f>
        <v>25.619834710743994</v>
      </c>
      <c r="R32" s="80"/>
    </row>
    <row r="33" spans="1:22" ht="24.6" customHeight="1">
      <c r="A33" s="76">
        <v>5</v>
      </c>
      <c r="B33" s="31" t="s">
        <v>37</v>
      </c>
      <c r="C33" s="31" t="s">
        <v>202</v>
      </c>
      <c r="D33" s="31" t="s">
        <v>203</v>
      </c>
      <c r="E33" s="31" t="s">
        <v>221</v>
      </c>
      <c r="F33" s="35">
        <v>841.1</v>
      </c>
      <c r="G33" s="35">
        <v>841.1</v>
      </c>
      <c r="H33" s="17">
        <f t="shared" si="13"/>
        <v>0</v>
      </c>
      <c r="I33" s="33">
        <v>0</v>
      </c>
      <c r="J33" s="78">
        <f t="shared" si="10"/>
        <v>0</v>
      </c>
      <c r="K33" s="35">
        <v>841.1</v>
      </c>
      <c r="L33" s="19">
        <f t="shared" si="14"/>
        <v>0</v>
      </c>
      <c r="M33" s="33">
        <v>0</v>
      </c>
      <c r="N33" s="28">
        <f t="shared" si="11"/>
        <v>0</v>
      </c>
      <c r="O33" s="18">
        <f t="shared" si="12"/>
        <v>0</v>
      </c>
      <c r="P33" s="79">
        <f t="shared" si="12"/>
        <v>0</v>
      </c>
      <c r="Q33" s="23">
        <f>IFERROR(P33/O33,0)</f>
        <v>0</v>
      </c>
      <c r="R33" s="80"/>
    </row>
    <row r="34" spans="1:22" ht="22.8" customHeight="1" thickBot="1">
      <c r="A34" s="238" t="s">
        <v>28</v>
      </c>
      <c r="B34" s="239"/>
      <c r="C34" s="180"/>
      <c r="D34" s="180"/>
      <c r="E34" s="180"/>
      <c r="F34" s="66"/>
      <c r="G34" s="66"/>
      <c r="H34" s="67">
        <f>SUM(H29:H33)</f>
        <v>0</v>
      </c>
      <c r="I34" s="67">
        <f>SUM(I29:I33)</f>
        <v>0</v>
      </c>
      <c r="J34" s="68"/>
      <c r="K34" s="68"/>
      <c r="L34" s="67">
        <f>SUM(L29:L33)</f>
        <v>88.099999999999909</v>
      </c>
      <c r="M34" s="67">
        <f>SUM(M29:M33)</f>
        <v>937.25</v>
      </c>
      <c r="N34" s="69">
        <f>SUM(N29:N33)</f>
        <v>51.388119352662457</v>
      </c>
      <c r="O34" s="70">
        <f>SUM(O29:O33)</f>
        <v>88.099999999999909</v>
      </c>
      <c r="P34" s="43">
        <f>SUM(P29:P33)</f>
        <v>937.25</v>
      </c>
      <c r="Q34" s="71">
        <f>IFERROR(P34/N34,0)</f>
        <v>18.238651497789057</v>
      </c>
      <c r="R34" s="37"/>
      <c r="S34" s="72"/>
      <c r="V34" s="51"/>
    </row>
    <row r="35" spans="1:22" ht="24" customHeight="1">
      <c r="A35" s="240" t="s">
        <v>38</v>
      </c>
      <c r="B35" s="241"/>
      <c r="C35" s="241"/>
      <c r="D35" s="241"/>
      <c r="E35" s="241"/>
      <c r="F35" s="241"/>
      <c r="G35" s="241"/>
      <c r="H35" s="241"/>
      <c r="I35" s="241"/>
      <c r="J35" s="241"/>
      <c r="K35" s="241"/>
      <c r="L35" s="241"/>
      <c r="M35" s="241"/>
      <c r="N35" s="241"/>
      <c r="O35" s="242"/>
      <c r="P35" s="46"/>
      <c r="Q35" s="47"/>
      <c r="R35" s="61"/>
      <c r="V35" s="51"/>
    </row>
    <row r="36" spans="1:22" ht="24" customHeight="1">
      <c r="A36" s="243" t="s">
        <v>3</v>
      </c>
      <c r="B36" s="243" t="s">
        <v>4</v>
      </c>
      <c r="C36" s="181"/>
      <c r="D36" s="181"/>
      <c r="E36" s="181"/>
      <c r="F36" s="213" t="s">
        <v>5</v>
      </c>
      <c r="G36" s="214"/>
      <c r="H36" s="214"/>
      <c r="I36" s="214"/>
      <c r="J36" s="215"/>
      <c r="K36" s="216" t="s">
        <v>6</v>
      </c>
      <c r="L36" s="217"/>
      <c r="M36" s="217"/>
      <c r="N36" s="218"/>
      <c r="O36" s="5"/>
      <c r="P36" s="221" t="s">
        <v>7</v>
      </c>
      <c r="Q36" s="222" t="s">
        <v>8</v>
      </c>
      <c r="R36" s="37"/>
    </row>
    <row r="37" spans="1:22" ht="24" customHeight="1">
      <c r="A37" s="244"/>
      <c r="B37" s="244"/>
      <c r="C37" s="183" t="s">
        <v>190</v>
      </c>
      <c r="D37" s="183" t="s">
        <v>191</v>
      </c>
      <c r="E37" s="183" t="s">
        <v>192</v>
      </c>
      <c r="F37" s="2" t="s">
        <v>11</v>
      </c>
      <c r="G37" s="2" t="s">
        <v>12</v>
      </c>
      <c r="H37" s="2" t="s">
        <v>13</v>
      </c>
      <c r="I37" s="2" t="s">
        <v>14</v>
      </c>
      <c r="J37" s="2" t="s">
        <v>8</v>
      </c>
      <c r="K37" s="2" t="s">
        <v>12</v>
      </c>
      <c r="L37" s="2" t="s">
        <v>13</v>
      </c>
      <c r="M37" s="2" t="s">
        <v>14</v>
      </c>
      <c r="N37" s="82" t="s">
        <v>8</v>
      </c>
      <c r="O37" s="12" t="s">
        <v>15</v>
      </c>
      <c r="P37" s="221"/>
      <c r="Q37" s="222"/>
      <c r="R37" s="37"/>
    </row>
    <row r="38" spans="1:22" ht="24" customHeight="1">
      <c r="A38" s="76">
        <v>1</v>
      </c>
      <c r="B38" s="31" t="s">
        <v>39</v>
      </c>
      <c r="C38" s="31" t="s">
        <v>204</v>
      </c>
      <c r="D38" s="31" t="s">
        <v>205</v>
      </c>
      <c r="E38" s="31" t="s">
        <v>206</v>
      </c>
      <c r="F38" s="83">
        <v>16663.599999999999</v>
      </c>
      <c r="G38" s="83">
        <v>16663.599999999999</v>
      </c>
      <c r="H38" s="35">
        <f>G38-F38</f>
        <v>0</v>
      </c>
      <c r="I38" s="33">
        <v>0</v>
      </c>
      <c r="J38" s="78">
        <f t="shared" ref="J38:J39" si="15">IFERROR(I38/H38,0)</f>
        <v>0</v>
      </c>
      <c r="K38" s="83">
        <v>16671.7</v>
      </c>
      <c r="L38" s="56">
        <f>K38-G38</f>
        <v>8.1000000000021828</v>
      </c>
      <c r="M38" s="33">
        <v>127.26</v>
      </c>
      <c r="N38" s="28">
        <f>IFERROR(M38/L38,0)</f>
        <v>15.711111111106877</v>
      </c>
      <c r="O38" s="84">
        <f t="shared" ref="O38:O39" si="16">H38+L38</f>
        <v>8.1000000000021828</v>
      </c>
      <c r="P38" s="79">
        <f>I38+M38</f>
        <v>127.26</v>
      </c>
      <c r="Q38" s="34">
        <f>IFERROR(P38/O38,0)</f>
        <v>15.711111111106877</v>
      </c>
      <c r="R38" s="37"/>
    </row>
    <row r="39" spans="1:22" ht="27" customHeight="1">
      <c r="A39" s="76">
        <v>2</v>
      </c>
      <c r="B39" s="31" t="s">
        <v>40</v>
      </c>
      <c r="C39" s="31" t="s">
        <v>204</v>
      </c>
      <c r="D39" s="31" t="s">
        <v>197</v>
      </c>
      <c r="E39" s="31" t="s">
        <v>207</v>
      </c>
      <c r="F39" s="35">
        <v>4550.8</v>
      </c>
      <c r="G39" s="35">
        <v>4550.8</v>
      </c>
      <c r="H39" s="17">
        <f>G39-F39</f>
        <v>0</v>
      </c>
      <c r="I39" s="33">
        <v>0</v>
      </c>
      <c r="J39" s="10">
        <f t="shared" si="15"/>
        <v>0</v>
      </c>
      <c r="K39" s="35">
        <v>4550.8</v>
      </c>
      <c r="L39" s="19">
        <f>K39-G39</f>
        <v>0</v>
      </c>
      <c r="M39" s="33">
        <v>0</v>
      </c>
      <c r="N39" s="28">
        <f>IFERROR(M39/L39,0)</f>
        <v>0</v>
      </c>
      <c r="O39" s="18">
        <f t="shared" si="16"/>
        <v>0</v>
      </c>
      <c r="P39" s="22">
        <f>I39+M39</f>
        <v>0</v>
      </c>
      <c r="Q39" s="23">
        <f>IFERROR(P39/O39,0)</f>
        <v>0</v>
      </c>
      <c r="R39" s="37"/>
      <c r="V39" s="51"/>
    </row>
    <row r="40" spans="1:22" ht="22.8" customHeight="1" thickBot="1">
      <c r="A40" s="196" t="s">
        <v>28</v>
      </c>
      <c r="B40" s="233"/>
      <c r="C40" s="176"/>
      <c r="D40" s="176"/>
      <c r="E40" s="176"/>
      <c r="F40" s="68"/>
      <c r="G40" s="66"/>
      <c r="H40" s="67">
        <f>SUM(H38:H39)</f>
        <v>0</v>
      </c>
      <c r="I40" s="67">
        <f>SUM(I38:I39:I39)</f>
        <v>0</v>
      </c>
      <c r="J40" s="68"/>
      <c r="K40" s="68"/>
      <c r="L40" s="67">
        <f>SUM(L38:L39)</f>
        <v>8.1000000000021828</v>
      </c>
      <c r="M40" s="67">
        <f>SUM(M38:M39)</f>
        <v>127.26</v>
      </c>
      <c r="N40" s="69">
        <f>SUM(N38:N39)</f>
        <v>15.711111111106877</v>
      </c>
      <c r="O40" s="70">
        <f>SUM(O38:O39)</f>
        <v>8.1000000000021828</v>
      </c>
      <c r="P40" s="43">
        <f>SUM(P38:P39)</f>
        <v>127.26</v>
      </c>
      <c r="Q40" s="71">
        <f>IFERROR(P40/N40,0)</f>
        <v>8.1000000000021828</v>
      </c>
      <c r="R40" s="37"/>
      <c r="S40" s="72"/>
      <c r="V40" s="51"/>
    </row>
    <row r="41" spans="1:22" ht="24" customHeight="1">
      <c r="A41" s="225" t="s">
        <v>41</v>
      </c>
      <c r="B41" s="226"/>
      <c r="C41" s="226"/>
      <c r="D41" s="226"/>
      <c r="E41" s="226"/>
      <c r="F41" s="226"/>
      <c r="G41" s="226"/>
      <c r="H41" s="226"/>
      <c r="I41" s="226"/>
      <c r="J41" s="226"/>
      <c r="K41" s="226"/>
      <c r="L41" s="226"/>
      <c r="M41" s="226"/>
      <c r="N41" s="226"/>
      <c r="O41" s="226"/>
      <c r="P41" s="46"/>
      <c r="Q41" s="47"/>
      <c r="R41" s="61"/>
    </row>
    <row r="42" spans="1:22" ht="24" customHeight="1">
      <c r="A42" s="222" t="s">
        <v>3</v>
      </c>
      <c r="B42" s="222" t="s">
        <v>4</v>
      </c>
      <c r="C42" s="5"/>
      <c r="D42" s="5"/>
      <c r="E42" s="5"/>
      <c r="F42" s="234" t="s">
        <v>5</v>
      </c>
      <c r="G42" s="234"/>
      <c r="H42" s="234"/>
      <c r="I42" s="234"/>
      <c r="J42" s="234"/>
      <c r="K42" s="235" t="s">
        <v>6</v>
      </c>
      <c r="L42" s="235"/>
      <c r="M42" s="235"/>
      <c r="N42" s="235"/>
      <c r="O42" s="5"/>
      <c r="P42" s="221" t="s">
        <v>7</v>
      </c>
      <c r="Q42" s="222" t="s">
        <v>8</v>
      </c>
      <c r="R42" s="37"/>
    </row>
    <row r="43" spans="1:22" ht="25.8" customHeight="1">
      <c r="A43" s="222"/>
      <c r="B43" s="222"/>
      <c r="C43" s="183" t="s">
        <v>190</v>
      </c>
      <c r="D43" s="183" t="s">
        <v>191</v>
      </c>
      <c r="E43" s="183" t="s">
        <v>192</v>
      </c>
      <c r="F43" s="2" t="s">
        <v>11</v>
      </c>
      <c r="G43" s="2" t="s">
        <v>12</v>
      </c>
      <c r="H43" s="2" t="s">
        <v>13</v>
      </c>
      <c r="I43" s="2" t="s">
        <v>14</v>
      </c>
      <c r="J43" s="2" t="s">
        <v>8</v>
      </c>
      <c r="K43" s="2" t="s">
        <v>12</v>
      </c>
      <c r="L43" s="2" t="s">
        <v>13</v>
      </c>
      <c r="M43" s="2" t="s">
        <v>14</v>
      </c>
      <c r="N43" s="82" t="s">
        <v>8</v>
      </c>
      <c r="O43" s="12" t="s">
        <v>15</v>
      </c>
      <c r="P43" s="221"/>
      <c r="Q43" s="222"/>
      <c r="R43" s="37"/>
    </row>
    <row r="44" spans="1:22" ht="25.8" customHeight="1">
      <c r="A44" s="5">
        <v>1</v>
      </c>
      <c r="B44" s="85" t="s">
        <v>186</v>
      </c>
      <c r="C44" s="85" t="s">
        <v>208</v>
      </c>
      <c r="D44" s="85" t="s">
        <v>197</v>
      </c>
      <c r="E44" s="178" t="s">
        <v>209</v>
      </c>
      <c r="F44" s="2">
        <v>0</v>
      </c>
      <c r="G44" s="2">
        <v>0</v>
      </c>
      <c r="H44" s="20">
        <f>G44-F44</f>
        <v>0</v>
      </c>
      <c r="I44" s="2">
        <v>0</v>
      </c>
      <c r="J44" s="10">
        <f t="shared" ref="J44:J46" si="17">IFERROR(I44/H44,0)</f>
        <v>0</v>
      </c>
      <c r="K44" s="2">
        <v>0</v>
      </c>
      <c r="L44" s="86">
        <f>K44-G44</f>
        <v>0</v>
      </c>
      <c r="M44" s="2">
        <v>0</v>
      </c>
      <c r="N44" s="28">
        <f>IFERROR(M44/L44,0)</f>
        <v>0</v>
      </c>
      <c r="O44" s="18">
        <f>H44+L44</f>
        <v>0</v>
      </c>
      <c r="P44" s="22">
        <f>I44+M44</f>
        <v>0</v>
      </c>
      <c r="Q44" s="23">
        <f>IFERROR(P44/O44,0)</f>
        <v>0</v>
      </c>
      <c r="R44" s="37"/>
    </row>
    <row r="45" spans="1:22" ht="24.6" customHeight="1">
      <c r="A45" s="76">
        <v>2</v>
      </c>
      <c r="B45" s="85" t="s">
        <v>42</v>
      </c>
      <c r="C45" s="85" t="s">
        <v>208</v>
      </c>
      <c r="D45" s="85" t="s">
        <v>197</v>
      </c>
      <c r="E45" s="178" t="s">
        <v>209</v>
      </c>
      <c r="F45" s="33">
        <v>8726.9</v>
      </c>
      <c r="G45" s="33">
        <v>8726.9</v>
      </c>
      <c r="H45" s="20">
        <f>G45-F45</f>
        <v>0</v>
      </c>
      <c r="I45" s="33">
        <v>0</v>
      </c>
      <c r="J45" s="10">
        <f t="shared" si="17"/>
        <v>0</v>
      </c>
      <c r="K45" s="33">
        <v>8726.9</v>
      </c>
      <c r="L45" s="86">
        <f>K45-G45</f>
        <v>0</v>
      </c>
      <c r="M45" s="2">
        <v>0</v>
      </c>
      <c r="N45" s="28">
        <f>IFERROR(M45/L45,0)</f>
        <v>0</v>
      </c>
      <c r="O45" s="18">
        <f>H45+L45</f>
        <v>0</v>
      </c>
      <c r="P45" s="22">
        <f>I45+M45</f>
        <v>0</v>
      </c>
      <c r="Q45" s="23">
        <f>IFERROR(P45/O45,0)</f>
        <v>0</v>
      </c>
      <c r="R45" s="87"/>
      <c r="V45" s="51"/>
    </row>
    <row r="46" spans="1:22" ht="22.8" customHeight="1">
      <c r="A46" s="76">
        <v>3</v>
      </c>
      <c r="B46" s="85" t="s">
        <v>43</v>
      </c>
      <c r="C46" s="85" t="s">
        <v>208</v>
      </c>
      <c r="D46" s="85" t="s">
        <v>197</v>
      </c>
      <c r="E46" s="178" t="s">
        <v>209</v>
      </c>
      <c r="F46" s="33">
        <v>1686</v>
      </c>
      <c r="G46" s="33">
        <v>1686</v>
      </c>
      <c r="H46" s="20">
        <f>G46-F46</f>
        <v>0</v>
      </c>
      <c r="I46" s="33">
        <v>0</v>
      </c>
      <c r="J46" s="10">
        <f t="shared" si="17"/>
        <v>0</v>
      </c>
      <c r="K46" s="33">
        <v>1686</v>
      </c>
      <c r="L46" s="86">
        <f>K46-G46</f>
        <v>0</v>
      </c>
      <c r="M46" s="2">
        <v>0</v>
      </c>
      <c r="N46" s="28">
        <f>IFERROR(M46/L46,0)</f>
        <v>0</v>
      </c>
      <c r="O46" s="18">
        <f>H46+L46</f>
        <v>0</v>
      </c>
      <c r="P46" s="22">
        <f t="shared" ref="P46" si="18">I46+M46</f>
        <v>0</v>
      </c>
      <c r="Q46" s="23">
        <f>IFERROR(P46/O46,0)</f>
        <v>0</v>
      </c>
      <c r="R46" s="87"/>
      <c r="S46" s="88"/>
      <c r="T46" s="89"/>
    </row>
    <row r="47" spans="1:22" ht="24" customHeight="1" thickBot="1">
      <c r="A47" s="223" t="s">
        <v>28</v>
      </c>
      <c r="B47" s="224"/>
      <c r="C47" s="177"/>
      <c r="D47" s="177"/>
      <c r="E47" s="177"/>
      <c r="F47" s="90"/>
      <c r="G47" s="90"/>
      <c r="H47" s="91">
        <f>SUM(H45:H46)</f>
        <v>0</v>
      </c>
      <c r="I47" s="91">
        <f>SUM(I45:I46)</f>
        <v>0</v>
      </c>
      <c r="J47" s="92"/>
      <c r="K47" s="92"/>
      <c r="L47" s="91">
        <f>SUM(L44:L46)</f>
        <v>0</v>
      </c>
      <c r="M47" s="91">
        <f>SUM(M44:M46)</f>
        <v>0</v>
      </c>
      <c r="N47" s="93">
        <f>SUM(N44:N46)</f>
        <v>0</v>
      </c>
      <c r="O47" s="94">
        <f>SUM(O44:O46)</f>
        <v>0</v>
      </c>
      <c r="P47" s="95">
        <f>SUM(P44:P46)</f>
        <v>0</v>
      </c>
      <c r="Q47" s="96" t="e">
        <f>P47/O47</f>
        <v>#DIV/0!</v>
      </c>
      <c r="R47" s="37"/>
      <c r="S47" s="97"/>
      <c r="T47" s="89"/>
    </row>
    <row r="48" spans="1:22" ht="24" customHeight="1">
      <c r="A48" s="225" t="s">
        <v>44</v>
      </c>
      <c r="B48" s="226"/>
      <c r="C48" s="226"/>
      <c r="D48" s="226"/>
      <c r="E48" s="226"/>
      <c r="F48" s="226"/>
      <c r="G48" s="226"/>
      <c r="H48" s="226"/>
      <c r="I48" s="226"/>
      <c r="J48" s="226"/>
      <c r="K48" s="226"/>
      <c r="L48" s="226"/>
      <c r="M48" s="226"/>
      <c r="N48" s="226"/>
      <c r="O48" s="226"/>
      <c r="P48" s="98"/>
      <c r="Q48" s="99"/>
      <c r="R48" s="37"/>
      <c r="S48" s="100"/>
      <c r="T48" s="100"/>
    </row>
    <row r="49" spans="1:30" ht="24" customHeight="1">
      <c r="A49" s="222" t="s">
        <v>3</v>
      </c>
      <c r="B49" s="222" t="s">
        <v>4</v>
      </c>
      <c r="C49" s="182"/>
      <c r="D49" s="182"/>
      <c r="E49" s="182"/>
      <c r="F49" s="227" t="s">
        <v>5</v>
      </c>
      <c r="G49" s="228"/>
      <c r="H49" s="228"/>
      <c r="I49" s="228"/>
      <c r="J49" s="228"/>
      <c r="K49" s="229"/>
      <c r="L49" s="230" t="s">
        <v>6</v>
      </c>
      <c r="M49" s="231"/>
      <c r="N49" s="231"/>
      <c r="O49" s="231"/>
      <c r="P49" s="231"/>
      <c r="Q49" s="232"/>
      <c r="R49" s="201" t="s">
        <v>45</v>
      </c>
      <c r="S49" s="203" t="s">
        <v>46</v>
      </c>
      <c r="T49" s="203" t="s">
        <v>47</v>
      </c>
      <c r="U49" s="205" t="s">
        <v>48</v>
      </c>
      <c r="AC49" s="101"/>
    </row>
    <row r="50" spans="1:30" ht="33" customHeight="1">
      <c r="A50" s="222"/>
      <c r="B50" s="222"/>
      <c r="C50" s="183" t="s">
        <v>190</v>
      </c>
      <c r="D50" s="183" t="s">
        <v>191</v>
      </c>
      <c r="E50" s="183" t="s">
        <v>192</v>
      </c>
      <c r="F50" s="2" t="s">
        <v>49</v>
      </c>
      <c r="G50" s="2" t="s">
        <v>50</v>
      </c>
      <c r="H50" s="2" t="s">
        <v>51</v>
      </c>
      <c r="I50" s="102" t="s">
        <v>11</v>
      </c>
      <c r="J50" s="2" t="s">
        <v>14</v>
      </c>
      <c r="K50" s="2" t="s">
        <v>8</v>
      </c>
      <c r="L50" s="2" t="s">
        <v>50</v>
      </c>
      <c r="M50" s="2" t="s">
        <v>45</v>
      </c>
      <c r="N50" s="102" t="s">
        <v>12</v>
      </c>
      <c r="O50" s="102" t="s">
        <v>15</v>
      </c>
      <c r="P50" s="2" t="s">
        <v>14</v>
      </c>
      <c r="Q50" s="82" t="s">
        <v>8</v>
      </c>
      <c r="R50" s="202"/>
      <c r="S50" s="204"/>
      <c r="T50" s="204"/>
      <c r="U50" s="205"/>
    </row>
    <row r="51" spans="1:30" ht="21" customHeight="1">
      <c r="A51" s="81">
        <v>1</v>
      </c>
      <c r="B51" s="103" t="s">
        <v>52</v>
      </c>
      <c r="C51" s="103" t="s">
        <v>210</v>
      </c>
      <c r="D51" s="103" t="s">
        <v>194</v>
      </c>
      <c r="E51" s="178" t="s">
        <v>211</v>
      </c>
      <c r="F51" s="2">
        <v>279975.59999999998</v>
      </c>
      <c r="G51" s="2">
        <v>279975.59999999998</v>
      </c>
      <c r="H51" s="104">
        <f t="shared" ref="H51:H116" si="19">G51-F51</f>
        <v>0</v>
      </c>
      <c r="I51" s="105">
        <v>22177.02</v>
      </c>
      <c r="J51" s="49">
        <v>0</v>
      </c>
      <c r="K51" s="10">
        <f t="shared" ref="K51:K116" si="20">IFERROR(H51/J51,0)</f>
        <v>0</v>
      </c>
      <c r="L51" s="2">
        <v>279975.59999999998</v>
      </c>
      <c r="M51" s="106">
        <f t="shared" ref="M51:M116" si="21">L51-G51</f>
        <v>0</v>
      </c>
      <c r="N51" s="105">
        <v>22177.02</v>
      </c>
      <c r="O51" s="107">
        <f t="shared" ref="O51:O116" si="22">N51-I51</f>
        <v>0</v>
      </c>
      <c r="P51" s="2">
        <v>0</v>
      </c>
      <c r="Q51" s="28">
        <f t="shared" ref="Q51:Q116" si="23">IFERROR(M51/P51,0)</f>
        <v>0</v>
      </c>
      <c r="R51" s="84">
        <f t="shared" ref="R51:R116" si="24">M51+H51</f>
        <v>0</v>
      </c>
      <c r="S51" s="79">
        <f t="shared" ref="S51:S116" si="25">J51+P51</f>
        <v>0</v>
      </c>
      <c r="T51" s="34">
        <f t="shared" ref="T51:T116" si="26">IFERROR(R51/S51,0)</f>
        <v>0</v>
      </c>
      <c r="U51" s="108">
        <v>28</v>
      </c>
    </row>
    <row r="52" spans="1:30" ht="21" customHeight="1">
      <c r="A52" s="81">
        <v>2</v>
      </c>
      <c r="B52" s="103" t="s">
        <v>155</v>
      </c>
      <c r="C52" s="103" t="s">
        <v>210</v>
      </c>
      <c r="D52" s="103" t="s">
        <v>194</v>
      </c>
      <c r="E52" s="178" t="s">
        <v>223</v>
      </c>
      <c r="F52" s="2">
        <v>303038</v>
      </c>
      <c r="G52" s="2">
        <v>303038</v>
      </c>
      <c r="H52" s="104">
        <f t="shared" si="19"/>
        <v>0</v>
      </c>
      <c r="I52" s="105">
        <v>30635</v>
      </c>
      <c r="J52" s="49">
        <v>0</v>
      </c>
      <c r="K52" s="10">
        <f t="shared" si="20"/>
        <v>0</v>
      </c>
      <c r="L52" s="2">
        <v>303038</v>
      </c>
      <c r="M52" s="106">
        <f t="shared" si="21"/>
        <v>0</v>
      </c>
      <c r="N52" s="105">
        <v>30635</v>
      </c>
      <c r="O52" s="107">
        <f t="shared" si="22"/>
        <v>0</v>
      </c>
      <c r="P52" s="2">
        <v>0</v>
      </c>
      <c r="Q52" s="28">
        <f t="shared" si="23"/>
        <v>0</v>
      </c>
      <c r="R52" s="84">
        <f t="shared" si="24"/>
        <v>0</v>
      </c>
      <c r="S52" s="79">
        <f t="shared" si="25"/>
        <v>0</v>
      </c>
      <c r="T52" s="34">
        <f t="shared" si="26"/>
        <v>0</v>
      </c>
      <c r="U52" s="108">
        <v>44</v>
      </c>
    </row>
    <row r="53" spans="1:30" ht="21" customHeight="1">
      <c r="A53" s="81">
        <v>3</v>
      </c>
      <c r="B53" s="103" t="s">
        <v>171</v>
      </c>
      <c r="C53" s="103" t="s">
        <v>210</v>
      </c>
      <c r="D53" s="103" t="s">
        <v>194</v>
      </c>
      <c r="E53" s="178" t="s">
        <v>223</v>
      </c>
      <c r="F53" s="2">
        <v>312059</v>
      </c>
      <c r="G53" s="2">
        <v>312059</v>
      </c>
      <c r="H53" s="104">
        <f t="shared" si="19"/>
        <v>0</v>
      </c>
      <c r="I53" s="105">
        <v>31170</v>
      </c>
      <c r="J53" s="49">
        <v>0</v>
      </c>
      <c r="K53" s="10">
        <f t="shared" si="20"/>
        <v>0</v>
      </c>
      <c r="L53" s="2">
        <v>312059</v>
      </c>
      <c r="M53" s="106">
        <f t="shared" si="21"/>
        <v>0</v>
      </c>
      <c r="N53" s="105">
        <v>31170</v>
      </c>
      <c r="O53" s="107">
        <f t="shared" si="22"/>
        <v>0</v>
      </c>
      <c r="P53" s="2">
        <v>0</v>
      </c>
      <c r="Q53" s="28">
        <f t="shared" si="23"/>
        <v>0</v>
      </c>
      <c r="R53" s="84">
        <f t="shared" si="24"/>
        <v>0</v>
      </c>
      <c r="S53" s="79">
        <f t="shared" si="25"/>
        <v>0</v>
      </c>
      <c r="T53" s="34">
        <f t="shared" si="26"/>
        <v>0</v>
      </c>
      <c r="U53" s="108">
        <v>31</v>
      </c>
    </row>
    <row r="54" spans="1:30" ht="21" customHeight="1">
      <c r="A54" s="81">
        <v>4</v>
      </c>
      <c r="B54" s="103" t="s">
        <v>156</v>
      </c>
      <c r="C54" s="103" t="s">
        <v>210</v>
      </c>
      <c r="D54" s="103" t="s">
        <v>194</v>
      </c>
      <c r="E54" s="178" t="s">
        <v>223</v>
      </c>
      <c r="F54" s="2">
        <v>263031</v>
      </c>
      <c r="G54" s="2">
        <v>263031</v>
      </c>
      <c r="H54" s="104">
        <f t="shared" si="19"/>
        <v>0</v>
      </c>
      <c r="I54" s="105">
        <v>27867</v>
      </c>
      <c r="J54" s="49">
        <v>0</v>
      </c>
      <c r="K54" s="10">
        <f t="shared" si="20"/>
        <v>0</v>
      </c>
      <c r="L54" s="2">
        <v>263031</v>
      </c>
      <c r="M54" s="106">
        <f t="shared" si="21"/>
        <v>0</v>
      </c>
      <c r="N54" s="105">
        <v>27867</v>
      </c>
      <c r="O54" s="107">
        <f t="shared" si="22"/>
        <v>0</v>
      </c>
      <c r="P54" s="2">
        <v>0</v>
      </c>
      <c r="Q54" s="28">
        <f t="shared" si="23"/>
        <v>0</v>
      </c>
      <c r="R54" s="84">
        <f t="shared" si="24"/>
        <v>0</v>
      </c>
      <c r="S54" s="79">
        <f t="shared" si="25"/>
        <v>0</v>
      </c>
      <c r="T54" s="34">
        <f t="shared" si="26"/>
        <v>0</v>
      </c>
      <c r="U54" s="108">
        <v>35</v>
      </c>
    </row>
    <row r="55" spans="1:30" ht="21" customHeight="1">
      <c r="A55" s="81">
        <v>5</v>
      </c>
      <c r="B55" s="103" t="s">
        <v>157</v>
      </c>
      <c r="C55" s="103" t="s">
        <v>210</v>
      </c>
      <c r="D55" s="103" t="s">
        <v>194</v>
      </c>
      <c r="E55" s="178" t="s">
        <v>223</v>
      </c>
      <c r="F55" s="2">
        <v>278101</v>
      </c>
      <c r="G55" s="2">
        <v>278101</v>
      </c>
      <c r="H55" s="104">
        <f t="shared" si="19"/>
        <v>0</v>
      </c>
      <c r="I55" s="105">
        <v>28190</v>
      </c>
      <c r="J55" s="49">
        <v>0</v>
      </c>
      <c r="K55" s="10">
        <f t="shared" si="20"/>
        <v>0</v>
      </c>
      <c r="L55" s="2">
        <v>278101</v>
      </c>
      <c r="M55" s="106">
        <f t="shared" si="21"/>
        <v>0</v>
      </c>
      <c r="N55" s="105">
        <v>28190</v>
      </c>
      <c r="O55" s="107">
        <f t="shared" si="22"/>
        <v>0</v>
      </c>
      <c r="P55" s="2">
        <v>0</v>
      </c>
      <c r="Q55" s="28">
        <f t="shared" si="23"/>
        <v>0</v>
      </c>
      <c r="R55" s="84">
        <f t="shared" si="24"/>
        <v>0</v>
      </c>
      <c r="S55" s="79">
        <f t="shared" si="25"/>
        <v>0</v>
      </c>
      <c r="T55" s="34">
        <f t="shared" si="26"/>
        <v>0</v>
      </c>
      <c r="U55" s="108">
        <v>29</v>
      </c>
    </row>
    <row r="56" spans="1:30" ht="21" customHeight="1">
      <c r="A56" s="81">
        <v>6</v>
      </c>
      <c r="B56" s="103" t="s">
        <v>172</v>
      </c>
      <c r="C56" s="103" t="s">
        <v>210</v>
      </c>
      <c r="D56" s="103" t="s">
        <v>194</v>
      </c>
      <c r="E56" s="178" t="s">
        <v>223</v>
      </c>
      <c r="F56" s="2">
        <v>267330</v>
      </c>
      <c r="G56" s="2">
        <v>267330</v>
      </c>
      <c r="H56" s="104">
        <f t="shared" si="19"/>
        <v>0</v>
      </c>
      <c r="I56" s="105">
        <v>26455</v>
      </c>
      <c r="J56" s="49">
        <v>0</v>
      </c>
      <c r="K56" s="10">
        <f t="shared" si="20"/>
        <v>0</v>
      </c>
      <c r="L56" s="2">
        <v>267403</v>
      </c>
      <c r="M56" s="106">
        <f t="shared" si="21"/>
        <v>73</v>
      </c>
      <c r="N56" s="105">
        <v>26463</v>
      </c>
      <c r="O56" s="107">
        <f t="shared" si="22"/>
        <v>8</v>
      </c>
      <c r="P56" s="2">
        <v>98</v>
      </c>
      <c r="Q56" s="28">
        <f t="shared" si="23"/>
        <v>0.74489795918367352</v>
      </c>
      <c r="R56" s="84">
        <f t="shared" si="24"/>
        <v>73</v>
      </c>
      <c r="S56" s="79">
        <f t="shared" si="25"/>
        <v>98</v>
      </c>
      <c r="T56" s="34">
        <f t="shared" si="26"/>
        <v>0.74489795918367352</v>
      </c>
      <c r="U56" s="108">
        <v>11</v>
      </c>
    </row>
    <row r="57" spans="1:30" ht="21" customHeight="1">
      <c r="A57" s="81">
        <v>7</v>
      </c>
      <c r="B57" s="103" t="s">
        <v>173</v>
      </c>
      <c r="C57" s="103" t="s">
        <v>210</v>
      </c>
      <c r="D57" s="103" t="s">
        <v>194</v>
      </c>
      <c r="E57" s="178" t="s">
        <v>223</v>
      </c>
      <c r="F57" s="2">
        <v>295972</v>
      </c>
      <c r="G57" s="2">
        <v>295972</v>
      </c>
      <c r="H57" s="104">
        <f t="shared" si="19"/>
        <v>0</v>
      </c>
      <c r="I57" s="105">
        <v>28802</v>
      </c>
      <c r="J57" s="49">
        <v>0</v>
      </c>
      <c r="K57" s="10">
        <f t="shared" si="20"/>
        <v>0</v>
      </c>
      <c r="L57" s="2">
        <v>295972</v>
      </c>
      <c r="M57" s="106">
        <f t="shared" si="21"/>
        <v>0</v>
      </c>
      <c r="N57" s="105">
        <v>28802</v>
      </c>
      <c r="O57" s="107">
        <f t="shared" si="22"/>
        <v>0</v>
      </c>
      <c r="P57" s="2">
        <v>0</v>
      </c>
      <c r="Q57" s="28">
        <f t="shared" si="23"/>
        <v>0</v>
      </c>
      <c r="R57" s="84">
        <f t="shared" si="24"/>
        <v>0</v>
      </c>
      <c r="S57" s="79">
        <f t="shared" si="25"/>
        <v>0</v>
      </c>
      <c r="T57" s="34">
        <f t="shared" si="26"/>
        <v>0</v>
      </c>
      <c r="U57" s="108">
        <v>0</v>
      </c>
    </row>
    <row r="58" spans="1:30" ht="24" customHeight="1">
      <c r="A58" s="81">
        <v>8</v>
      </c>
      <c r="B58" s="31" t="s">
        <v>53</v>
      </c>
      <c r="C58" s="103" t="s">
        <v>210</v>
      </c>
      <c r="D58" s="103" t="s">
        <v>194</v>
      </c>
      <c r="E58" s="178" t="s">
        <v>211</v>
      </c>
      <c r="F58" s="35">
        <v>335472.09999999998</v>
      </c>
      <c r="G58" s="35">
        <v>335472.09999999998</v>
      </c>
      <c r="H58" s="104">
        <f t="shared" si="19"/>
        <v>0</v>
      </c>
      <c r="I58" s="110">
        <v>29974.18</v>
      </c>
      <c r="J58" s="111">
        <v>0</v>
      </c>
      <c r="K58" s="10">
        <f t="shared" si="20"/>
        <v>0</v>
      </c>
      <c r="L58" s="35">
        <v>335472.09999999998</v>
      </c>
      <c r="M58" s="106">
        <f t="shared" si="21"/>
        <v>0</v>
      </c>
      <c r="N58" s="110">
        <v>29974.18</v>
      </c>
      <c r="O58" s="107">
        <f t="shared" si="22"/>
        <v>0</v>
      </c>
      <c r="P58" s="112">
        <v>0</v>
      </c>
      <c r="Q58" s="28">
        <f t="shared" si="23"/>
        <v>0</v>
      </c>
      <c r="R58" s="84">
        <f t="shared" si="24"/>
        <v>0</v>
      </c>
      <c r="S58" s="79">
        <f t="shared" si="25"/>
        <v>0</v>
      </c>
      <c r="T58" s="34">
        <f t="shared" si="26"/>
        <v>0</v>
      </c>
      <c r="U58" s="1">
        <v>38</v>
      </c>
    </row>
    <row r="59" spans="1:30" ht="24" customHeight="1">
      <c r="A59" s="81">
        <v>9</v>
      </c>
      <c r="B59" s="31" t="s">
        <v>54</v>
      </c>
      <c r="C59" s="103" t="s">
        <v>210</v>
      </c>
      <c r="D59" s="103" t="s">
        <v>194</v>
      </c>
      <c r="E59" s="178" t="s">
        <v>211</v>
      </c>
      <c r="F59" s="104">
        <v>294295</v>
      </c>
      <c r="G59" s="104">
        <v>294295</v>
      </c>
      <c r="H59" s="104">
        <f t="shared" si="19"/>
        <v>0</v>
      </c>
      <c r="I59" s="110">
        <v>28202.11</v>
      </c>
      <c r="J59" s="111">
        <v>0</v>
      </c>
      <c r="K59" s="10">
        <f t="shared" si="20"/>
        <v>0</v>
      </c>
      <c r="L59" s="104">
        <v>294295</v>
      </c>
      <c r="M59" s="106">
        <f>L59-G59</f>
        <v>0</v>
      </c>
      <c r="N59" s="110">
        <v>28202.11</v>
      </c>
      <c r="O59" s="107">
        <f t="shared" si="22"/>
        <v>0</v>
      </c>
      <c r="P59" s="111">
        <v>0</v>
      </c>
      <c r="Q59" s="28">
        <f t="shared" si="23"/>
        <v>0</v>
      </c>
      <c r="R59" s="84">
        <f t="shared" si="24"/>
        <v>0</v>
      </c>
      <c r="S59" s="79">
        <f t="shared" si="25"/>
        <v>0</v>
      </c>
      <c r="T59" s="34">
        <f t="shared" si="26"/>
        <v>0</v>
      </c>
      <c r="U59" s="1">
        <v>39</v>
      </c>
      <c r="AD59" s="101"/>
    </row>
    <row r="60" spans="1:30" ht="24" customHeight="1">
      <c r="A60" s="81">
        <v>10</v>
      </c>
      <c r="B60" s="31" t="s">
        <v>55</v>
      </c>
      <c r="C60" s="103" t="s">
        <v>210</v>
      </c>
      <c r="D60" s="103" t="s">
        <v>194</v>
      </c>
      <c r="E60" s="178" t="s">
        <v>211</v>
      </c>
      <c r="F60" s="104">
        <v>298966.09999999998</v>
      </c>
      <c r="G60" s="104">
        <v>298966.09999999998</v>
      </c>
      <c r="H60" s="104">
        <f t="shared" si="19"/>
        <v>0</v>
      </c>
      <c r="I60" s="110">
        <v>27108.58</v>
      </c>
      <c r="J60" s="111">
        <v>0</v>
      </c>
      <c r="K60" s="10">
        <f t="shared" si="20"/>
        <v>0</v>
      </c>
      <c r="L60" s="104">
        <v>298966.09999999998</v>
      </c>
      <c r="M60" s="106">
        <f>L60-G60</f>
        <v>0</v>
      </c>
      <c r="N60" s="110">
        <v>27108.58</v>
      </c>
      <c r="O60" s="107">
        <f t="shared" si="22"/>
        <v>0</v>
      </c>
      <c r="P60" s="111">
        <v>0</v>
      </c>
      <c r="Q60" s="28">
        <f t="shared" si="23"/>
        <v>0</v>
      </c>
      <c r="R60" s="84">
        <f t="shared" si="24"/>
        <v>0</v>
      </c>
      <c r="S60" s="79">
        <f t="shared" si="25"/>
        <v>0</v>
      </c>
      <c r="T60" s="34">
        <f t="shared" si="26"/>
        <v>0</v>
      </c>
      <c r="U60" s="1">
        <v>0</v>
      </c>
      <c r="AD60" s="101"/>
    </row>
    <row r="61" spans="1:30" ht="24" customHeight="1">
      <c r="A61" s="81">
        <v>11</v>
      </c>
      <c r="B61" s="31" t="s">
        <v>56</v>
      </c>
      <c r="C61" s="103" t="s">
        <v>210</v>
      </c>
      <c r="D61" s="103" t="s">
        <v>194</v>
      </c>
      <c r="E61" s="178" t="s">
        <v>211</v>
      </c>
      <c r="F61" s="104">
        <v>341845</v>
      </c>
      <c r="G61" s="104">
        <v>341845</v>
      </c>
      <c r="H61" s="104">
        <f t="shared" si="19"/>
        <v>0</v>
      </c>
      <c r="I61" s="110">
        <v>27024.46</v>
      </c>
      <c r="J61" s="111">
        <v>0</v>
      </c>
      <c r="K61" s="10">
        <f t="shared" si="20"/>
        <v>0</v>
      </c>
      <c r="L61" s="104">
        <v>341845</v>
      </c>
      <c r="M61" s="106">
        <f>L61-G61</f>
        <v>0</v>
      </c>
      <c r="N61" s="110">
        <v>27024.46</v>
      </c>
      <c r="O61" s="107">
        <f t="shared" si="22"/>
        <v>0</v>
      </c>
      <c r="P61" s="111">
        <v>0</v>
      </c>
      <c r="Q61" s="28">
        <f t="shared" si="23"/>
        <v>0</v>
      </c>
      <c r="R61" s="84">
        <f t="shared" si="24"/>
        <v>0</v>
      </c>
      <c r="S61" s="79">
        <f t="shared" si="25"/>
        <v>0</v>
      </c>
      <c r="T61" s="34">
        <f t="shared" si="26"/>
        <v>0</v>
      </c>
      <c r="U61" s="1">
        <v>17</v>
      </c>
      <c r="AD61" s="101"/>
    </row>
    <row r="62" spans="1:30" ht="24" customHeight="1">
      <c r="A62" s="81">
        <v>12</v>
      </c>
      <c r="B62" s="31" t="s">
        <v>57</v>
      </c>
      <c r="C62" s="103" t="s">
        <v>210</v>
      </c>
      <c r="D62" s="103" t="s">
        <v>194</v>
      </c>
      <c r="E62" s="178" t="s">
        <v>211</v>
      </c>
      <c r="F62" s="104">
        <v>344876.4</v>
      </c>
      <c r="G62" s="104">
        <v>344876.4</v>
      </c>
      <c r="H62" s="104">
        <f t="shared" si="19"/>
        <v>0</v>
      </c>
      <c r="I62" s="110">
        <v>26835.33</v>
      </c>
      <c r="J62" s="111">
        <v>0</v>
      </c>
      <c r="K62" s="10">
        <f t="shared" si="20"/>
        <v>0</v>
      </c>
      <c r="L62" s="104">
        <v>344876.4</v>
      </c>
      <c r="M62" s="106">
        <f>L62-G62</f>
        <v>0</v>
      </c>
      <c r="N62" s="110">
        <v>26835.33</v>
      </c>
      <c r="O62" s="107">
        <f t="shared" si="22"/>
        <v>0</v>
      </c>
      <c r="P62" s="111">
        <v>0</v>
      </c>
      <c r="Q62" s="28">
        <f t="shared" si="23"/>
        <v>0</v>
      </c>
      <c r="R62" s="84">
        <f t="shared" si="24"/>
        <v>0</v>
      </c>
      <c r="S62" s="79">
        <f t="shared" si="25"/>
        <v>0</v>
      </c>
      <c r="T62" s="34">
        <f t="shared" si="26"/>
        <v>0</v>
      </c>
      <c r="U62" s="1">
        <v>8</v>
      </c>
      <c r="AD62" s="101"/>
    </row>
    <row r="63" spans="1:30" ht="24" customHeight="1">
      <c r="A63" s="81">
        <v>13</v>
      </c>
      <c r="B63" s="31" t="s">
        <v>58</v>
      </c>
      <c r="C63" s="103" t="s">
        <v>210</v>
      </c>
      <c r="D63" s="103" t="s">
        <v>194</v>
      </c>
      <c r="E63" s="178" t="s">
        <v>211</v>
      </c>
      <c r="F63" s="35">
        <v>301656.7</v>
      </c>
      <c r="G63" s="35">
        <v>301656.7</v>
      </c>
      <c r="H63" s="104">
        <f t="shared" si="19"/>
        <v>0</v>
      </c>
      <c r="I63" s="110">
        <v>26829.040000000001</v>
      </c>
      <c r="J63" s="111">
        <v>0</v>
      </c>
      <c r="K63" s="10">
        <f t="shared" si="20"/>
        <v>0</v>
      </c>
      <c r="L63" s="35">
        <v>301656.7</v>
      </c>
      <c r="M63" s="106">
        <f t="shared" si="21"/>
        <v>0</v>
      </c>
      <c r="N63" s="110">
        <v>26829.040000000001</v>
      </c>
      <c r="O63" s="107">
        <f t="shared" si="22"/>
        <v>0</v>
      </c>
      <c r="P63" s="112">
        <v>0</v>
      </c>
      <c r="Q63" s="28">
        <f>IFERROR(M63/P63,0)</f>
        <v>0</v>
      </c>
      <c r="R63" s="84">
        <f t="shared" si="24"/>
        <v>0</v>
      </c>
      <c r="S63" s="79">
        <f t="shared" si="25"/>
        <v>0</v>
      </c>
      <c r="T63" s="34">
        <f t="shared" si="26"/>
        <v>0</v>
      </c>
      <c r="U63" s="1">
        <v>30</v>
      </c>
      <c r="X63" s="113"/>
    </row>
    <row r="64" spans="1:30" ht="24" customHeight="1">
      <c r="A64" s="81">
        <v>14</v>
      </c>
      <c r="B64" s="31" t="s">
        <v>59</v>
      </c>
      <c r="C64" s="103" t="s">
        <v>210</v>
      </c>
      <c r="D64" s="103" t="s">
        <v>194</v>
      </c>
      <c r="E64" s="178" t="s">
        <v>211</v>
      </c>
      <c r="F64" s="35">
        <v>273623.8</v>
      </c>
      <c r="G64" s="35">
        <v>273623.8</v>
      </c>
      <c r="H64" s="104">
        <f t="shared" si="19"/>
        <v>0</v>
      </c>
      <c r="I64" s="110">
        <v>25585.32</v>
      </c>
      <c r="J64" s="111">
        <v>0</v>
      </c>
      <c r="K64" s="10">
        <f t="shared" si="20"/>
        <v>0</v>
      </c>
      <c r="L64" s="35">
        <v>273623.8</v>
      </c>
      <c r="M64" s="106">
        <f>L64-G64</f>
        <v>0</v>
      </c>
      <c r="N64" s="110">
        <v>25585.32</v>
      </c>
      <c r="O64" s="107">
        <f t="shared" si="22"/>
        <v>0</v>
      </c>
      <c r="P64" s="111">
        <v>0</v>
      </c>
      <c r="Q64" s="28">
        <f>IFERROR(M64/P64,0)</f>
        <v>0</v>
      </c>
      <c r="R64" s="84">
        <f t="shared" si="24"/>
        <v>0</v>
      </c>
      <c r="S64" s="79">
        <f t="shared" si="25"/>
        <v>0</v>
      </c>
      <c r="T64" s="34">
        <f t="shared" si="26"/>
        <v>0</v>
      </c>
      <c r="U64" s="1">
        <v>11</v>
      </c>
      <c r="AA64" t="s">
        <v>60</v>
      </c>
    </row>
    <row r="65" spans="1:21" ht="24" customHeight="1">
      <c r="A65" s="81">
        <v>15</v>
      </c>
      <c r="B65" s="31" t="s">
        <v>61</v>
      </c>
      <c r="C65" s="103" t="s">
        <v>210</v>
      </c>
      <c r="D65" s="103" t="s">
        <v>194</v>
      </c>
      <c r="E65" s="178" t="s">
        <v>211</v>
      </c>
      <c r="F65" s="104">
        <v>286761.59999999998</v>
      </c>
      <c r="G65" s="104">
        <v>286761.59999999998</v>
      </c>
      <c r="H65" s="104">
        <f t="shared" si="19"/>
        <v>0</v>
      </c>
      <c r="I65" s="110">
        <v>26775.52</v>
      </c>
      <c r="J65" s="111">
        <v>0</v>
      </c>
      <c r="K65" s="10">
        <f t="shared" si="20"/>
        <v>0</v>
      </c>
      <c r="L65" s="104">
        <v>286761.59999999998</v>
      </c>
      <c r="M65" s="106">
        <f>L65-G65</f>
        <v>0</v>
      </c>
      <c r="N65" s="110">
        <v>26775.52</v>
      </c>
      <c r="O65" s="107">
        <f t="shared" si="22"/>
        <v>0</v>
      </c>
      <c r="P65" s="112">
        <v>0</v>
      </c>
      <c r="Q65" s="28">
        <f t="shared" si="23"/>
        <v>0</v>
      </c>
      <c r="R65" s="84">
        <f t="shared" si="24"/>
        <v>0</v>
      </c>
      <c r="S65" s="79">
        <f t="shared" si="25"/>
        <v>0</v>
      </c>
      <c r="T65" s="34">
        <f t="shared" si="26"/>
        <v>0</v>
      </c>
      <c r="U65" s="1">
        <v>10</v>
      </c>
    </row>
    <row r="66" spans="1:21" ht="24" customHeight="1">
      <c r="A66" s="81">
        <v>16</v>
      </c>
      <c r="B66" s="31" t="s">
        <v>62</v>
      </c>
      <c r="C66" s="103" t="s">
        <v>210</v>
      </c>
      <c r="D66" s="103" t="s">
        <v>194</v>
      </c>
      <c r="E66" s="178" t="s">
        <v>211</v>
      </c>
      <c r="F66" s="35">
        <v>304622</v>
      </c>
      <c r="G66" s="35">
        <v>304622</v>
      </c>
      <c r="H66" s="104">
        <f t="shared" si="19"/>
        <v>0</v>
      </c>
      <c r="I66" s="110">
        <v>27412.22</v>
      </c>
      <c r="J66" s="111">
        <v>0</v>
      </c>
      <c r="K66" s="10">
        <f t="shared" si="20"/>
        <v>0</v>
      </c>
      <c r="L66" s="35">
        <v>304622</v>
      </c>
      <c r="M66" s="106">
        <f t="shared" si="21"/>
        <v>0</v>
      </c>
      <c r="N66" s="110">
        <v>27412.22</v>
      </c>
      <c r="O66" s="107">
        <f t="shared" si="22"/>
        <v>0</v>
      </c>
      <c r="P66" s="112">
        <v>0</v>
      </c>
      <c r="Q66" s="28">
        <f t="shared" si="23"/>
        <v>0</v>
      </c>
      <c r="R66" s="84">
        <f t="shared" si="24"/>
        <v>0</v>
      </c>
      <c r="S66" s="79">
        <f t="shared" si="25"/>
        <v>0</v>
      </c>
      <c r="T66" s="34">
        <f t="shared" si="26"/>
        <v>0</v>
      </c>
      <c r="U66" s="1">
        <v>0</v>
      </c>
    </row>
    <row r="67" spans="1:21" ht="24" customHeight="1">
      <c r="A67" s="81">
        <v>17</v>
      </c>
      <c r="B67" s="31" t="s">
        <v>158</v>
      </c>
      <c r="C67" s="103" t="s">
        <v>210</v>
      </c>
      <c r="D67" s="103" t="s">
        <v>194</v>
      </c>
      <c r="E67" s="178" t="s">
        <v>222</v>
      </c>
      <c r="F67" s="17">
        <v>276563</v>
      </c>
      <c r="G67" s="17">
        <v>276563</v>
      </c>
      <c r="H67" s="104">
        <f t="shared" si="19"/>
        <v>0</v>
      </c>
      <c r="I67" s="110">
        <v>25223</v>
      </c>
      <c r="J67" s="111">
        <v>0</v>
      </c>
      <c r="K67" s="10">
        <f t="shared" si="20"/>
        <v>0</v>
      </c>
      <c r="L67" s="17">
        <v>276563</v>
      </c>
      <c r="M67" s="106">
        <f t="shared" si="21"/>
        <v>0</v>
      </c>
      <c r="N67" s="110">
        <v>25223</v>
      </c>
      <c r="O67" s="107">
        <f t="shared" si="22"/>
        <v>0</v>
      </c>
      <c r="P67" s="111">
        <v>0</v>
      </c>
      <c r="Q67" s="28">
        <f t="shared" si="23"/>
        <v>0</v>
      </c>
      <c r="R67" s="84">
        <f t="shared" si="24"/>
        <v>0</v>
      </c>
      <c r="S67" s="79">
        <f t="shared" si="25"/>
        <v>0</v>
      </c>
      <c r="T67" s="34">
        <f t="shared" si="26"/>
        <v>0</v>
      </c>
      <c r="U67" s="1">
        <v>33</v>
      </c>
    </row>
    <row r="68" spans="1:21" ht="24" customHeight="1">
      <c r="A68" s="81">
        <v>18</v>
      </c>
      <c r="B68" s="31" t="s">
        <v>159</v>
      </c>
      <c r="C68" s="103" t="s">
        <v>210</v>
      </c>
      <c r="D68" s="103" t="s">
        <v>194</v>
      </c>
      <c r="E68" s="178" t="s">
        <v>222</v>
      </c>
      <c r="F68" s="17">
        <v>279844</v>
      </c>
      <c r="G68" s="17">
        <v>279844</v>
      </c>
      <c r="H68" s="104">
        <f t="shared" si="19"/>
        <v>0</v>
      </c>
      <c r="I68" s="110">
        <v>26071</v>
      </c>
      <c r="J68" s="111">
        <v>0</v>
      </c>
      <c r="K68" s="10">
        <f t="shared" si="20"/>
        <v>0</v>
      </c>
      <c r="L68" s="17">
        <v>279927</v>
      </c>
      <c r="M68" s="106">
        <f t="shared" si="21"/>
        <v>83</v>
      </c>
      <c r="N68" s="110">
        <v>26079</v>
      </c>
      <c r="O68" s="107">
        <f t="shared" si="22"/>
        <v>8</v>
      </c>
      <c r="P68" s="111">
        <v>115</v>
      </c>
      <c r="Q68" s="28">
        <f t="shared" si="23"/>
        <v>0.72173913043478266</v>
      </c>
      <c r="R68" s="84">
        <f t="shared" si="24"/>
        <v>83</v>
      </c>
      <c r="S68" s="79">
        <f t="shared" si="25"/>
        <v>115</v>
      </c>
      <c r="T68" s="34">
        <f t="shared" si="26"/>
        <v>0.72173913043478266</v>
      </c>
      <c r="U68" s="1">
        <v>17</v>
      </c>
    </row>
    <row r="69" spans="1:21" ht="24" customHeight="1">
      <c r="A69" s="81">
        <v>19</v>
      </c>
      <c r="B69" s="31" t="s">
        <v>160</v>
      </c>
      <c r="C69" s="103" t="s">
        <v>210</v>
      </c>
      <c r="D69" s="103" t="s">
        <v>194</v>
      </c>
      <c r="E69" s="178" t="s">
        <v>222</v>
      </c>
      <c r="F69" s="17">
        <v>306575</v>
      </c>
      <c r="G69" s="17">
        <v>306575</v>
      </c>
      <c r="H69" s="104">
        <f t="shared" si="19"/>
        <v>0</v>
      </c>
      <c r="I69" s="110">
        <v>25232</v>
      </c>
      <c r="J69" s="111">
        <v>0</v>
      </c>
      <c r="K69" s="10">
        <f t="shared" si="20"/>
        <v>0</v>
      </c>
      <c r="L69" s="17">
        <v>306575</v>
      </c>
      <c r="M69" s="106">
        <f t="shared" si="21"/>
        <v>0</v>
      </c>
      <c r="N69" s="110">
        <v>25232</v>
      </c>
      <c r="O69" s="107">
        <f t="shared" si="22"/>
        <v>0</v>
      </c>
      <c r="P69" s="111">
        <v>0</v>
      </c>
      <c r="Q69" s="28">
        <f t="shared" si="23"/>
        <v>0</v>
      </c>
      <c r="R69" s="84">
        <f t="shared" si="24"/>
        <v>0</v>
      </c>
      <c r="S69" s="79">
        <f t="shared" si="25"/>
        <v>0</v>
      </c>
      <c r="T69" s="34">
        <f t="shared" si="26"/>
        <v>0</v>
      </c>
      <c r="U69" s="1">
        <v>0</v>
      </c>
    </row>
    <row r="70" spans="1:21" ht="24" customHeight="1">
      <c r="A70" s="81">
        <v>20</v>
      </c>
      <c r="B70" s="31" t="s">
        <v>161</v>
      </c>
      <c r="C70" s="103" t="s">
        <v>210</v>
      </c>
      <c r="D70" s="103" t="s">
        <v>194</v>
      </c>
      <c r="E70" s="178" t="s">
        <v>222</v>
      </c>
      <c r="F70" s="17">
        <v>306347</v>
      </c>
      <c r="G70" s="17">
        <v>306347</v>
      </c>
      <c r="H70" s="104">
        <f t="shared" si="19"/>
        <v>0</v>
      </c>
      <c r="I70" s="110">
        <v>25598</v>
      </c>
      <c r="J70" s="116">
        <v>0</v>
      </c>
      <c r="K70" s="10">
        <f t="shared" si="20"/>
        <v>0</v>
      </c>
      <c r="L70" s="17">
        <v>306347</v>
      </c>
      <c r="M70" s="106">
        <f t="shared" si="21"/>
        <v>0</v>
      </c>
      <c r="N70" s="110">
        <v>25598</v>
      </c>
      <c r="O70" s="107">
        <f t="shared" si="22"/>
        <v>0</v>
      </c>
      <c r="P70" s="111">
        <v>0</v>
      </c>
      <c r="Q70" s="28">
        <f t="shared" si="23"/>
        <v>0</v>
      </c>
      <c r="R70" s="84">
        <f t="shared" si="24"/>
        <v>0</v>
      </c>
      <c r="S70" s="79">
        <f t="shared" si="25"/>
        <v>0</v>
      </c>
      <c r="T70" s="34">
        <f t="shared" si="26"/>
        <v>0</v>
      </c>
      <c r="U70" s="1">
        <v>31</v>
      </c>
    </row>
    <row r="71" spans="1:21" ht="24" customHeight="1">
      <c r="A71" s="81">
        <v>21</v>
      </c>
      <c r="B71" s="31" t="s">
        <v>162</v>
      </c>
      <c r="C71" s="103" t="s">
        <v>210</v>
      </c>
      <c r="D71" s="103" t="s">
        <v>194</v>
      </c>
      <c r="E71" s="178" t="s">
        <v>222</v>
      </c>
      <c r="F71" s="17">
        <v>322412</v>
      </c>
      <c r="G71" s="17">
        <v>322412</v>
      </c>
      <c r="H71" s="104">
        <f t="shared" si="19"/>
        <v>0</v>
      </c>
      <c r="I71" s="110">
        <v>26753</v>
      </c>
      <c r="J71" s="111">
        <v>0</v>
      </c>
      <c r="K71" s="10">
        <f t="shared" si="20"/>
        <v>0</v>
      </c>
      <c r="L71" s="17">
        <v>322412</v>
      </c>
      <c r="M71" s="106">
        <f t="shared" si="21"/>
        <v>0</v>
      </c>
      <c r="N71" s="110">
        <v>26753</v>
      </c>
      <c r="O71" s="107">
        <f t="shared" si="22"/>
        <v>0</v>
      </c>
      <c r="P71" s="111">
        <v>0</v>
      </c>
      <c r="Q71" s="28">
        <f t="shared" si="23"/>
        <v>0</v>
      </c>
      <c r="R71" s="84">
        <f t="shared" si="24"/>
        <v>0</v>
      </c>
      <c r="S71" s="79">
        <f t="shared" si="25"/>
        <v>0</v>
      </c>
      <c r="T71" s="34">
        <f t="shared" si="26"/>
        <v>0</v>
      </c>
      <c r="U71" s="1">
        <v>0</v>
      </c>
    </row>
    <row r="72" spans="1:21" ht="24" customHeight="1">
      <c r="A72" s="81">
        <v>22</v>
      </c>
      <c r="B72" s="31" t="s">
        <v>68</v>
      </c>
      <c r="C72" s="103" t="s">
        <v>210</v>
      </c>
      <c r="D72" s="103" t="s">
        <v>194</v>
      </c>
      <c r="E72" s="178" t="s">
        <v>211</v>
      </c>
      <c r="F72" s="17">
        <v>278470.59999999998</v>
      </c>
      <c r="G72" s="17">
        <v>278470.59999999998</v>
      </c>
      <c r="H72" s="104">
        <f t="shared" si="19"/>
        <v>0</v>
      </c>
      <c r="I72" s="110">
        <v>22620</v>
      </c>
      <c r="J72" s="111">
        <v>0</v>
      </c>
      <c r="K72" s="10">
        <f t="shared" si="20"/>
        <v>0</v>
      </c>
      <c r="L72" s="17">
        <v>278576</v>
      </c>
      <c r="M72" s="106">
        <f t="shared" si="21"/>
        <v>105.40000000002328</v>
      </c>
      <c r="N72" s="110">
        <v>22631</v>
      </c>
      <c r="O72" s="107">
        <f t="shared" si="22"/>
        <v>11</v>
      </c>
      <c r="P72" s="112">
        <v>180</v>
      </c>
      <c r="Q72" s="28">
        <f t="shared" si="23"/>
        <v>0.58555555555568495</v>
      </c>
      <c r="R72" s="84">
        <f t="shared" si="24"/>
        <v>105.40000000002328</v>
      </c>
      <c r="S72" s="79">
        <f t="shared" si="25"/>
        <v>180</v>
      </c>
      <c r="T72" s="34">
        <f t="shared" si="26"/>
        <v>0.58555555555568495</v>
      </c>
      <c r="U72" s="1">
        <v>23</v>
      </c>
    </row>
    <row r="73" spans="1:21" ht="24" customHeight="1">
      <c r="A73" s="81">
        <v>23</v>
      </c>
      <c r="B73" s="31" t="s">
        <v>69</v>
      </c>
      <c r="C73" s="103" t="s">
        <v>210</v>
      </c>
      <c r="D73" s="103" t="s">
        <v>194</v>
      </c>
      <c r="E73" s="178" t="s">
        <v>211</v>
      </c>
      <c r="F73" s="17">
        <v>260470.8</v>
      </c>
      <c r="G73" s="17">
        <v>260470.8</v>
      </c>
      <c r="H73" s="104">
        <f t="shared" si="19"/>
        <v>0</v>
      </c>
      <c r="I73" s="110">
        <v>19985</v>
      </c>
      <c r="J73" s="111">
        <v>0</v>
      </c>
      <c r="K73" s="10">
        <f t="shared" si="20"/>
        <v>0</v>
      </c>
      <c r="L73" s="17">
        <v>260470.8</v>
      </c>
      <c r="M73" s="106">
        <f t="shared" si="21"/>
        <v>0</v>
      </c>
      <c r="N73" s="110">
        <v>19985</v>
      </c>
      <c r="O73" s="107">
        <f t="shared" si="22"/>
        <v>0</v>
      </c>
      <c r="P73" s="112">
        <v>0</v>
      </c>
      <c r="Q73" s="28">
        <f t="shared" si="23"/>
        <v>0</v>
      </c>
      <c r="R73" s="84">
        <f t="shared" si="24"/>
        <v>0</v>
      </c>
      <c r="S73" s="79">
        <f t="shared" si="25"/>
        <v>0</v>
      </c>
      <c r="T73" s="34">
        <f t="shared" si="26"/>
        <v>0</v>
      </c>
      <c r="U73" s="1">
        <v>30</v>
      </c>
    </row>
    <row r="74" spans="1:21" ht="24" customHeight="1">
      <c r="A74" s="81">
        <v>24</v>
      </c>
      <c r="B74" s="31" t="s">
        <v>70</v>
      </c>
      <c r="C74" s="103" t="s">
        <v>210</v>
      </c>
      <c r="D74" s="103" t="s">
        <v>194</v>
      </c>
      <c r="E74" s="178" t="s">
        <v>211</v>
      </c>
      <c r="F74" s="104">
        <v>304898.8</v>
      </c>
      <c r="G74" s="104">
        <v>304898.8</v>
      </c>
      <c r="H74" s="104">
        <f t="shared" si="19"/>
        <v>0</v>
      </c>
      <c r="I74" s="110">
        <v>5163</v>
      </c>
      <c r="J74" s="111">
        <v>0</v>
      </c>
      <c r="K74" s="10">
        <f t="shared" si="20"/>
        <v>0</v>
      </c>
      <c r="L74" s="104">
        <v>305019.5</v>
      </c>
      <c r="M74" s="106">
        <f t="shared" si="21"/>
        <v>120.70000000001164</v>
      </c>
      <c r="N74" s="110">
        <v>5176</v>
      </c>
      <c r="O74" s="107">
        <f t="shared" si="22"/>
        <v>13</v>
      </c>
      <c r="P74" s="111">
        <v>195</v>
      </c>
      <c r="Q74" s="28">
        <f t="shared" si="23"/>
        <v>0.61897435897441866</v>
      </c>
      <c r="R74" s="84">
        <f t="shared" si="24"/>
        <v>120.70000000001164</v>
      </c>
      <c r="S74" s="79">
        <f t="shared" si="25"/>
        <v>195</v>
      </c>
      <c r="T74" s="34">
        <f t="shared" si="26"/>
        <v>0.61897435897441866</v>
      </c>
      <c r="U74" s="1">
        <v>24</v>
      </c>
    </row>
    <row r="75" spans="1:21" ht="24" customHeight="1">
      <c r="A75" s="81">
        <v>25</v>
      </c>
      <c r="B75" s="31" t="s">
        <v>71</v>
      </c>
      <c r="C75" s="103" t="s">
        <v>210</v>
      </c>
      <c r="D75" s="103" t="s">
        <v>194</v>
      </c>
      <c r="E75" s="178" t="s">
        <v>211</v>
      </c>
      <c r="F75" s="35">
        <v>314820.90000000002</v>
      </c>
      <c r="G75" s="35">
        <v>314820.90000000002</v>
      </c>
      <c r="H75" s="104">
        <f t="shared" si="19"/>
        <v>0</v>
      </c>
      <c r="I75" s="110">
        <v>23049</v>
      </c>
      <c r="J75" s="111">
        <v>0</v>
      </c>
      <c r="K75" s="10">
        <f t="shared" si="20"/>
        <v>0</v>
      </c>
      <c r="L75" s="35">
        <v>314925.59999999998</v>
      </c>
      <c r="M75" s="106">
        <f t="shared" si="21"/>
        <v>104.69999999995343</v>
      </c>
      <c r="N75" s="110">
        <v>23060</v>
      </c>
      <c r="O75" s="107">
        <f t="shared" si="22"/>
        <v>11</v>
      </c>
      <c r="P75" s="111">
        <v>172</v>
      </c>
      <c r="Q75" s="28">
        <f>IFERROR(M75/P75,0)</f>
        <v>0.60872093023228746</v>
      </c>
      <c r="R75" s="84">
        <f t="shared" si="24"/>
        <v>104.69999999995343</v>
      </c>
      <c r="S75" s="79">
        <f>J75+P75</f>
        <v>172</v>
      </c>
      <c r="T75" s="34">
        <f t="shared" si="26"/>
        <v>0.60872093023228746</v>
      </c>
      <c r="U75" s="1">
        <v>25</v>
      </c>
    </row>
    <row r="76" spans="1:21" ht="24" customHeight="1">
      <c r="A76" s="81">
        <v>26</v>
      </c>
      <c r="B76" s="31" t="s">
        <v>72</v>
      </c>
      <c r="C76" s="103" t="s">
        <v>210</v>
      </c>
      <c r="D76" s="103" t="s">
        <v>194</v>
      </c>
      <c r="E76" s="178" t="s">
        <v>211</v>
      </c>
      <c r="F76" s="35">
        <v>285551</v>
      </c>
      <c r="G76" s="35">
        <v>285551</v>
      </c>
      <c r="H76" s="104">
        <f t="shared" si="19"/>
        <v>0</v>
      </c>
      <c r="I76" s="110">
        <v>20683</v>
      </c>
      <c r="J76" s="111">
        <v>0</v>
      </c>
      <c r="K76" s="10">
        <f t="shared" si="20"/>
        <v>0</v>
      </c>
      <c r="L76" s="35">
        <v>285645.2</v>
      </c>
      <c r="M76" s="106">
        <f t="shared" si="21"/>
        <v>94.200000000011642</v>
      </c>
      <c r="N76" s="110">
        <v>20691</v>
      </c>
      <c r="O76" s="107">
        <f t="shared" si="22"/>
        <v>8</v>
      </c>
      <c r="P76" s="112">
        <v>132</v>
      </c>
      <c r="Q76" s="28">
        <f t="shared" si="23"/>
        <v>0.71363636363645178</v>
      </c>
      <c r="R76" s="84">
        <f t="shared" si="24"/>
        <v>94.200000000011642</v>
      </c>
      <c r="S76" s="79">
        <f t="shared" si="25"/>
        <v>132</v>
      </c>
      <c r="T76" s="34">
        <f t="shared" si="26"/>
        <v>0.71363636363645178</v>
      </c>
      <c r="U76" s="1">
        <v>44</v>
      </c>
    </row>
    <row r="77" spans="1:21" ht="24" customHeight="1">
      <c r="A77" s="81">
        <v>27</v>
      </c>
      <c r="B77" s="31" t="s">
        <v>73</v>
      </c>
      <c r="C77" s="103" t="s">
        <v>210</v>
      </c>
      <c r="D77" s="103" t="s">
        <v>194</v>
      </c>
      <c r="E77" s="178" t="s">
        <v>211</v>
      </c>
      <c r="F77" s="104">
        <v>313847.09999999998</v>
      </c>
      <c r="G77" s="104">
        <v>313847.09999999998</v>
      </c>
      <c r="H77" s="104">
        <f t="shared" si="19"/>
        <v>0</v>
      </c>
      <c r="I77" s="110">
        <v>22817</v>
      </c>
      <c r="J77" s="111">
        <v>0</v>
      </c>
      <c r="K77" s="10">
        <f t="shared" si="20"/>
        <v>0</v>
      </c>
      <c r="L77" s="104">
        <v>313847.09999999998</v>
      </c>
      <c r="M77" s="106">
        <f t="shared" si="21"/>
        <v>0</v>
      </c>
      <c r="N77" s="110">
        <v>22817</v>
      </c>
      <c r="O77" s="107">
        <f t="shared" si="22"/>
        <v>0</v>
      </c>
      <c r="P77" s="112">
        <v>0</v>
      </c>
      <c r="Q77" s="28">
        <f t="shared" si="23"/>
        <v>0</v>
      </c>
      <c r="R77" s="84">
        <f t="shared" si="24"/>
        <v>0</v>
      </c>
      <c r="S77" s="79">
        <f t="shared" si="25"/>
        <v>0</v>
      </c>
      <c r="T77" s="34">
        <f t="shared" si="26"/>
        <v>0</v>
      </c>
      <c r="U77" s="1">
        <v>42</v>
      </c>
    </row>
    <row r="78" spans="1:21" ht="24" customHeight="1">
      <c r="A78" s="81">
        <v>28</v>
      </c>
      <c r="B78" s="31" t="s">
        <v>74</v>
      </c>
      <c r="C78" s="103" t="s">
        <v>210</v>
      </c>
      <c r="D78" s="103" t="s">
        <v>194</v>
      </c>
      <c r="E78" s="178" t="s">
        <v>211</v>
      </c>
      <c r="F78" s="35">
        <v>284089</v>
      </c>
      <c r="G78" s="35">
        <v>284089</v>
      </c>
      <c r="H78" s="104">
        <f t="shared" si="19"/>
        <v>0</v>
      </c>
      <c r="I78" s="110">
        <v>4335</v>
      </c>
      <c r="J78" s="111">
        <v>0</v>
      </c>
      <c r="K78" s="10">
        <f t="shared" si="20"/>
        <v>0</v>
      </c>
      <c r="L78" s="35">
        <v>284191.2</v>
      </c>
      <c r="M78" s="106">
        <f t="shared" si="21"/>
        <v>102.20000000001164</v>
      </c>
      <c r="N78" s="110">
        <v>4346</v>
      </c>
      <c r="O78" s="107">
        <f>N78-I78</f>
        <v>11</v>
      </c>
      <c r="P78" s="111">
        <v>171</v>
      </c>
      <c r="Q78" s="28">
        <f t="shared" si="23"/>
        <v>0.59766081871351839</v>
      </c>
      <c r="R78" s="84">
        <f t="shared" si="24"/>
        <v>102.20000000001164</v>
      </c>
      <c r="S78" s="79">
        <f t="shared" si="25"/>
        <v>171</v>
      </c>
      <c r="T78" s="34">
        <f t="shared" si="26"/>
        <v>0.59766081871351839</v>
      </c>
      <c r="U78" s="1">
        <v>32</v>
      </c>
    </row>
    <row r="79" spans="1:21" ht="24" customHeight="1">
      <c r="A79" s="81">
        <v>29</v>
      </c>
      <c r="B79" s="31" t="s">
        <v>75</v>
      </c>
      <c r="C79" s="103" t="s">
        <v>210</v>
      </c>
      <c r="D79" s="103" t="s">
        <v>194</v>
      </c>
      <c r="E79" s="178" t="s">
        <v>211</v>
      </c>
      <c r="F79" s="104">
        <v>301894.59999999998</v>
      </c>
      <c r="G79" s="104">
        <v>301894.59999999998</v>
      </c>
      <c r="H79" s="104">
        <f t="shared" si="19"/>
        <v>0</v>
      </c>
      <c r="I79" s="110">
        <v>21762</v>
      </c>
      <c r="J79" s="111">
        <v>0</v>
      </c>
      <c r="K79" s="10">
        <f t="shared" si="20"/>
        <v>0</v>
      </c>
      <c r="L79" s="104">
        <v>301894.59999999998</v>
      </c>
      <c r="M79" s="106">
        <f t="shared" si="21"/>
        <v>0</v>
      </c>
      <c r="N79" s="110">
        <v>21762</v>
      </c>
      <c r="O79" s="107">
        <f t="shared" si="22"/>
        <v>0</v>
      </c>
      <c r="P79" s="112">
        <v>0</v>
      </c>
      <c r="Q79" s="28">
        <f t="shared" si="23"/>
        <v>0</v>
      </c>
      <c r="R79" s="84">
        <f t="shared" si="24"/>
        <v>0</v>
      </c>
      <c r="S79" s="79">
        <f t="shared" si="25"/>
        <v>0</v>
      </c>
      <c r="T79" s="34">
        <f t="shared" si="26"/>
        <v>0</v>
      </c>
      <c r="U79" s="1">
        <v>30</v>
      </c>
    </row>
    <row r="80" spans="1:21" ht="24" customHeight="1">
      <c r="A80" s="81">
        <v>30</v>
      </c>
      <c r="B80" s="31" t="s">
        <v>76</v>
      </c>
      <c r="C80" s="103" t="s">
        <v>210</v>
      </c>
      <c r="D80" s="103" t="s">
        <v>194</v>
      </c>
      <c r="E80" s="178" t="s">
        <v>211</v>
      </c>
      <c r="F80" s="104">
        <v>266504.90000000002</v>
      </c>
      <c r="G80" s="104">
        <v>266504.90000000002</v>
      </c>
      <c r="H80" s="104">
        <f t="shared" si="19"/>
        <v>0</v>
      </c>
      <c r="I80" s="110">
        <v>19714</v>
      </c>
      <c r="J80" s="111">
        <v>0</v>
      </c>
      <c r="K80" s="10">
        <f t="shared" si="20"/>
        <v>0</v>
      </c>
      <c r="L80" s="104">
        <v>266580.40000000002</v>
      </c>
      <c r="M80" s="106">
        <f t="shared" si="21"/>
        <v>75.5</v>
      </c>
      <c r="N80" s="110">
        <v>19724</v>
      </c>
      <c r="O80" s="107">
        <f t="shared" si="22"/>
        <v>10</v>
      </c>
      <c r="P80" s="111">
        <v>128</v>
      </c>
      <c r="Q80" s="28">
        <f t="shared" si="23"/>
        <v>0.58984375</v>
      </c>
      <c r="R80" s="84">
        <f t="shared" si="24"/>
        <v>75.5</v>
      </c>
      <c r="S80" s="79">
        <f t="shared" si="25"/>
        <v>128</v>
      </c>
      <c r="T80" s="34">
        <f t="shared" si="26"/>
        <v>0.58984375</v>
      </c>
      <c r="U80" s="1">
        <v>30</v>
      </c>
    </row>
    <row r="81" spans="1:21" ht="24" customHeight="1">
      <c r="A81" s="81">
        <v>31</v>
      </c>
      <c r="B81" s="31" t="s">
        <v>77</v>
      </c>
      <c r="C81" s="103" t="s">
        <v>210</v>
      </c>
      <c r="D81" s="103" t="s">
        <v>194</v>
      </c>
      <c r="E81" s="178" t="s">
        <v>211</v>
      </c>
      <c r="F81" s="83">
        <v>264143.8</v>
      </c>
      <c r="G81" s="83">
        <v>264143.8</v>
      </c>
      <c r="H81" s="104">
        <f t="shared" si="19"/>
        <v>0</v>
      </c>
      <c r="I81" s="110">
        <v>19388</v>
      </c>
      <c r="J81" s="111">
        <v>0</v>
      </c>
      <c r="K81" s="10">
        <f t="shared" si="20"/>
        <v>0</v>
      </c>
      <c r="L81" s="83">
        <v>264189.3</v>
      </c>
      <c r="M81" s="106">
        <f t="shared" si="21"/>
        <v>45.5</v>
      </c>
      <c r="N81" s="110">
        <v>19395</v>
      </c>
      <c r="O81" s="107">
        <f>N81-I81</f>
        <v>7</v>
      </c>
      <c r="P81" s="111">
        <v>83</v>
      </c>
      <c r="Q81" s="28">
        <f t="shared" si="23"/>
        <v>0.54819277108433739</v>
      </c>
      <c r="R81" s="84">
        <f t="shared" si="24"/>
        <v>45.5</v>
      </c>
      <c r="S81" s="79">
        <f t="shared" si="25"/>
        <v>83</v>
      </c>
      <c r="T81" s="34">
        <f t="shared" si="26"/>
        <v>0.54819277108433739</v>
      </c>
      <c r="U81" s="1">
        <v>31</v>
      </c>
    </row>
    <row r="82" spans="1:21" ht="24" customHeight="1">
      <c r="A82" s="81">
        <v>32</v>
      </c>
      <c r="B82" s="31" t="s">
        <v>78</v>
      </c>
      <c r="C82" s="103" t="s">
        <v>210</v>
      </c>
      <c r="D82" s="103" t="s">
        <v>194</v>
      </c>
      <c r="E82" s="178" t="s">
        <v>211</v>
      </c>
      <c r="F82" s="104">
        <v>290366</v>
      </c>
      <c r="G82" s="104">
        <v>290366</v>
      </c>
      <c r="H82" s="104">
        <f t="shared" si="19"/>
        <v>0</v>
      </c>
      <c r="I82" s="110">
        <v>20992</v>
      </c>
      <c r="J82" s="111">
        <v>0</v>
      </c>
      <c r="K82" s="10">
        <f t="shared" si="20"/>
        <v>0</v>
      </c>
      <c r="L82" s="104">
        <v>290416.2</v>
      </c>
      <c r="M82" s="106">
        <f t="shared" si="21"/>
        <v>50.200000000011642</v>
      </c>
      <c r="N82" s="110">
        <v>21000</v>
      </c>
      <c r="O82" s="107">
        <f t="shared" si="22"/>
        <v>8</v>
      </c>
      <c r="P82" s="111">
        <v>88</v>
      </c>
      <c r="Q82" s="28">
        <f t="shared" si="23"/>
        <v>0.57045454545467777</v>
      </c>
      <c r="R82" s="84">
        <f t="shared" si="24"/>
        <v>50.200000000011642</v>
      </c>
      <c r="S82" s="79">
        <f t="shared" si="25"/>
        <v>88</v>
      </c>
      <c r="T82" s="34">
        <f t="shared" si="26"/>
        <v>0.57045454545467777</v>
      </c>
      <c r="U82" s="1">
        <v>31</v>
      </c>
    </row>
    <row r="83" spans="1:21" ht="24" customHeight="1">
      <c r="A83" s="81">
        <v>33</v>
      </c>
      <c r="B83" s="31" t="s">
        <v>79</v>
      </c>
      <c r="C83" s="103" t="s">
        <v>210</v>
      </c>
      <c r="D83" s="103" t="s">
        <v>194</v>
      </c>
      <c r="E83" s="178" t="s">
        <v>211</v>
      </c>
      <c r="F83" s="104">
        <v>305109.90000000002</v>
      </c>
      <c r="G83" s="104">
        <v>305109.90000000002</v>
      </c>
      <c r="H83" s="104">
        <f t="shared" si="19"/>
        <v>0</v>
      </c>
      <c r="I83" s="110">
        <v>21738</v>
      </c>
      <c r="J83" s="111">
        <v>0</v>
      </c>
      <c r="K83" s="10">
        <f t="shared" si="20"/>
        <v>0</v>
      </c>
      <c r="L83" s="104">
        <v>305177.2</v>
      </c>
      <c r="M83" s="106">
        <f t="shared" si="21"/>
        <v>67.299999999988358</v>
      </c>
      <c r="N83" s="110">
        <v>21746</v>
      </c>
      <c r="O83" s="107">
        <f t="shared" si="22"/>
        <v>8</v>
      </c>
      <c r="P83" s="111">
        <v>111</v>
      </c>
      <c r="Q83" s="28">
        <f t="shared" si="23"/>
        <v>0.60630630630620141</v>
      </c>
      <c r="R83" s="84">
        <f t="shared" si="24"/>
        <v>67.299999999988358</v>
      </c>
      <c r="S83" s="79">
        <f t="shared" si="25"/>
        <v>111</v>
      </c>
      <c r="T83" s="34">
        <f t="shared" si="26"/>
        <v>0.60630630630620141</v>
      </c>
      <c r="U83" s="1">
        <v>44</v>
      </c>
    </row>
    <row r="84" spans="1:21" ht="24" customHeight="1">
      <c r="A84" s="81">
        <v>34</v>
      </c>
      <c r="B84" s="31" t="s">
        <v>163</v>
      </c>
      <c r="C84" s="103" t="s">
        <v>210</v>
      </c>
      <c r="D84" s="103" t="s">
        <v>194</v>
      </c>
      <c r="E84" s="178" t="s">
        <v>211</v>
      </c>
      <c r="F84" s="104">
        <v>246141.8</v>
      </c>
      <c r="G84" s="104">
        <v>246141.8</v>
      </c>
      <c r="H84" s="104">
        <f t="shared" si="19"/>
        <v>0</v>
      </c>
      <c r="I84" s="110">
        <v>18390</v>
      </c>
      <c r="J84" s="111">
        <v>0</v>
      </c>
      <c r="K84" s="10">
        <f t="shared" si="20"/>
        <v>0</v>
      </c>
      <c r="L84" s="104">
        <v>246274.1</v>
      </c>
      <c r="M84" s="106">
        <f t="shared" si="21"/>
        <v>132.30000000001746</v>
      </c>
      <c r="N84" s="110">
        <v>18405</v>
      </c>
      <c r="O84" s="107">
        <f t="shared" si="22"/>
        <v>15</v>
      </c>
      <c r="P84" s="111">
        <v>194</v>
      </c>
      <c r="Q84" s="28">
        <f t="shared" si="23"/>
        <v>0.681958762886688</v>
      </c>
      <c r="R84" s="84">
        <f t="shared" si="24"/>
        <v>132.30000000001746</v>
      </c>
      <c r="S84" s="79">
        <f t="shared" si="25"/>
        <v>194</v>
      </c>
      <c r="T84" s="34">
        <f t="shared" si="26"/>
        <v>0.681958762886688</v>
      </c>
      <c r="U84" s="1">
        <v>21</v>
      </c>
    </row>
    <row r="85" spans="1:21" ht="24" customHeight="1">
      <c r="A85" s="81">
        <v>35</v>
      </c>
      <c r="B85" s="31" t="s">
        <v>164</v>
      </c>
      <c r="C85" s="103" t="s">
        <v>210</v>
      </c>
      <c r="D85" s="103" t="s">
        <v>194</v>
      </c>
      <c r="E85" s="178" t="s">
        <v>211</v>
      </c>
      <c r="F85" s="104">
        <v>245713.5</v>
      </c>
      <c r="G85" s="104">
        <v>245713.5</v>
      </c>
      <c r="H85" s="104">
        <f t="shared" si="19"/>
        <v>0</v>
      </c>
      <c r="I85" s="110">
        <v>18373</v>
      </c>
      <c r="J85" s="111">
        <v>0</v>
      </c>
      <c r="K85" s="10">
        <f t="shared" si="20"/>
        <v>0</v>
      </c>
      <c r="L85" s="104">
        <v>245713.5</v>
      </c>
      <c r="M85" s="106">
        <f t="shared" si="21"/>
        <v>0</v>
      </c>
      <c r="N85" s="110">
        <v>18373</v>
      </c>
      <c r="O85" s="107">
        <f t="shared" si="22"/>
        <v>0</v>
      </c>
      <c r="P85" s="111">
        <v>0</v>
      </c>
      <c r="Q85" s="28">
        <f t="shared" si="23"/>
        <v>0</v>
      </c>
      <c r="R85" s="84">
        <f t="shared" si="24"/>
        <v>0</v>
      </c>
      <c r="S85" s="79">
        <f t="shared" si="25"/>
        <v>0</v>
      </c>
      <c r="T85" s="34">
        <f t="shared" si="26"/>
        <v>0</v>
      </c>
      <c r="U85" s="1">
        <v>30</v>
      </c>
    </row>
    <row r="86" spans="1:21" ht="24" customHeight="1">
      <c r="A86" s="81">
        <v>36</v>
      </c>
      <c r="B86" s="31" t="s">
        <v>165</v>
      </c>
      <c r="C86" s="103" t="s">
        <v>210</v>
      </c>
      <c r="D86" s="103" t="s">
        <v>194</v>
      </c>
      <c r="E86" s="178" t="s">
        <v>211</v>
      </c>
      <c r="F86" s="104">
        <v>252475</v>
      </c>
      <c r="G86" s="104">
        <v>252475</v>
      </c>
      <c r="H86" s="104">
        <f t="shared" si="19"/>
        <v>0</v>
      </c>
      <c r="I86" s="110">
        <v>18011</v>
      </c>
      <c r="J86" s="111">
        <v>0</v>
      </c>
      <c r="K86" s="10">
        <f t="shared" si="20"/>
        <v>0</v>
      </c>
      <c r="L86" s="104">
        <v>252475</v>
      </c>
      <c r="M86" s="106">
        <f t="shared" si="21"/>
        <v>0</v>
      </c>
      <c r="N86" s="110">
        <v>18011</v>
      </c>
      <c r="O86" s="107">
        <f t="shared" si="22"/>
        <v>0</v>
      </c>
      <c r="P86" s="112">
        <v>0</v>
      </c>
      <c r="Q86" s="28">
        <f t="shared" si="23"/>
        <v>0</v>
      </c>
      <c r="R86" s="84">
        <f t="shared" si="24"/>
        <v>0</v>
      </c>
      <c r="S86" s="79">
        <f t="shared" si="25"/>
        <v>0</v>
      </c>
      <c r="T86" s="34">
        <f t="shared" si="26"/>
        <v>0</v>
      </c>
      <c r="U86" s="1">
        <v>16</v>
      </c>
    </row>
    <row r="87" spans="1:21" ht="24" customHeight="1">
      <c r="A87" s="81">
        <v>37</v>
      </c>
      <c r="B87" s="31" t="s">
        <v>83</v>
      </c>
      <c r="C87" s="103" t="s">
        <v>210</v>
      </c>
      <c r="D87" s="103" t="s">
        <v>194</v>
      </c>
      <c r="E87" s="178" t="s">
        <v>211</v>
      </c>
      <c r="F87" s="104">
        <v>261013.6</v>
      </c>
      <c r="G87" s="104">
        <v>261013.6</v>
      </c>
      <c r="H87" s="104">
        <f t="shared" si="19"/>
        <v>0</v>
      </c>
      <c r="I87" s="110">
        <v>18536</v>
      </c>
      <c r="J87" s="111">
        <v>0</v>
      </c>
      <c r="K87" s="10">
        <f t="shared" si="20"/>
        <v>0</v>
      </c>
      <c r="L87" s="104">
        <v>261131.2</v>
      </c>
      <c r="M87" s="106">
        <f t="shared" si="21"/>
        <v>117.60000000000582</v>
      </c>
      <c r="N87" s="110">
        <v>18547</v>
      </c>
      <c r="O87" s="107">
        <f t="shared" si="22"/>
        <v>11</v>
      </c>
      <c r="P87" s="112">
        <v>173</v>
      </c>
      <c r="Q87" s="28">
        <f t="shared" si="23"/>
        <v>0.67976878612720126</v>
      </c>
      <c r="R87" s="84">
        <f t="shared" si="24"/>
        <v>117.60000000000582</v>
      </c>
      <c r="S87" s="79">
        <f t="shared" si="25"/>
        <v>173</v>
      </c>
      <c r="T87" s="34">
        <f t="shared" si="26"/>
        <v>0.67976878612720126</v>
      </c>
      <c r="U87" s="1">
        <v>29</v>
      </c>
    </row>
    <row r="88" spans="1:21" ht="24" customHeight="1">
      <c r="A88" s="81">
        <v>38</v>
      </c>
      <c r="B88" s="31" t="s">
        <v>84</v>
      </c>
      <c r="C88" s="103" t="s">
        <v>210</v>
      </c>
      <c r="D88" s="103" t="s">
        <v>194</v>
      </c>
      <c r="E88" s="178" t="s">
        <v>211</v>
      </c>
      <c r="F88" s="104">
        <v>272728.59999999998</v>
      </c>
      <c r="G88" s="104">
        <v>272728.59999999998</v>
      </c>
      <c r="H88" s="104">
        <f t="shared" si="19"/>
        <v>0</v>
      </c>
      <c r="I88" s="110">
        <v>17898</v>
      </c>
      <c r="J88" s="111">
        <v>0</v>
      </c>
      <c r="K88" s="10">
        <f t="shared" si="20"/>
        <v>0</v>
      </c>
      <c r="L88" s="104">
        <v>272856.40000000002</v>
      </c>
      <c r="M88" s="106">
        <f t="shared" si="21"/>
        <v>127.80000000004657</v>
      </c>
      <c r="N88" s="110">
        <v>17911</v>
      </c>
      <c r="O88" s="107">
        <f t="shared" si="22"/>
        <v>13</v>
      </c>
      <c r="P88" s="112">
        <v>196</v>
      </c>
      <c r="Q88" s="28">
        <f t="shared" si="23"/>
        <v>0.65204081632676825</v>
      </c>
      <c r="R88" s="84">
        <f t="shared" si="24"/>
        <v>127.80000000004657</v>
      </c>
      <c r="S88" s="79">
        <f t="shared" si="25"/>
        <v>196</v>
      </c>
      <c r="T88" s="34">
        <f t="shared" si="26"/>
        <v>0.65204081632676825</v>
      </c>
      <c r="U88" s="1">
        <v>17</v>
      </c>
    </row>
    <row r="89" spans="1:21" ht="24" customHeight="1">
      <c r="A89" s="81">
        <v>39</v>
      </c>
      <c r="B89" s="31" t="s">
        <v>85</v>
      </c>
      <c r="C89" s="103" t="s">
        <v>210</v>
      </c>
      <c r="D89" s="103" t="s">
        <v>194</v>
      </c>
      <c r="E89" s="178" t="s">
        <v>211</v>
      </c>
      <c r="F89" s="35">
        <v>280639.90000000002</v>
      </c>
      <c r="G89" s="35">
        <v>280639.90000000002</v>
      </c>
      <c r="H89" s="104">
        <f t="shared" si="19"/>
        <v>0</v>
      </c>
      <c r="I89" s="110">
        <v>19832</v>
      </c>
      <c r="J89" s="111">
        <v>0</v>
      </c>
      <c r="K89" s="10">
        <f t="shared" si="20"/>
        <v>0</v>
      </c>
      <c r="L89" s="35">
        <v>280750.40000000002</v>
      </c>
      <c r="M89" s="106">
        <f t="shared" si="21"/>
        <v>110.5</v>
      </c>
      <c r="N89" s="110">
        <v>19844</v>
      </c>
      <c r="O89" s="107">
        <f t="shared" si="22"/>
        <v>12</v>
      </c>
      <c r="P89" s="112">
        <v>177</v>
      </c>
      <c r="Q89" s="28">
        <f t="shared" si="23"/>
        <v>0.62429378531073443</v>
      </c>
      <c r="R89" s="84">
        <f t="shared" si="24"/>
        <v>110.5</v>
      </c>
      <c r="S89" s="79">
        <f t="shared" si="25"/>
        <v>177</v>
      </c>
      <c r="T89" s="34">
        <f t="shared" si="26"/>
        <v>0.62429378531073443</v>
      </c>
      <c r="U89" s="1">
        <v>23</v>
      </c>
    </row>
    <row r="90" spans="1:21" ht="24" customHeight="1">
      <c r="A90" s="81">
        <v>40</v>
      </c>
      <c r="B90" s="31" t="s">
        <v>86</v>
      </c>
      <c r="C90" s="103" t="s">
        <v>210</v>
      </c>
      <c r="D90" s="103" t="s">
        <v>194</v>
      </c>
      <c r="E90" s="178" t="s">
        <v>211</v>
      </c>
      <c r="F90" s="104">
        <v>251386.1</v>
      </c>
      <c r="G90" s="104">
        <v>251386.1</v>
      </c>
      <c r="H90" s="104">
        <f t="shared" si="19"/>
        <v>0</v>
      </c>
      <c r="I90" s="110">
        <v>17878</v>
      </c>
      <c r="J90" s="111">
        <v>0</v>
      </c>
      <c r="K90" s="10">
        <f t="shared" si="20"/>
        <v>0</v>
      </c>
      <c r="L90" s="104">
        <v>251468.6</v>
      </c>
      <c r="M90" s="106">
        <f t="shared" si="21"/>
        <v>82.5</v>
      </c>
      <c r="N90" s="110">
        <v>17888</v>
      </c>
      <c r="O90" s="107">
        <f t="shared" si="22"/>
        <v>10</v>
      </c>
      <c r="P90" s="112">
        <v>121</v>
      </c>
      <c r="Q90" s="28">
        <f t="shared" si="23"/>
        <v>0.68181818181818177</v>
      </c>
      <c r="R90" s="84">
        <f t="shared" si="24"/>
        <v>82.5</v>
      </c>
      <c r="S90" s="79">
        <f t="shared" si="25"/>
        <v>121</v>
      </c>
      <c r="T90" s="34">
        <f t="shared" si="26"/>
        <v>0.68181818181818177</v>
      </c>
      <c r="U90" s="1">
        <v>26</v>
      </c>
    </row>
    <row r="91" spans="1:21" ht="24" customHeight="1">
      <c r="A91" s="81">
        <v>41</v>
      </c>
      <c r="B91" s="31" t="s">
        <v>87</v>
      </c>
      <c r="C91" s="103" t="s">
        <v>210</v>
      </c>
      <c r="D91" s="103" t="s">
        <v>194</v>
      </c>
      <c r="E91" s="178" t="s">
        <v>211</v>
      </c>
      <c r="F91" s="104">
        <v>280224.8</v>
      </c>
      <c r="G91" s="104">
        <v>280224.8</v>
      </c>
      <c r="H91" s="104">
        <f t="shared" si="19"/>
        <v>0</v>
      </c>
      <c r="I91" s="110">
        <v>19375</v>
      </c>
      <c r="J91" s="111">
        <v>0</v>
      </c>
      <c r="K91" s="10">
        <f t="shared" si="20"/>
        <v>0</v>
      </c>
      <c r="L91" s="104">
        <v>280224.8</v>
      </c>
      <c r="M91" s="106">
        <f t="shared" si="21"/>
        <v>0</v>
      </c>
      <c r="N91" s="110">
        <v>19375</v>
      </c>
      <c r="O91" s="107">
        <f t="shared" si="22"/>
        <v>0</v>
      </c>
      <c r="P91" s="111">
        <v>0</v>
      </c>
      <c r="Q91" s="28">
        <f t="shared" si="23"/>
        <v>0</v>
      </c>
      <c r="R91" s="84">
        <f t="shared" si="24"/>
        <v>0</v>
      </c>
      <c r="S91" s="79">
        <f t="shared" si="25"/>
        <v>0</v>
      </c>
      <c r="T91" s="34">
        <f t="shared" si="26"/>
        <v>0</v>
      </c>
      <c r="U91" s="1">
        <v>28</v>
      </c>
    </row>
    <row r="92" spans="1:21" ht="24" customHeight="1">
      <c r="A92" s="81">
        <v>42</v>
      </c>
      <c r="B92" s="31" t="s">
        <v>88</v>
      </c>
      <c r="C92" s="103" t="s">
        <v>210</v>
      </c>
      <c r="D92" s="103" t="s">
        <v>194</v>
      </c>
      <c r="E92" s="178" t="s">
        <v>211</v>
      </c>
      <c r="F92" s="104">
        <v>276147.7</v>
      </c>
      <c r="G92" s="104">
        <v>276147.7</v>
      </c>
      <c r="H92" s="104">
        <f t="shared" si="19"/>
        <v>0</v>
      </c>
      <c r="I92" s="110">
        <v>18765</v>
      </c>
      <c r="J92" s="111">
        <v>0</v>
      </c>
      <c r="K92" s="10">
        <f t="shared" si="20"/>
        <v>0</v>
      </c>
      <c r="L92" s="104">
        <v>276147.7</v>
      </c>
      <c r="M92" s="106">
        <f t="shared" si="21"/>
        <v>0</v>
      </c>
      <c r="N92" s="110">
        <v>18765</v>
      </c>
      <c r="O92" s="107">
        <f t="shared" si="22"/>
        <v>0</v>
      </c>
      <c r="P92" s="111">
        <v>0</v>
      </c>
      <c r="Q92" s="28">
        <f t="shared" si="23"/>
        <v>0</v>
      </c>
      <c r="R92" s="84">
        <f t="shared" si="24"/>
        <v>0</v>
      </c>
      <c r="S92" s="79">
        <f t="shared" si="25"/>
        <v>0</v>
      </c>
      <c r="T92" s="34">
        <f t="shared" si="26"/>
        <v>0</v>
      </c>
      <c r="U92" s="1">
        <v>34</v>
      </c>
    </row>
    <row r="93" spans="1:21" ht="24" customHeight="1">
      <c r="A93" s="81">
        <v>43</v>
      </c>
      <c r="B93" s="31" t="s">
        <v>89</v>
      </c>
      <c r="C93" s="103" t="s">
        <v>210</v>
      </c>
      <c r="D93" s="103" t="s">
        <v>194</v>
      </c>
      <c r="E93" s="178" t="s">
        <v>211</v>
      </c>
      <c r="F93" s="35">
        <v>268644.8</v>
      </c>
      <c r="G93" s="35">
        <v>268644.8</v>
      </c>
      <c r="H93" s="104">
        <f t="shared" si="19"/>
        <v>0</v>
      </c>
      <c r="I93" s="110">
        <v>18426</v>
      </c>
      <c r="J93" s="111">
        <v>0</v>
      </c>
      <c r="K93" s="10">
        <f t="shared" si="20"/>
        <v>0</v>
      </c>
      <c r="L93" s="35">
        <v>268644.8</v>
      </c>
      <c r="M93" s="106">
        <f t="shared" si="21"/>
        <v>0</v>
      </c>
      <c r="N93" s="110">
        <v>18426</v>
      </c>
      <c r="O93" s="107">
        <f t="shared" si="22"/>
        <v>0</v>
      </c>
      <c r="P93" s="111">
        <v>0</v>
      </c>
      <c r="Q93" s="28">
        <f t="shared" si="23"/>
        <v>0</v>
      </c>
      <c r="R93" s="84">
        <f t="shared" si="24"/>
        <v>0</v>
      </c>
      <c r="S93" s="79">
        <f t="shared" si="25"/>
        <v>0</v>
      </c>
      <c r="T93" s="34">
        <f t="shared" si="26"/>
        <v>0</v>
      </c>
      <c r="U93" s="1">
        <v>31</v>
      </c>
    </row>
    <row r="94" spans="1:21" ht="24" customHeight="1">
      <c r="A94" s="81">
        <v>44</v>
      </c>
      <c r="B94" s="31" t="s">
        <v>90</v>
      </c>
      <c r="C94" s="103" t="s">
        <v>210</v>
      </c>
      <c r="D94" s="103" t="s">
        <v>194</v>
      </c>
      <c r="E94" s="178" t="s">
        <v>211</v>
      </c>
      <c r="F94" s="104">
        <v>245741.9</v>
      </c>
      <c r="G94" s="104">
        <v>245741.9</v>
      </c>
      <c r="H94" s="104">
        <f t="shared" si="19"/>
        <v>0</v>
      </c>
      <c r="I94" s="110">
        <v>17743</v>
      </c>
      <c r="J94" s="111">
        <v>0</v>
      </c>
      <c r="K94" s="10">
        <f>IFERROR(H94/J94,0)</f>
        <v>0</v>
      </c>
      <c r="L94" s="104">
        <v>245741.9</v>
      </c>
      <c r="M94" s="106">
        <f t="shared" si="21"/>
        <v>0</v>
      </c>
      <c r="N94" s="110">
        <v>17743</v>
      </c>
      <c r="O94" s="107">
        <f t="shared" si="22"/>
        <v>0</v>
      </c>
      <c r="P94" s="111">
        <v>0</v>
      </c>
      <c r="Q94" s="28">
        <f t="shared" si="23"/>
        <v>0</v>
      </c>
      <c r="R94" s="84">
        <f t="shared" si="24"/>
        <v>0</v>
      </c>
      <c r="S94" s="79">
        <f t="shared" si="25"/>
        <v>0</v>
      </c>
      <c r="T94" s="34">
        <f t="shared" si="26"/>
        <v>0</v>
      </c>
      <c r="U94" s="1">
        <v>23</v>
      </c>
    </row>
    <row r="95" spans="1:21" ht="24" customHeight="1">
      <c r="A95" s="81">
        <v>45</v>
      </c>
      <c r="B95" s="31" t="s">
        <v>91</v>
      </c>
      <c r="C95" s="103" t="s">
        <v>210</v>
      </c>
      <c r="D95" s="103" t="s">
        <v>194</v>
      </c>
      <c r="E95" s="178" t="s">
        <v>211</v>
      </c>
      <c r="F95" s="104">
        <v>254153.9</v>
      </c>
      <c r="G95" s="104">
        <v>254153.9</v>
      </c>
      <c r="H95" s="104">
        <f t="shared" si="19"/>
        <v>0</v>
      </c>
      <c r="I95" s="110">
        <v>17731</v>
      </c>
      <c r="J95" s="111">
        <v>0</v>
      </c>
      <c r="K95" s="10">
        <f t="shared" si="20"/>
        <v>0</v>
      </c>
      <c r="L95" s="104">
        <v>254153.9</v>
      </c>
      <c r="M95" s="106">
        <f t="shared" si="21"/>
        <v>0</v>
      </c>
      <c r="N95" s="110">
        <v>17731</v>
      </c>
      <c r="O95" s="107">
        <f t="shared" si="22"/>
        <v>0</v>
      </c>
      <c r="P95" s="111">
        <v>0</v>
      </c>
      <c r="Q95" s="28">
        <f t="shared" si="23"/>
        <v>0</v>
      </c>
      <c r="R95" s="84">
        <f t="shared" si="24"/>
        <v>0</v>
      </c>
      <c r="S95" s="79">
        <f t="shared" si="25"/>
        <v>0</v>
      </c>
      <c r="T95" s="34">
        <f t="shared" si="26"/>
        <v>0</v>
      </c>
      <c r="U95" s="1">
        <v>0</v>
      </c>
    </row>
    <row r="96" spans="1:21" ht="24" customHeight="1">
      <c r="A96" s="81">
        <v>46</v>
      </c>
      <c r="B96" s="31" t="s">
        <v>92</v>
      </c>
      <c r="C96" s="103" t="s">
        <v>210</v>
      </c>
      <c r="D96" s="103" t="s">
        <v>194</v>
      </c>
      <c r="E96" s="178" t="s">
        <v>211</v>
      </c>
      <c r="F96" s="35">
        <v>240227.8</v>
      </c>
      <c r="G96" s="35">
        <v>240227.8</v>
      </c>
      <c r="H96" s="104">
        <f>G96-F96</f>
        <v>0</v>
      </c>
      <c r="I96" s="110">
        <v>17420</v>
      </c>
      <c r="J96" s="111">
        <v>0</v>
      </c>
      <c r="K96" s="10">
        <f t="shared" si="20"/>
        <v>0</v>
      </c>
      <c r="L96" s="35">
        <v>240319.5</v>
      </c>
      <c r="M96" s="106">
        <f>L96-G96</f>
        <v>91.700000000011642</v>
      </c>
      <c r="N96" s="110">
        <v>17430</v>
      </c>
      <c r="O96" s="107">
        <f t="shared" si="22"/>
        <v>10</v>
      </c>
      <c r="P96" s="111">
        <v>142</v>
      </c>
      <c r="Q96" s="28">
        <f t="shared" si="23"/>
        <v>0.64577464788740591</v>
      </c>
      <c r="R96" s="84">
        <f t="shared" si="24"/>
        <v>91.700000000011642</v>
      </c>
      <c r="S96" s="79">
        <f>J96+P96</f>
        <v>142</v>
      </c>
      <c r="T96" s="34">
        <f t="shared" si="26"/>
        <v>0.64577464788740591</v>
      </c>
      <c r="U96" s="1">
        <v>28</v>
      </c>
    </row>
    <row r="97" spans="1:22" ht="24" customHeight="1">
      <c r="A97" s="81">
        <v>47</v>
      </c>
      <c r="B97" s="31" t="s">
        <v>93</v>
      </c>
      <c r="C97" s="103" t="s">
        <v>210</v>
      </c>
      <c r="D97" s="103" t="s">
        <v>194</v>
      </c>
      <c r="E97" s="178" t="s">
        <v>211</v>
      </c>
      <c r="F97" s="104">
        <v>248679.3</v>
      </c>
      <c r="G97" s="104">
        <v>248679.3</v>
      </c>
      <c r="H97" s="104">
        <f>G97-F97</f>
        <v>0</v>
      </c>
      <c r="I97" s="110">
        <v>16871</v>
      </c>
      <c r="J97" s="111">
        <v>0</v>
      </c>
      <c r="K97" s="10">
        <f t="shared" si="20"/>
        <v>0</v>
      </c>
      <c r="L97" s="104">
        <v>248724.8</v>
      </c>
      <c r="M97" s="106">
        <f>L97-G97</f>
        <v>45.5</v>
      </c>
      <c r="N97" s="110">
        <v>16878</v>
      </c>
      <c r="O97" s="107">
        <f t="shared" si="22"/>
        <v>7</v>
      </c>
      <c r="P97" s="111">
        <v>92</v>
      </c>
      <c r="Q97" s="28">
        <f t="shared" si="23"/>
        <v>0.49456521739130432</v>
      </c>
      <c r="R97" s="84">
        <f t="shared" si="24"/>
        <v>45.5</v>
      </c>
      <c r="S97" s="79">
        <f t="shared" si="25"/>
        <v>92</v>
      </c>
      <c r="T97" s="34">
        <f t="shared" si="26"/>
        <v>0.49456521739130432</v>
      </c>
      <c r="U97" s="1">
        <v>34</v>
      </c>
      <c r="V97" t="s">
        <v>94</v>
      </c>
    </row>
    <row r="98" spans="1:22" ht="24" customHeight="1">
      <c r="A98" s="81">
        <v>48</v>
      </c>
      <c r="B98" s="31" t="s">
        <v>95</v>
      </c>
      <c r="C98" s="103" t="s">
        <v>210</v>
      </c>
      <c r="D98" s="103" t="s">
        <v>194</v>
      </c>
      <c r="E98" s="178" t="s">
        <v>211</v>
      </c>
      <c r="F98" s="104">
        <v>245540.2</v>
      </c>
      <c r="G98" s="104">
        <v>245540.2</v>
      </c>
      <c r="H98" s="104">
        <f t="shared" si="19"/>
        <v>0</v>
      </c>
      <c r="I98" s="110">
        <v>18303</v>
      </c>
      <c r="J98" s="111">
        <v>0</v>
      </c>
      <c r="K98" s="10">
        <f t="shared" si="20"/>
        <v>0</v>
      </c>
      <c r="L98" s="104">
        <v>245540.2</v>
      </c>
      <c r="M98" s="106">
        <f t="shared" si="21"/>
        <v>0</v>
      </c>
      <c r="N98" s="110">
        <v>18303</v>
      </c>
      <c r="O98" s="107">
        <f t="shared" si="22"/>
        <v>0</v>
      </c>
      <c r="P98" s="111">
        <v>0</v>
      </c>
      <c r="Q98" s="28">
        <f t="shared" si="23"/>
        <v>0</v>
      </c>
      <c r="R98" s="84">
        <f t="shared" si="24"/>
        <v>0</v>
      </c>
      <c r="S98" s="79">
        <f t="shared" si="25"/>
        <v>0</v>
      </c>
      <c r="T98" s="34">
        <f t="shared" si="26"/>
        <v>0</v>
      </c>
      <c r="U98" s="1">
        <v>21</v>
      </c>
    </row>
    <row r="99" spans="1:22" ht="24" customHeight="1">
      <c r="A99" s="81">
        <v>49</v>
      </c>
      <c r="B99" s="31" t="s">
        <v>96</v>
      </c>
      <c r="C99" s="103" t="s">
        <v>210</v>
      </c>
      <c r="D99" s="103" t="s">
        <v>194</v>
      </c>
      <c r="E99" s="178" t="s">
        <v>211</v>
      </c>
      <c r="F99" s="35">
        <v>250125</v>
      </c>
      <c r="G99" s="35">
        <v>250125</v>
      </c>
      <c r="H99" s="104">
        <f t="shared" si="19"/>
        <v>0</v>
      </c>
      <c r="I99" s="110">
        <v>17986</v>
      </c>
      <c r="J99" s="111">
        <v>0</v>
      </c>
      <c r="K99" s="10">
        <f>IFERROR(H99/J99,0)</f>
        <v>0</v>
      </c>
      <c r="L99" s="35">
        <v>250264.4</v>
      </c>
      <c r="M99" s="106">
        <f t="shared" si="21"/>
        <v>139.39999999999418</v>
      </c>
      <c r="N99" s="110">
        <v>18000</v>
      </c>
      <c r="O99" s="107">
        <f t="shared" si="22"/>
        <v>14</v>
      </c>
      <c r="P99" s="111">
        <v>214</v>
      </c>
      <c r="Q99" s="28">
        <f t="shared" si="23"/>
        <v>0.65140186915885134</v>
      </c>
      <c r="R99" s="84">
        <f t="shared" si="24"/>
        <v>139.39999999999418</v>
      </c>
      <c r="S99" s="79">
        <f t="shared" si="25"/>
        <v>214</v>
      </c>
      <c r="T99" s="34">
        <f t="shared" si="26"/>
        <v>0.65140186915885134</v>
      </c>
      <c r="U99" s="1">
        <v>25</v>
      </c>
    </row>
    <row r="100" spans="1:22" ht="24" customHeight="1">
      <c r="A100" s="81">
        <v>50</v>
      </c>
      <c r="B100" s="31" t="s">
        <v>97</v>
      </c>
      <c r="C100" s="103" t="s">
        <v>210</v>
      </c>
      <c r="D100" s="103" t="s">
        <v>194</v>
      </c>
      <c r="E100" s="178" t="s">
        <v>211</v>
      </c>
      <c r="F100" s="104">
        <v>238868.7</v>
      </c>
      <c r="G100" s="104">
        <v>238868.7</v>
      </c>
      <c r="H100" s="104">
        <f t="shared" si="19"/>
        <v>0</v>
      </c>
      <c r="I100" s="110">
        <v>16501</v>
      </c>
      <c r="J100" s="111">
        <v>0</v>
      </c>
      <c r="K100" s="10">
        <f t="shared" si="20"/>
        <v>0</v>
      </c>
      <c r="L100" s="104">
        <v>239016.7</v>
      </c>
      <c r="M100" s="106">
        <f t="shared" si="21"/>
        <v>148</v>
      </c>
      <c r="N100" s="110">
        <v>16513</v>
      </c>
      <c r="O100" s="107">
        <f t="shared" si="22"/>
        <v>12</v>
      </c>
      <c r="P100" s="111">
        <v>235</v>
      </c>
      <c r="Q100" s="28">
        <f t="shared" si="23"/>
        <v>0.62978723404255321</v>
      </c>
      <c r="R100" s="84">
        <f t="shared" si="24"/>
        <v>148</v>
      </c>
      <c r="S100" s="79">
        <f t="shared" si="25"/>
        <v>235</v>
      </c>
      <c r="T100" s="34">
        <f t="shared" si="26"/>
        <v>0.62978723404255321</v>
      </c>
      <c r="U100" s="1">
        <v>32</v>
      </c>
    </row>
    <row r="101" spans="1:22" ht="24" customHeight="1">
      <c r="A101" s="81">
        <v>51</v>
      </c>
      <c r="B101" s="121" t="s">
        <v>166</v>
      </c>
      <c r="C101" s="103" t="s">
        <v>210</v>
      </c>
      <c r="D101" s="103" t="s">
        <v>194</v>
      </c>
      <c r="E101" s="178" t="s">
        <v>222</v>
      </c>
      <c r="F101" s="104">
        <v>206632</v>
      </c>
      <c r="G101" s="104">
        <v>206632</v>
      </c>
      <c r="H101" s="118">
        <f t="shared" si="19"/>
        <v>0</v>
      </c>
      <c r="I101" s="110">
        <v>17598</v>
      </c>
      <c r="J101" s="111">
        <v>0</v>
      </c>
      <c r="K101" s="55">
        <f t="shared" si="20"/>
        <v>0</v>
      </c>
      <c r="L101" s="104">
        <v>206632</v>
      </c>
      <c r="M101" s="119">
        <f t="shared" si="21"/>
        <v>0</v>
      </c>
      <c r="N101" s="110">
        <v>17598</v>
      </c>
      <c r="O101" s="120">
        <f t="shared" si="22"/>
        <v>0</v>
      </c>
      <c r="P101" s="111">
        <v>0</v>
      </c>
      <c r="Q101" s="28">
        <f t="shared" si="23"/>
        <v>0</v>
      </c>
      <c r="R101" s="58">
        <f t="shared" si="24"/>
        <v>0</v>
      </c>
      <c r="S101" s="79">
        <f t="shared" si="25"/>
        <v>0</v>
      </c>
      <c r="T101" s="34">
        <f t="shared" si="26"/>
        <v>0</v>
      </c>
      <c r="U101" s="1">
        <v>27</v>
      </c>
    </row>
    <row r="102" spans="1:22" ht="24" customHeight="1">
      <c r="A102" s="81">
        <v>52</v>
      </c>
      <c r="B102" s="121" t="s">
        <v>167</v>
      </c>
      <c r="C102" s="103" t="s">
        <v>210</v>
      </c>
      <c r="D102" s="103" t="s">
        <v>194</v>
      </c>
      <c r="E102" s="178" t="s">
        <v>222</v>
      </c>
      <c r="F102" s="104">
        <v>186406</v>
      </c>
      <c r="G102" s="104">
        <v>186406</v>
      </c>
      <c r="H102" s="118">
        <f t="shared" si="19"/>
        <v>0</v>
      </c>
      <c r="I102" s="110">
        <v>16317</v>
      </c>
      <c r="J102" s="111">
        <v>0</v>
      </c>
      <c r="K102" s="55">
        <f t="shared" si="20"/>
        <v>0</v>
      </c>
      <c r="L102" s="104">
        <v>186406</v>
      </c>
      <c r="M102" s="119">
        <f t="shared" si="21"/>
        <v>0</v>
      </c>
      <c r="N102" s="110">
        <v>16317</v>
      </c>
      <c r="O102" s="120">
        <f t="shared" si="22"/>
        <v>0</v>
      </c>
      <c r="P102" s="111">
        <v>0</v>
      </c>
      <c r="Q102" s="28">
        <f t="shared" si="23"/>
        <v>0</v>
      </c>
      <c r="R102" s="58">
        <f t="shared" si="24"/>
        <v>0</v>
      </c>
      <c r="S102" s="79">
        <f t="shared" si="25"/>
        <v>0</v>
      </c>
      <c r="T102" s="34">
        <f t="shared" si="26"/>
        <v>0</v>
      </c>
      <c r="U102" s="1">
        <v>0</v>
      </c>
    </row>
    <row r="103" spans="1:22" ht="24" customHeight="1">
      <c r="A103" s="81">
        <v>53</v>
      </c>
      <c r="B103" s="121" t="s">
        <v>168</v>
      </c>
      <c r="C103" s="103" t="s">
        <v>210</v>
      </c>
      <c r="D103" s="103" t="s">
        <v>194</v>
      </c>
      <c r="E103" s="178" t="s">
        <v>222</v>
      </c>
      <c r="F103" s="104">
        <v>193619</v>
      </c>
      <c r="G103" s="104">
        <v>193619</v>
      </c>
      <c r="H103" s="118">
        <f t="shared" si="19"/>
        <v>0</v>
      </c>
      <c r="I103" s="110">
        <v>17273</v>
      </c>
      <c r="J103" s="111">
        <v>0</v>
      </c>
      <c r="K103" s="55">
        <f t="shared" si="20"/>
        <v>0</v>
      </c>
      <c r="L103" s="104">
        <v>193670</v>
      </c>
      <c r="M103" s="119">
        <f t="shared" si="21"/>
        <v>51</v>
      </c>
      <c r="N103" s="110">
        <v>17282</v>
      </c>
      <c r="O103" s="120">
        <f t="shared" si="22"/>
        <v>9</v>
      </c>
      <c r="P103" s="111">
        <v>88</v>
      </c>
      <c r="Q103" s="28">
        <f t="shared" si="23"/>
        <v>0.57954545454545459</v>
      </c>
      <c r="R103" s="58">
        <f t="shared" si="24"/>
        <v>51</v>
      </c>
      <c r="S103" s="79">
        <f t="shared" si="25"/>
        <v>88</v>
      </c>
      <c r="T103" s="34">
        <f t="shared" si="26"/>
        <v>0.57954545454545459</v>
      </c>
      <c r="U103" s="1">
        <v>33</v>
      </c>
    </row>
    <row r="104" spans="1:22" ht="24" customHeight="1">
      <c r="A104" s="81">
        <v>54</v>
      </c>
      <c r="B104" s="121" t="s">
        <v>169</v>
      </c>
      <c r="C104" s="103" t="s">
        <v>210</v>
      </c>
      <c r="D104" s="103" t="s">
        <v>194</v>
      </c>
      <c r="E104" s="178" t="s">
        <v>222</v>
      </c>
      <c r="F104" s="104">
        <v>197688</v>
      </c>
      <c r="G104" s="104">
        <v>197688</v>
      </c>
      <c r="H104" s="118">
        <f t="shared" si="19"/>
        <v>0</v>
      </c>
      <c r="I104" s="110">
        <v>16758</v>
      </c>
      <c r="J104" s="111">
        <v>0</v>
      </c>
      <c r="K104" s="55">
        <f t="shared" si="20"/>
        <v>0</v>
      </c>
      <c r="L104" s="104">
        <v>197688</v>
      </c>
      <c r="M104" s="119">
        <f t="shared" si="21"/>
        <v>0</v>
      </c>
      <c r="N104" s="110">
        <v>16758</v>
      </c>
      <c r="O104" s="120">
        <f t="shared" si="22"/>
        <v>0</v>
      </c>
      <c r="P104" s="111">
        <v>0</v>
      </c>
      <c r="Q104" s="28">
        <f t="shared" si="23"/>
        <v>0</v>
      </c>
      <c r="R104" s="58">
        <f t="shared" si="24"/>
        <v>0</v>
      </c>
      <c r="S104" s="79">
        <f t="shared" si="25"/>
        <v>0</v>
      </c>
      <c r="T104" s="34">
        <f t="shared" si="26"/>
        <v>0</v>
      </c>
      <c r="U104" s="1">
        <v>26</v>
      </c>
    </row>
    <row r="105" spans="1:22" ht="24" customHeight="1">
      <c r="A105" s="81">
        <v>55</v>
      </c>
      <c r="B105" s="121" t="s">
        <v>104</v>
      </c>
      <c r="C105" s="103" t="s">
        <v>210</v>
      </c>
      <c r="D105" s="31" t="s">
        <v>194</v>
      </c>
      <c r="E105" s="31" t="s">
        <v>212</v>
      </c>
      <c r="F105" s="104">
        <v>72832.899999999994</v>
      </c>
      <c r="G105" s="104">
        <v>72832.899999999994</v>
      </c>
      <c r="H105" s="118">
        <f t="shared" si="19"/>
        <v>0</v>
      </c>
      <c r="I105" s="110">
        <v>4926</v>
      </c>
      <c r="J105" s="111">
        <v>0</v>
      </c>
      <c r="K105" s="78">
        <f t="shared" si="20"/>
        <v>0</v>
      </c>
      <c r="L105" s="104">
        <v>72832.899999999994</v>
      </c>
      <c r="M105" s="112">
        <f t="shared" si="21"/>
        <v>0</v>
      </c>
      <c r="N105" s="110">
        <v>4926</v>
      </c>
      <c r="O105" s="107">
        <f t="shared" si="22"/>
        <v>0</v>
      </c>
      <c r="P105" s="111">
        <v>0</v>
      </c>
      <c r="Q105" s="28">
        <f t="shared" si="23"/>
        <v>0</v>
      </c>
      <c r="R105" s="58">
        <f t="shared" si="24"/>
        <v>0</v>
      </c>
      <c r="S105" s="79">
        <f t="shared" si="25"/>
        <v>0</v>
      </c>
      <c r="T105" s="34">
        <f t="shared" si="26"/>
        <v>0</v>
      </c>
      <c r="U105" s="1">
        <v>34</v>
      </c>
    </row>
    <row r="106" spans="1:22" ht="24" customHeight="1">
      <c r="A106" s="81">
        <v>56</v>
      </c>
      <c r="B106" s="121" t="s">
        <v>105</v>
      </c>
      <c r="C106" s="103" t="s">
        <v>210</v>
      </c>
      <c r="D106" s="31" t="s">
        <v>194</v>
      </c>
      <c r="E106" s="31" t="s">
        <v>212</v>
      </c>
      <c r="F106" s="35">
        <v>71668</v>
      </c>
      <c r="G106" s="35">
        <v>71668</v>
      </c>
      <c r="H106" s="122">
        <f t="shared" si="19"/>
        <v>0</v>
      </c>
      <c r="I106" s="110">
        <v>4942</v>
      </c>
      <c r="J106" s="111">
        <v>0</v>
      </c>
      <c r="K106" s="78">
        <f t="shared" si="20"/>
        <v>0</v>
      </c>
      <c r="L106" s="35">
        <v>71668</v>
      </c>
      <c r="M106" s="112">
        <f t="shared" si="21"/>
        <v>0</v>
      </c>
      <c r="N106" s="110">
        <v>4942</v>
      </c>
      <c r="O106" s="107">
        <f t="shared" si="22"/>
        <v>0</v>
      </c>
      <c r="P106" s="111">
        <v>0</v>
      </c>
      <c r="Q106" s="28">
        <f t="shared" si="23"/>
        <v>0</v>
      </c>
      <c r="R106" s="58">
        <f t="shared" si="24"/>
        <v>0</v>
      </c>
      <c r="S106" s="79">
        <f t="shared" si="25"/>
        <v>0</v>
      </c>
      <c r="T106" s="34">
        <f t="shared" si="26"/>
        <v>0</v>
      </c>
      <c r="U106" s="1">
        <v>33</v>
      </c>
    </row>
    <row r="107" spans="1:22" ht="24" customHeight="1">
      <c r="A107" s="81">
        <v>57</v>
      </c>
      <c r="B107" s="121" t="s">
        <v>106</v>
      </c>
      <c r="C107" s="103" t="s">
        <v>210</v>
      </c>
      <c r="D107" s="31" t="s">
        <v>194</v>
      </c>
      <c r="E107" s="31" t="s">
        <v>212</v>
      </c>
      <c r="F107" s="104">
        <v>69542.399999999994</v>
      </c>
      <c r="G107" s="104">
        <v>69542.399999999994</v>
      </c>
      <c r="H107" s="122">
        <f t="shared" si="19"/>
        <v>0</v>
      </c>
      <c r="I107" s="110">
        <v>4965</v>
      </c>
      <c r="J107" s="111">
        <v>0</v>
      </c>
      <c r="K107" s="78">
        <f t="shared" si="20"/>
        <v>0</v>
      </c>
      <c r="L107" s="104">
        <v>69542.399999999994</v>
      </c>
      <c r="M107" s="112">
        <f t="shared" si="21"/>
        <v>0</v>
      </c>
      <c r="N107" s="110">
        <v>4965</v>
      </c>
      <c r="O107" s="107">
        <f t="shared" si="22"/>
        <v>0</v>
      </c>
      <c r="P107" s="111">
        <v>0</v>
      </c>
      <c r="Q107" s="28">
        <f t="shared" si="23"/>
        <v>0</v>
      </c>
      <c r="R107" s="58">
        <f t="shared" si="24"/>
        <v>0</v>
      </c>
      <c r="S107" s="79">
        <f t="shared" si="25"/>
        <v>0</v>
      </c>
      <c r="T107" s="34">
        <f t="shared" si="26"/>
        <v>0</v>
      </c>
      <c r="U107" s="1">
        <v>30</v>
      </c>
    </row>
    <row r="108" spans="1:22" ht="24" customHeight="1">
      <c r="A108" s="81">
        <v>58</v>
      </c>
      <c r="B108" s="121" t="s">
        <v>107</v>
      </c>
      <c r="C108" s="103" t="s">
        <v>210</v>
      </c>
      <c r="D108" s="31" t="s">
        <v>194</v>
      </c>
      <c r="E108" s="31" t="s">
        <v>212</v>
      </c>
      <c r="F108" s="104">
        <v>71808.5</v>
      </c>
      <c r="G108" s="104">
        <v>71808.5</v>
      </c>
      <c r="H108" s="122">
        <f t="shared" si="19"/>
        <v>0</v>
      </c>
      <c r="I108" s="110">
        <v>4966</v>
      </c>
      <c r="J108" s="111">
        <v>0</v>
      </c>
      <c r="K108" s="78">
        <f t="shared" si="20"/>
        <v>0</v>
      </c>
      <c r="L108" s="104">
        <v>71808.5</v>
      </c>
      <c r="M108" s="112">
        <f t="shared" si="21"/>
        <v>0</v>
      </c>
      <c r="N108" s="110">
        <v>4966</v>
      </c>
      <c r="O108" s="107">
        <f t="shared" si="22"/>
        <v>0</v>
      </c>
      <c r="P108" s="111">
        <v>0</v>
      </c>
      <c r="Q108" s="28">
        <f t="shared" si="23"/>
        <v>0</v>
      </c>
      <c r="R108" s="58">
        <f t="shared" si="24"/>
        <v>0</v>
      </c>
      <c r="S108" s="79">
        <f t="shared" si="25"/>
        <v>0</v>
      </c>
      <c r="T108" s="34">
        <f t="shared" si="26"/>
        <v>0</v>
      </c>
      <c r="U108" s="1">
        <v>30</v>
      </c>
    </row>
    <row r="109" spans="1:22" ht="24" customHeight="1">
      <c r="A109" s="81">
        <v>59</v>
      </c>
      <c r="B109" s="121" t="s">
        <v>108</v>
      </c>
      <c r="C109" s="103" t="s">
        <v>210</v>
      </c>
      <c r="D109" s="31" t="s">
        <v>194</v>
      </c>
      <c r="E109" s="31" t="s">
        <v>212</v>
      </c>
      <c r="F109" s="104">
        <v>70892.5</v>
      </c>
      <c r="G109" s="104">
        <v>70892.5</v>
      </c>
      <c r="H109" s="122">
        <f t="shared" si="19"/>
        <v>0</v>
      </c>
      <c r="I109" s="110">
        <v>4932</v>
      </c>
      <c r="J109" s="111">
        <v>0</v>
      </c>
      <c r="K109" s="78">
        <f t="shared" si="20"/>
        <v>0</v>
      </c>
      <c r="L109" s="104">
        <v>70892.5</v>
      </c>
      <c r="M109" s="112">
        <f t="shared" si="21"/>
        <v>0</v>
      </c>
      <c r="N109" s="110">
        <v>4932</v>
      </c>
      <c r="O109" s="107">
        <f t="shared" si="22"/>
        <v>0</v>
      </c>
      <c r="P109" s="111">
        <v>0</v>
      </c>
      <c r="Q109" s="28">
        <f t="shared" si="23"/>
        <v>0</v>
      </c>
      <c r="R109" s="58">
        <f t="shared" si="24"/>
        <v>0</v>
      </c>
      <c r="S109" s="79">
        <f t="shared" si="25"/>
        <v>0</v>
      </c>
      <c r="T109" s="34">
        <f t="shared" si="26"/>
        <v>0</v>
      </c>
      <c r="U109" s="1">
        <v>30</v>
      </c>
    </row>
    <row r="110" spans="1:22" ht="24" customHeight="1">
      <c r="A110" s="81">
        <v>60</v>
      </c>
      <c r="B110" s="121" t="s">
        <v>109</v>
      </c>
      <c r="C110" s="103" t="s">
        <v>210</v>
      </c>
      <c r="D110" s="31" t="s">
        <v>194</v>
      </c>
      <c r="E110" s="31" t="s">
        <v>212</v>
      </c>
      <c r="F110" s="104">
        <v>72825.399999999994</v>
      </c>
      <c r="G110" s="104">
        <v>72825.399999999994</v>
      </c>
      <c r="H110" s="118">
        <f t="shared" si="19"/>
        <v>0</v>
      </c>
      <c r="I110" s="110">
        <v>5025</v>
      </c>
      <c r="J110" s="111">
        <v>0</v>
      </c>
      <c r="K110" s="55">
        <f t="shared" si="20"/>
        <v>0</v>
      </c>
      <c r="L110" s="104">
        <v>72825.399999999994</v>
      </c>
      <c r="M110" s="119">
        <f t="shared" si="21"/>
        <v>0</v>
      </c>
      <c r="N110" s="110">
        <v>5025</v>
      </c>
      <c r="O110" s="120">
        <f t="shared" si="22"/>
        <v>0</v>
      </c>
      <c r="P110" s="111">
        <v>0</v>
      </c>
      <c r="Q110" s="28">
        <f t="shared" si="23"/>
        <v>0</v>
      </c>
      <c r="R110" s="58">
        <f t="shared" si="24"/>
        <v>0</v>
      </c>
      <c r="S110" s="79">
        <f t="shared" si="25"/>
        <v>0</v>
      </c>
      <c r="T110" s="34">
        <f t="shared" si="26"/>
        <v>0</v>
      </c>
      <c r="U110" s="1">
        <v>32</v>
      </c>
    </row>
    <row r="111" spans="1:22" ht="24" customHeight="1">
      <c r="A111" s="81">
        <v>61</v>
      </c>
      <c r="B111" s="121" t="s">
        <v>176</v>
      </c>
      <c r="C111" s="103" t="s">
        <v>210</v>
      </c>
      <c r="D111" s="31" t="s">
        <v>194</v>
      </c>
      <c r="E111" s="31" t="s">
        <v>212</v>
      </c>
      <c r="F111" s="104">
        <v>54280.5</v>
      </c>
      <c r="G111" s="104">
        <v>54280.5</v>
      </c>
      <c r="H111" s="118">
        <f t="shared" si="19"/>
        <v>0</v>
      </c>
      <c r="I111" s="110">
        <v>4375</v>
      </c>
      <c r="J111" s="111">
        <v>0</v>
      </c>
      <c r="K111" s="55">
        <f t="shared" si="20"/>
        <v>0</v>
      </c>
      <c r="L111" s="104">
        <v>54280.5</v>
      </c>
      <c r="M111" s="119">
        <f t="shared" si="21"/>
        <v>0</v>
      </c>
      <c r="N111" s="110">
        <v>4375</v>
      </c>
      <c r="O111" s="120">
        <f t="shared" si="22"/>
        <v>0</v>
      </c>
      <c r="P111" s="111">
        <v>0</v>
      </c>
      <c r="Q111" s="28">
        <f t="shared" si="23"/>
        <v>0</v>
      </c>
      <c r="R111" s="58">
        <f t="shared" si="24"/>
        <v>0</v>
      </c>
      <c r="S111" s="79">
        <f t="shared" si="25"/>
        <v>0</v>
      </c>
      <c r="T111" s="34">
        <f t="shared" si="26"/>
        <v>0</v>
      </c>
      <c r="U111" s="1">
        <v>20</v>
      </c>
    </row>
    <row r="112" spans="1:22" ht="24" customHeight="1">
      <c r="A112" s="81">
        <v>62</v>
      </c>
      <c r="B112" s="121" t="s">
        <v>177</v>
      </c>
      <c r="C112" s="103" t="s">
        <v>210</v>
      </c>
      <c r="D112" s="31" t="s">
        <v>194</v>
      </c>
      <c r="E112" s="31" t="s">
        <v>212</v>
      </c>
      <c r="F112" s="104">
        <v>53577</v>
      </c>
      <c r="G112" s="104">
        <v>53577</v>
      </c>
      <c r="H112" s="118">
        <f t="shared" si="19"/>
        <v>0</v>
      </c>
      <c r="I112" s="110">
        <v>4427</v>
      </c>
      <c r="J112" s="111">
        <v>0</v>
      </c>
      <c r="K112" s="55">
        <f t="shared" si="20"/>
        <v>0</v>
      </c>
      <c r="L112" s="104">
        <v>53577</v>
      </c>
      <c r="M112" s="119">
        <f t="shared" si="21"/>
        <v>0</v>
      </c>
      <c r="N112" s="110">
        <v>4427</v>
      </c>
      <c r="O112" s="120">
        <f t="shared" si="22"/>
        <v>0</v>
      </c>
      <c r="P112" s="111">
        <v>0</v>
      </c>
      <c r="Q112" s="28">
        <f t="shared" si="23"/>
        <v>0</v>
      </c>
      <c r="R112" s="58">
        <f t="shared" si="24"/>
        <v>0</v>
      </c>
      <c r="S112" s="79">
        <f t="shared" si="25"/>
        <v>0</v>
      </c>
      <c r="T112" s="34">
        <f t="shared" si="26"/>
        <v>0</v>
      </c>
      <c r="U112" s="1">
        <v>33</v>
      </c>
    </row>
    <row r="113" spans="1:21" ht="24" customHeight="1">
      <c r="A113" s="81">
        <v>63</v>
      </c>
      <c r="B113" s="121" t="s">
        <v>178</v>
      </c>
      <c r="C113" s="103" t="s">
        <v>210</v>
      </c>
      <c r="D113" s="31" t="s">
        <v>194</v>
      </c>
      <c r="E113" s="31" t="s">
        <v>212</v>
      </c>
      <c r="F113" s="104">
        <v>52110.5</v>
      </c>
      <c r="G113" s="104">
        <v>52110.5</v>
      </c>
      <c r="H113" s="118">
        <f t="shared" si="19"/>
        <v>0</v>
      </c>
      <c r="I113" s="110">
        <v>4167</v>
      </c>
      <c r="J113" s="111">
        <v>0</v>
      </c>
      <c r="K113" s="55">
        <f t="shared" si="20"/>
        <v>0</v>
      </c>
      <c r="L113" s="104">
        <v>52110.5</v>
      </c>
      <c r="M113" s="119">
        <f t="shared" si="21"/>
        <v>0</v>
      </c>
      <c r="N113" s="110">
        <v>4167</v>
      </c>
      <c r="O113" s="120">
        <f t="shared" si="22"/>
        <v>0</v>
      </c>
      <c r="P113" s="111">
        <v>0</v>
      </c>
      <c r="Q113" s="28">
        <f t="shared" si="23"/>
        <v>0</v>
      </c>
      <c r="R113" s="58">
        <f t="shared" si="24"/>
        <v>0</v>
      </c>
      <c r="S113" s="79">
        <f t="shared" si="25"/>
        <v>0</v>
      </c>
      <c r="T113" s="34">
        <f t="shared" si="26"/>
        <v>0</v>
      </c>
      <c r="U113" s="1">
        <v>32</v>
      </c>
    </row>
    <row r="114" spans="1:21" ht="24" customHeight="1">
      <c r="A114" s="81">
        <v>64</v>
      </c>
      <c r="B114" s="121" t="s">
        <v>179</v>
      </c>
      <c r="C114" s="103" t="s">
        <v>210</v>
      </c>
      <c r="D114" s="31" t="s">
        <v>194</v>
      </c>
      <c r="E114" s="31" t="s">
        <v>212</v>
      </c>
      <c r="F114" s="104">
        <v>52929.8</v>
      </c>
      <c r="G114" s="104">
        <v>52929.8</v>
      </c>
      <c r="H114" s="118">
        <f t="shared" si="19"/>
        <v>0</v>
      </c>
      <c r="I114" s="110">
        <v>4334</v>
      </c>
      <c r="J114" s="111">
        <v>0</v>
      </c>
      <c r="K114" s="55">
        <f t="shared" si="20"/>
        <v>0</v>
      </c>
      <c r="L114" s="104">
        <v>52929.8</v>
      </c>
      <c r="M114" s="119">
        <f t="shared" si="21"/>
        <v>0</v>
      </c>
      <c r="N114" s="110">
        <v>4334</v>
      </c>
      <c r="O114" s="120">
        <f t="shared" si="22"/>
        <v>0</v>
      </c>
      <c r="P114" s="111">
        <v>0</v>
      </c>
      <c r="Q114" s="28">
        <f t="shared" si="23"/>
        <v>0</v>
      </c>
      <c r="R114" s="58">
        <f t="shared" si="24"/>
        <v>0</v>
      </c>
      <c r="S114" s="79">
        <f t="shared" si="25"/>
        <v>0</v>
      </c>
      <c r="T114" s="34">
        <f t="shared" si="26"/>
        <v>0</v>
      </c>
      <c r="U114" s="1">
        <v>27</v>
      </c>
    </row>
    <row r="115" spans="1:21" ht="24" customHeight="1">
      <c r="A115" s="81">
        <v>65</v>
      </c>
      <c r="B115" s="121" t="s">
        <v>180</v>
      </c>
      <c r="C115" s="103" t="s">
        <v>210</v>
      </c>
      <c r="D115" s="31" t="s">
        <v>194</v>
      </c>
      <c r="E115" s="31" t="s">
        <v>212</v>
      </c>
      <c r="F115" s="104">
        <v>53301.3</v>
      </c>
      <c r="G115" s="104">
        <v>53301.3</v>
      </c>
      <c r="H115" s="118">
        <f t="shared" si="19"/>
        <v>0</v>
      </c>
      <c r="I115" s="110">
        <v>4276</v>
      </c>
      <c r="J115" s="111">
        <v>0</v>
      </c>
      <c r="K115" s="55">
        <f t="shared" si="20"/>
        <v>0</v>
      </c>
      <c r="L115" s="104">
        <v>53301.3</v>
      </c>
      <c r="M115" s="119">
        <f t="shared" si="21"/>
        <v>0</v>
      </c>
      <c r="N115" s="110">
        <v>4276</v>
      </c>
      <c r="O115" s="120">
        <f t="shared" si="22"/>
        <v>0</v>
      </c>
      <c r="P115" s="111">
        <v>0</v>
      </c>
      <c r="Q115" s="28">
        <f t="shared" si="23"/>
        <v>0</v>
      </c>
      <c r="R115" s="58">
        <f t="shared" si="24"/>
        <v>0</v>
      </c>
      <c r="S115" s="79">
        <f t="shared" si="25"/>
        <v>0</v>
      </c>
      <c r="T115" s="34">
        <f t="shared" si="26"/>
        <v>0</v>
      </c>
      <c r="U115" s="1">
        <v>34</v>
      </c>
    </row>
    <row r="116" spans="1:21" ht="24" customHeight="1">
      <c r="A116" s="81">
        <v>66</v>
      </c>
      <c r="B116" s="121" t="s">
        <v>110</v>
      </c>
      <c r="C116" s="103" t="s">
        <v>210</v>
      </c>
      <c r="D116" s="31" t="s">
        <v>194</v>
      </c>
      <c r="E116" s="31" t="s">
        <v>212</v>
      </c>
      <c r="F116" s="104">
        <v>36596.199999999997</v>
      </c>
      <c r="G116" s="104">
        <v>36596.199999999997</v>
      </c>
      <c r="H116" s="118">
        <f t="shared" si="19"/>
        <v>0</v>
      </c>
      <c r="I116" s="110">
        <v>2936</v>
      </c>
      <c r="J116" s="111">
        <v>0</v>
      </c>
      <c r="K116" s="55">
        <f t="shared" si="20"/>
        <v>0</v>
      </c>
      <c r="L116" s="104">
        <v>36596.199999999997</v>
      </c>
      <c r="M116" s="119">
        <f t="shared" si="21"/>
        <v>0</v>
      </c>
      <c r="N116" s="110">
        <v>2936</v>
      </c>
      <c r="O116" s="120">
        <f t="shared" si="22"/>
        <v>0</v>
      </c>
      <c r="P116" s="111">
        <v>0</v>
      </c>
      <c r="Q116" s="28">
        <f t="shared" si="23"/>
        <v>0</v>
      </c>
      <c r="R116" s="58">
        <f t="shared" si="24"/>
        <v>0</v>
      </c>
      <c r="S116" s="79">
        <f t="shared" si="25"/>
        <v>0</v>
      </c>
      <c r="T116" s="34">
        <f t="shared" si="26"/>
        <v>0</v>
      </c>
      <c r="U116" s="1">
        <v>32</v>
      </c>
    </row>
    <row r="117" spans="1:21" ht="22.2" customHeight="1">
      <c r="A117" s="123" t="s">
        <v>28</v>
      </c>
      <c r="B117" s="123"/>
      <c r="C117" s="123"/>
      <c r="D117" s="123"/>
      <c r="E117" s="123"/>
      <c r="F117" s="40"/>
      <c r="G117" s="123"/>
      <c r="H117" s="124">
        <f>SUM(H51:H116)</f>
        <v>0</v>
      </c>
      <c r="I117" s="125"/>
      <c r="J117" s="126">
        <f>SUM(J51:J116)</f>
        <v>0</v>
      </c>
      <c r="K117" s="39"/>
      <c r="L117" s="40"/>
      <c r="M117" s="40">
        <f>SUM(M51:M116)</f>
        <v>1968.0000000000873</v>
      </c>
      <c r="N117" s="127"/>
      <c r="O117" s="128">
        <f>SUM(O51:O116)</f>
        <v>216</v>
      </c>
      <c r="P117" s="128">
        <f>SUM(P51:P116)</f>
        <v>3105</v>
      </c>
      <c r="Q117" s="28">
        <f>IFERROR(M117/P117,0)</f>
        <v>0.63381642512080105</v>
      </c>
      <c r="R117" s="129">
        <f>SUM(R51:R116)</f>
        <v>1968.0000000000873</v>
      </c>
      <c r="S117" s="79">
        <f>J117+P117</f>
        <v>3105</v>
      </c>
      <c r="T117" s="34">
        <f>IFERROR(R117/S117,0)</f>
        <v>0.63381642512080105</v>
      </c>
      <c r="U117" s="130">
        <f>SUM(U51:U116)</f>
        <v>1669</v>
      </c>
    </row>
    <row r="118" spans="1:21" ht="22.2" customHeight="1" thickBot="1">
      <c r="A118" s="206" t="s">
        <v>111</v>
      </c>
      <c r="B118" s="207"/>
      <c r="C118" s="207"/>
      <c r="D118" s="207"/>
      <c r="E118" s="207"/>
      <c r="F118" s="207"/>
      <c r="G118" s="207"/>
      <c r="H118" s="207"/>
      <c r="I118" s="207"/>
      <c r="J118" s="207"/>
      <c r="K118" s="207"/>
      <c r="L118" s="207"/>
      <c r="M118" s="207"/>
      <c r="N118" s="207"/>
      <c r="O118" s="208"/>
      <c r="P118" s="131"/>
      <c r="Q118" s="132"/>
      <c r="R118" s="133"/>
    </row>
    <row r="119" spans="1:21" ht="22.2" customHeight="1">
      <c r="A119" s="209" t="s">
        <v>3</v>
      </c>
      <c r="B119" s="211" t="s">
        <v>4</v>
      </c>
      <c r="C119" s="174"/>
      <c r="D119" s="174"/>
      <c r="E119" s="174"/>
      <c r="F119" s="213" t="s">
        <v>5</v>
      </c>
      <c r="G119" s="214"/>
      <c r="H119" s="214"/>
      <c r="I119" s="214"/>
      <c r="J119" s="215"/>
      <c r="K119" s="216" t="s">
        <v>6</v>
      </c>
      <c r="L119" s="217"/>
      <c r="M119" s="217"/>
      <c r="N119" s="218"/>
      <c r="O119" s="48"/>
      <c r="P119" s="219" t="s">
        <v>7</v>
      </c>
      <c r="Q119" s="194" t="s">
        <v>8</v>
      </c>
      <c r="R119" s="37"/>
    </row>
    <row r="120" spans="1:21" ht="27.6" customHeight="1" thickBot="1">
      <c r="A120" s="210"/>
      <c r="B120" s="212"/>
      <c r="C120" s="173"/>
      <c r="D120" s="173"/>
      <c r="E120" s="173"/>
      <c r="F120" s="49" t="s">
        <v>11</v>
      </c>
      <c r="G120" s="49" t="s">
        <v>12</v>
      </c>
      <c r="H120" s="49" t="s">
        <v>13</v>
      </c>
      <c r="I120" s="6" t="s">
        <v>14</v>
      </c>
      <c r="J120" s="6" t="s">
        <v>8</v>
      </c>
      <c r="K120" s="49" t="s">
        <v>12</v>
      </c>
      <c r="L120" s="49" t="s">
        <v>13</v>
      </c>
      <c r="M120" s="49" t="s">
        <v>14</v>
      </c>
      <c r="N120" s="7" t="s">
        <v>8</v>
      </c>
      <c r="O120" s="50" t="s">
        <v>15</v>
      </c>
      <c r="P120" s="220"/>
      <c r="Q120" s="195"/>
      <c r="R120" s="37"/>
    </row>
    <row r="121" spans="1:21" ht="22.2" customHeight="1">
      <c r="A121" s="76">
        <v>1</v>
      </c>
      <c r="B121" s="186" t="s">
        <v>112</v>
      </c>
      <c r="C121" s="31"/>
      <c r="D121" s="31"/>
      <c r="E121" s="31"/>
      <c r="F121" s="35">
        <v>122313</v>
      </c>
      <c r="G121" s="35">
        <v>122313</v>
      </c>
      <c r="H121" s="17">
        <f>G121-F121</f>
        <v>0</v>
      </c>
      <c r="I121" s="33">
        <v>0</v>
      </c>
      <c r="J121" s="10">
        <f>IFERROR(I121/H121,0)</f>
        <v>0</v>
      </c>
      <c r="K121" s="35">
        <v>122313</v>
      </c>
      <c r="L121" s="19">
        <f>K121-G121</f>
        <v>0</v>
      </c>
      <c r="M121" s="33">
        <v>0</v>
      </c>
      <c r="N121" s="28">
        <f t="shared" ref="N121:N142" si="27">IFERROR(M121/L121,0)</f>
        <v>0</v>
      </c>
      <c r="O121" s="18">
        <f t="shared" ref="O121:P142" si="28">H121+L121</f>
        <v>0</v>
      </c>
      <c r="P121" s="22">
        <f>I121+M121</f>
        <v>0</v>
      </c>
      <c r="Q121" s="71">
        <f>IFERROR(O121/P121,0)</f>
        <v>0</v>
      </c>
      <c r="R121" s="37"/>
    </row>
    <row r="122" spans="1:21" ht="22.2" customHeight="1">
      <c r="A122" s="76">
        <v>2</v>
      </c>
      <c r="B122" s="186" t="s">
        <v>113</v>
      </c>
      <c r="C122" s="31"/>
      <c r="D122" s="31"/>
      <c r="E122" s="31"/>
      <c r="F122" s="35">
        <v>4313.32</v>
      </c>
      <c r="G122" s="35">
        <v>4313.32</v>
      </c>
      <c r="H122" s="17">
        <f t="shared" ref="H122:H142" si="29">G122-F122</f>
        <v>0</v>
      </c>
      <c r="I122" s="33">
        <v>0</v>
      </c>
      <c r="J122" s="10">
        <f t="shared" ref="J122:J142" si="30">IFERROR(I122/H122,0)</f>
        <v>0</v>
      </c>
      <c r="K122" s="35">
        <v>4319.18</v>
      </c>
      <c r="L122" s="19">
        <f>K122-G122</f>
        <v>5.8600000000005821</v>
      </c>
      <c r="M122" s="33">
        <v>58</v>
      </c>
      <c r="N122" s="28">
        <f t="shared" si="27"/>
        <v>9.8976109215007231</v>
      </c>
      <c r="O122" s="18">
        <f t="shared" si="28"/>
        <v>5.8600000000005821</v>
      </c>
      <c r="P122" s="22">
        <f t="shared" si="28"/>
        <v>58</v>
      </c>
      <c r="Q122" s="71">
        <f t="shared" ref="Q122:Q142" si="31">IFERROR(O122/P122,0)</f>
        <v>0.10103448275863072</v>
      </c>
      <c r="R122" s="134"/>
    </row>
    <row r="123" spans="1:21" ht="22.2" customHeight="1">
      <c r="A123" s="76">
        <v>3</v>
      </c>
      <c r="B123" s="186" t="s">
        <v>114</v>
      </c>
      <c r="C123" s="31"/>
      <c r="D123" s="31"/>
      <c r="E123" s="31"/>
      <c r="F123" s="35">
        <v>180.5</v>
      </c>
      <c r="G123" s="35">
        <v>180.5</v>
      </c>
      <c r="H123" s="17">
        <f t="shared" si="29"/>
        <v>0</v>
      </c>
      <c r="I123" s="33">
        <v>0</v>
      </c>
      <c r="J123" s="10">
        <f t="shared" si="30"/>
        <v>0</v>
      </c>
      <c r="K123" s="35">
        <v>180.5</v>
      </c>
      <c r="L123" s="19">
        <f t="shared" ref="L123:L141" si="32">K123-G123</f>
        <v>0</v>
      </c>
      <c r="M123" s="33">
        <v>0</v>
      </c>
      <c r="N123" s="28">
        <f t="shared" si="27"/>
        <v>0</v>
      </c>
      <c r="O123" s="18">
        <f t="shared" si="28"/>
        <v>0</v>
      </c>
      <c r="P123" s="22">
        <f t="shared" si="28"/>
        <v>0</v>
      </c>
      <c r="Q123" s="71">
        <f t="shared" si="31"/>
        <v>0</v>
      </c>
      <c r="R123" s="37"/>
    </row>
    <row r="124" spans="1:21" ht="22.2" customHeight="1">
      <c r="A124" s="76">
        <v>4</v>
      </c>
      <c r="B124" s="186" t="s">
        <v>115</v>
      </c>
      <c r="C124" s="31"/>
      <c r="D124" s="31"/>
      <c r="E124" s="31"/>
      <c r="F124" s="136">
        <v>141545</v>
      </c>
      <c r="G124" s="136">
        <v>141545</v>
      </c>
      <c r="H124" s="17">
        <f t="shared" si="29"/>
        <v>0</v>
      </c>
      <c r="I124" s="33">
        <v>0</v>
      </c>
      <c r="J124" s="10">
        <f t="shared" si="30"/>
        <v>0</v>
      </c>
      <c r="K124" s="136">
        <v>141895</v>
      </c>
      <c r="L124" s="19">
        <f t="shared" si="32"/>
        <v>350</v>
      </c>
      <c r="M124" s="33">
        <v>0</v>
      </c>
      <c r="N124" s="28">
        <f t="shared" si="27"/>
        <v>0</v>
      </c>
      <c r="O124" s="18">
        <f t="shared" si="28"/>
        <v>350</v>
      </c>
      <c r="P124" s="22">
        <f t="shared" si="28"/>
        <v>0</v>
      </c>
      <c r="Q124" s="71">
        <f t="shared" si="31"/>
        <v>0</v>
      </c>
      <c r="R124" s="137"/>
    </row>
    <row r="125" spans="1:21" ht="22.2" customHeight="1">
      <c r="A125" s="76">
        <v>5</v>
      </c>
      <c r="B125" s="186" t="s">
        <v>116</v>
      </c>
      <c r="C125" s="31"/>
      <c r="D125" s="31"/>
      <c r="E125" s="31"/>
      <c r="F125" s="35">
        <v>44558.9</v>
      </c>
      <c r="G125" s="35">
        <v>44558.9</v>
      </c>
      <c r="H125" s="17">
        <f t="shared" si="29"/>
        <v>0</v>
      </c>
      <c r="I125" s="33">
        <v>0</v>
      </c>
      <c r="J125" s="10">
        <f t="shared" si="30"/>
        <v>0</v>
      </c>
      <c r="K125" s="35">
        <v>44558.9</v>
      </c>
      <c r="L125" s="19">
        <f t="shared" si="32"/>
        <v>0</v>
      </c>
      <c r="M125" s="33">
        <v>0</v>
      </c>
      <c r="N125" s="28">
        <f t="shared" si="27"/>
        <v>0</v>
      </c>
      <c r="O125" s="18">
        <f t="shared" si="28"/>
        <v>0</v>
      </c>
      <c r="P125" s="22">
        <f t="shared" si="28"/>
        <v>0</v>
      </c>
      <c r="Q125" s="71">
        <f t="shared" si="31"/>
        <v>0</v>
      </c>
      <c r="R125" s="77"/>
    </row>
    <row r="126" spans="1:21" ht="22.2" customHeight="1">
      <c r="A126" s="76">
        <v>6</v>
      </c>
      <c r="B126" s="186" t="s">
        <v>117</v>
      </c>
      <c r="C126" s="31"/>
      <c r="D126" s="31"/>
      <c r="E126" s="31"/>
      <c r="F126" s="35">
        <v>100820</v>
      </c>
      <c r="G126" s="35">
        <v>100820</v>
      </c>
      <c r="H126" s="17">
        <f t="shared" si="29"/>
        <v>0</v>
      </c>
      <c r="I126" s="33">
        <v>0</v>
      </c>
      <c r="J126" s="10">
        <f t="shared" si="30"/>
        <v>0</v>
      </c>
      <c r="K126" s="35">
        <v>100820</v>
      </c>
      <c r="L126" s="19">
        <f t="shared" si="32"/>
        <v>0</v>
      </c>
      <c r="M126" s="33">
        <v>0</v>
      </c>
      <c r="N126" s="28">
        <f t="shared" si="27"/>
        <v>0</v>
      </c>
      <c r="O126" s="18">
        <f t="shared" si="28"/>
        <v>0</v>
      </c>
      <c r="P126" s="22">
        <f t="shared" si="28"/>
        <v>0</v>
      </c>
      <c r="Q126" s="71">
        <f t="shared" si="31"/>
        <v>0</v>
      </c>
      <c r="R126" s="37"/>
    </row>
    <row r="127" spans="1:21" ht="22.2" customHeight="1">
      <c r="A127" s="76">
        <v>7</v>
      </c>
      <c r="B127" s="186" t="s">
        <v>118</v>
      </c>
      <c r="C127" s="31"/>
      <c r="D127" s="31"/>
      <c r="E127" s="31"/>
      <c r="F127" s="35">
        <v>152282.79999999999</v>
      </c>
      <c r="G127" s="35">
        <v>152282.79999999999</v>
      </c>
      <c r="H127" s="17">
        <f t="shared" si="29"/>
        <v>0</v>
      </c>
      <c r="I127" s="33">
        <v>0</v>
      </c>
      <c r="J127" s="10">
        <f t="shared" si="30"/>
        <v>0</v>
      </c>
      <c r="K127" s="35">
        <v>152282.79999999999</v>
      </c>
      <c r="L127" s="19">
        <f t="shared" si="32"/>
        <v>0</v>
      </c>
      <c r="M127" s="33">
        <v>0</v>
      </c>
      <c r="N127" s="28">
        <f t="shared" si="27"/>
        <v>0</v>
      </c>
      <c r="O127" s="18">
        <f t="shared" si="28"/>
        <v>0</v>
      </c>
      <c r="P127" s="22">
        <f>I127+M127</f>
        <v>0</v>
      </c>
      <c r="Q127" s="71">
        <f t="shared" si="31"/>
        <v>0</v>
      </c>
      <c r="R127" s="37"/>
    </row>
    <row r="128" spans="1:21" ht="22.2" customHeight="1">
      <c r="A128" s="76">
        <v>8</v>
      </c>
      <c r="B128" s="187" t="s">
        <v>119</v>
      </c>
      <c r="C128" s="138"/>
      <c r="D128" s="138"/>
      <c r="E128" s="138"/>
      <c r="F128" s="136">
        <v>40766.5</v>
      </c>
      <c r="G128" s="136">
        <v>40766.5</v>
      </c>
      <c r="H128" s="17">
        <f t="shared" si="29"/>
        <v>0</v>
      </c>
      <c r="I128" s="33">
        <v>0</v>
      </c>
      <c r="J128" s="10">
        <f t="shared" si="30"/>
        <v>0</v>
      </c>
      <c r="K128" s="136">
        <v>40766.5</v>
      </c>
      <c r="L128" s="19">
        <f t="shared" si="32"/>
        <v>0</v>
      </c>
      <c r="M128" s="33">
        <v>0</v>
      </c>
      <c r="N128" s="28">
        <f t="shared" si="27"/>
        <v>0</v>
      </c>
      <c r="O128" s="18">
        <f t="shared" si="28"/>
        <v>0</v>
      </c>
      <c r="P128" s="22">
        <f>I128+M128</f>
        <v>0</v>
      </c>
      <c r="Q128" s="71">
        <f t="shared" si="31"/>
        <v>0</v>
      </c>
      <c r="R128" s="37"/>
    </row>
    <row r="129" spans="1:20" ht="22.2" customHeight="1">
      <c r="A129" s="76">
        <v>9</v>
      </c>
      <c r="B129" s="187" t="s">
        <v>120</v>
      </c>
      <c r="C129" s="138"/>
      <c r="D129" s="138"/>
      <c r="E129" s="138"/>
      <c r="F129" s="35">
        <v>33988</v>
      </c>
      <c r="G129" s="35">
        <v>33988</v>
      </c>
      <c r="H129" s="17">
        <f t="shared" si="29"/>
        <v>0</v>
      </c>
      <c r="I129" s="33">
        <v>0</v>
      </c>
      <c r="J129" s="10">
        <f t="shared" si="30"/>
        <v>0</v>
      </c>
      <c r="K129" s="35">
        <v>33988</v>
      </c>
      <c r="L129" s="19">
        <f t="shared" si="32"/>
        <v>0</v>
      </c>
      <c r="M129" s="33">
        <v>0</v>
      </c>
      <c r="N129" s="28">
        <f t="shared" si="27"/>
        <v>0</v>
      </c>
      <c r="O129" s="18">
        <f t="shared" si="28"/>
        <v>0</v>
      </c>
      <c r="P129" s="22">
        <f t="shared" si="28"/>
        <v>0</v>
      </c>
      <c r="Q129" s="71">
        <f t="shared" si="31"/>
        <v>0</v>
      </c>
      <c r="R129" s="37"/>
    </row>
    <row r="130" spans="1:20" ht="22.2" customHeight="1">
      <c r="A130" s="76">
        <v>10</v>
      </c>
      <c r="B130" s="186" t="s">
        <v>121</v>
      </c>
      <c r="C130" s="31"/>
      <c r="D130" s="31"/>
      <c r="E130" s="31"/>
      <c r="F130" s="35">
        <v>156864</v>
      </c>
      <c r="G130" s="35">
        <v>156864</v>
      </c>
      <c r="H130" s="17">
        <f t="shared" si="29"/>
        <v>0</v>
      </c>
      <c r="I130" s="33">
        <v>0</v>
      </c>
      <c r="J130" s="10">
        <f t="shared" si="30"/>
        <v>0</v>
      </c>
      <c r="K130" s="35">
        <v>156864</v>
      </c>
      <c r="L130" s="19">
        <f t="shared" si="32"/>
        <v>0</v>
      </c>
      <c r="M130" s="33">
        <v>0</v>
      </c>
      <c r="N130" s="28">
        <f t="shared" si="27"/>
        <v>0</v>
      </c>
      <c r="O130" s="18">
        <f t="shared" si="28"/>
        <v>0</v>
      </c>
      <c r="P130" s="22">
        <f t="shared" si="28"/>
        <v>0</v>
      </c>
      <c r="Q130" s="71">
        <f t="shared" si="31"/>
        <v>0</v>
      </c>
      <c r="R130" s="137"/>
    </row>
    <row r="131" spans="1:20" ht="23.4" customHeight="1">
      <c r="A131" s="76">
        <v>11</v>
      </c>
      <c r="B131" s="187" t="s">
        <v>122</v>
      </c>
      <c r="C131" s="138"/>
      <c r="D131" s="138"/>
      <c r="E131" s="138"/>
      <c r="F131" s="35">
        <v>36866</v>
      </c>
      <c r="G131" s="35">
        <v>36866</v>
      </c>
      <c r="H131" s="17">
        <f t="shared" si="29"/>
        <v>0</v>
      </c>
      <c r="I131" s="33">
        <v>0</v>
      </c>
      <c r="J131" s="10">
        <f t="shared" si="30"/>
        <v>0</v>
      </c>
      <c r="K131" s="35">
        <v>36866</v>
      </c>
      <c r="L131" s="19">
        <f t="shared" si="32"/>
        <v>0</v>
      </c>
      <c r="M131" s="33">
        <v>0</v>
      </c>
      <c r="N131" s="28">
        <f t="shared" si="27"/>
        <v>0</v>
      </c>
      <c r="O131" s="18">
        <f t="shared" si="28"/>
        <v>0</v>
      </c>
      <c r="P131" s="22">
        <f t="shared" si="28"/>
        <v>0</v>
      </c>
      <c r="Q131" s="71">
        <f t="shared" si="31"/>
        <v>0</v>
      </c>
      <c r="R131" s="37"/>
      <c r="T131" s="38"/>
    </row>
    <row r="132" spans="1:20" ht="22.2" customHeight="1">
      <c r="A132" s="76">
        <v>12</v>
      </c>
      <c r="B132" s="187" t="s">
        <v>123</v>
      </c>
      <c r="C132" s="138"/>
      <c r="D132" s="138"/>
      <c r="E132" s="138"/>
      <c r="F132" s="35">
        <v>16649</v>
      </c>
      <c r="G132" s="35">
        <v>16649</v>
      </c>
      <c r="H132" s="17">
        <f t="shared" si="29"/>
        <v>0</v>
      </c>
      <c r="I132" s="33">
        <v>0</v>
      </c>
      <c r="J132" s="78">
        <f t="shared" si="30"/>
        <v>0</v>
      </c>
      <c r="K132" s="35">
        <v>16963</v>
      </c>
      <c r="L132" s="19">
        <f t="shared" si="32"/>
        <v>314</v>
      </c>
      <c r="M132" s="33">
        <v>54</v>
      </c>
      <c r="N132" s="28">
        <f t="shared" si="27"/>
        <v>0.17197452229299362</v>
      </c>
      <c r="O132" s="18">
        <f t="shared" si="28"/>
        <v>314</v>
      </c>
      <c r="P132" s="79">
        <f t="shared" si="28"/>
        <v>54</v>
      </c>
      <c r="Q132" s="71">
        <f t="shared" si="31"/>
        <v>5.8148148148148149</v>
      </c>
      <c r="R132" s="37"/>
      <c r="T132" s="45"/>
    </row>
    <row r="133" spans="1:20" ht="21.6" customHeight="1">
      <c r="A133" s="76">
        <v>13</v>
      </c>
      <c r="B133" s="171" t="s">
        <v>124</v>
      </c>
      <c r="C133" s="138"/>
      <c r="D133" s="138"/>
      <c r="E133" s="138"/>
      <c r="F133" s="35">
        <v>890.2</v>
      </c>
      <c r="G133" s="35">
        <v>890.2</v>
      </c>
      <c r="H133" s="17">
        <f t="shared" si="29"/>
        <v>0</v>
      </c>
      <c r="I133" s="35">
        <v>0</v>
      </c>
      <c r="J133" s="78">
        <f t="shared" si="30"/>
        <v>0</v>
      </c>
      <c r="K133" s="35">
        <v>890.2</v>
      </c>
      <c r="L133" s="19">
        <f t="shared" si="32"/>
        <v>0</v>
      </c>
      <c r="M133" s="35">
        <v>0</v>
      </c>
      <c r="N133" s="28">
        <f t="shared" si="27"/>
        <v>0</v>
      </c>
      <c r="O133" s="18">
        <f t="shared" si="28"/>
        <v>0</v>
      </c>
      <c r="P133" s="79">
        <f t="shared" si="28"/>
        <v>0</v>
      </c>
      <c r="Q133" s="71">
        <f t="shared" si="31"/>
        <v>0</v>
      </c>
      <c r="R133" s="37"/>
      <c r="T133" s="45"/>
    </row>
    <row r="134" spans="1:20" ht="21.6" customHeight="1">
      <c r="A134" s="76">
        <v>14</v>
      </c>
      <c r="B134" s="171" t="s">
        <v>174</v>
      </c>
      <c r="C134" s="138"/>
      <c r="D134" s="138"/>
      <c r="E134" s="138"/>
      <c r="F134" s="35">
        <v>3066</v>
      </c>
      <c r="G134" s="35">
        <v>3066</v>
      </c>
      <c r="H134" s="17">
        <f t="shared" si="29"/>
        <v>0</v>
      </c>
      <c r="I134" s="35">
        <v>0</v>
      </c>
      <c r="J134" s="78">
        <f t="shared" si="30"/>
        <v>0</v>
      </c>
      <c r="K134" s="35">
        <v>3066</v>
      </c>
      <c r="L134" s="19">
        <f t="shared" si="32"/>
        <v>0</v>
      </c>
      <c r="M134" s="141">
        <v>0</v>
      </c>
      <c r="N134" s="28">
        <f t="shared" si="27"/>
        <v>0</v>
      </c>
      <c r="O134" s="18">
        <f t="shared" si="28"/>
        <v>0</v>
      </c>
      <c r="P134" s="79">
        <f t="shared" si="28"/>
        <v>0</v>
      </c>
      <c r="Q134" s="71">
        <f t="shared" si="31"/>
        <v>0</v>
      </c>
      <c r="R134" s="37"/>
      <c r="T134" s="45"/>
    </row>
    <row r="135" spans="1:20" ht="25.2" customHeight="1">
      <c r="A135" s="76">
        <v>15</v>
      </c>
      <c r="B135" s="187" t="s">
        <v>127</v>
      </c>
      <c r="C135" s="138"/>
      <c r="D135" s="138"/>
      <c r="E135" s="138"/>
      <c r="F135" s="35">
        <v>0</v>
      </c>
      <c r="G135" s="35">
        <v>0</v>
      </c>
      <c r="H135" s="17">
        <f t="shared" si="29"/>
        <v>0</v>
      </c>
      <c r="I135" s="33">
        <v>0</v>
      </c>
      <c r="J135" s="78">
        <f t="shared" si="30"/>
        <v>0</v>
      </c>
      <c r="K135" s="35">
        <v>0</v>
      </c>
      <c r="L135" s="19">
        <f t="shared" si="32"/>
        <v>0</v>
      </c>
      <c r="M135" s="33">
        <v>0</v>
      </c>
      <c r="N135" s="28">
        <f t="shared" si="27"/>
        <v>0</v>
      </c>
      <c r="O135" s="18">
        <f t="shared" si="28"/>
        <v>0</v>
      </c>
      <c r="P135" s="79">
        <f t="shared" si="28"/>
        <v>0</v>
      </c>
      <c r="Q135" s="71">
        <f t="shared" si="31"/>
        <v>0</v>
      </c>
      <c r="R135" s="77"/>
      <c r="T135" s="45"/>
    </row>
    <row r="136" spans="1:20" ht="25.2" customHeight="1">
      <c r="A136" s="76">
        <v>16</v>
      </c>
      <c r="B136" s="187" t="s">
        <v>183</v>
      </c>
      <c r="C136" s="138"/>
      <c r="D136" s="138"/>
      <c r="E136" s="138"/>
      <c r="F136" s="35">
        <v>295805</v>
      </c>
      <c r="G136" s="35">
        <v>295805</v>
      </c>
      <c r="H136" s="17">
        <f t="shared" si="29"/>
        <v>0</v>
      </c>
      <c r="I136" s="33">
        <v>0</v>
      </c>
      <c r="J136" s="78">
        <f t="shared" si="30"/>
        <v>0</v>
      </c>
      <c r="K136" s="35">
        <v>295805</v>
      </c>
      <c r="L136" s="19">
        <f t="shared" si="32"/>
        <v>0</v>
      </c>
      <c r="M136" s="33">
        <v>0</v>
      </c>
      <c r="N136" s="28">
        <f t="shared" si="27"/>
        <v>0</v>
      </c>
      <c r="O136" s="18">
        <f t="shared" si="28"/>
        <v>0</v>
      </c>
      <c r="P136" s="79">
        <f t="shared" si="28"/>
        <v>0</v>
      </c>
      <c r="Q136" s="71">
        <f t="shared" si="31"/>
        <v>0</v>
      </c>
      <c r="R136" s="77"/>
      <c r="T136" s="45"/>
    </row>
    <row r="137" spans="1:20" ht="25.2" customHeight="1">
      <c r="A137" s="76">
        <v>17</v>
      </c>
      <c r="B137" s="187" t="s">
        <v>184</v>
      </c>
      <c r="C137" s="138"/>
      <c r="D137" s="138"/>
      <c r="E137" s="138"/>
      <c r="F137" s="35">
        <v>77139.3</v>
      </c>
      <c r="G137" s="35">
        <v>77139.3</v>
      </c>
      <c r="H137" s="17">
        <f t="shared" si="29"/>
        <v>0</v>
      </c>
      <c r="I137" s="33">
        <v>0</v>
      </c>
      <c r="J137" s="78">
        <f t="shared" si="30"/>
        <v>0</v>
      </c>
      <c r="K137" s="35">
        <v>77139.3</v>
      </c>
      <c r="L137" s="19">
        <f t="shared" si="32"/>
        <v>0</v>
      </c>
      <c r="M137" s="33">
        <v>0</v>
      </c>
      <c r="N137" s="28">
        <f t="shared" si="27"/>
        <v>0</v>
      </c>
      <c r="O137" s="18">
        <f t="shared" si="28"/>
        <v>0</v>
      </c>
      <c r="P137" s="79">
        <f t="shared" si="28"/>
        <v>0</v>
      </c>
      <c r="Q137" s="71">
        <f t="shared" si="31"/>
        <v>0</v>
      </c>
      <c r="R137" s="77"/>
      <c r="T137" s="45"/>
    </row>
    <row r="138" spans="1:20" ht="25.2" customHeight="1">
      <c r="A138" s="76">
        <v>18</v>
      </c>
      <c r="B138" s="187" t="s">
        <v>185</v>
      </c>
      <c r="C138" s="138"/>
      <c r="D138" s="138"/>
      <c r="E138" s="138"/>
      <c r="F138" s="35">
        <v>113495.8</v>
      </c>
      <c r="G138" s="35">
        <v>113495.8</v>
      </c>
      <c r="H138" s="17">
        <f t="shared" si="29"/>
        <v>0</v>
      </c>
      <c r="I138" s="33">
        <v>0</v>
      </c>
      <c r="J138" s="78">
        <f t="shared" si="30"/>
        <v>0</v>
      </c>
      <c r="K138" s="35">
        <v>113495.8</v>
      </c>
      <c r="L138" s="19">
        <f t="shared" si="32"/>
        <v>0</v>
      </c>
      <c r="M138" s="33">
        <v>0</v>
      </c>
      <c r="N138" s="28">
        <f t="shared" si="27"/>
        <v>0</v>
      </c>
      <c r="O138" s="18">
        <f t="shared" si="28"/>
        <v>0</v>
      </c>
      <c r="P138" s="79">
        <f t="shared" si="28"/>
        <v>0</v>
      </c>
      <c r="Q138" s="71">
        <f t="shared" si="31"/>
        <v>0</v>
      </c>
      <c r="R138" s="77"/>
      <c r="T138" s="45"/>
    </row>
    <row r="139" spans="1:20" ht="25.2" customHeight="1">
      <c r="A139" s="76">
        <v>19</v>
      </c>
      <c r="B139" s="187" t="s">
        <v>187</v>
      </c>
      <c r="C139" s="138"/>
      <c r="D139" s="138"/>
      <c r="E139" s="138"/>
      <c r="F139" s="35">
        <v>59801.4</v>
      </c>
      <c r="G139" s="35">
        <v>59801.4</v>
      </c>
      <c r="H139" s="35">
        <f t="shared" si="29"/>
        <v>0</v>
      </c>
      <c r="I139" s="33">
        <v>0</v>
      </c>
      <c r="J139" s="78">
        <f t="shared" si="30"/>
        <v>0</v>
      </c>
      <c r="K139" s="35">
        <v>59801.4</v>
      </c>
      <c r="L139" s="56">
        <f t="shared" si="32"/>
        <v>0</v>
      </c>
      <c r="M139" s="33">
        <v>0</v>
      </c>
      <c r="N139" s="28">
        <f t="shared" si="27"/>
        <v>0</v>
      </c>
      <c r="O139" s="84">
        <f t="shared" si="28"/>
        <v>0</v>
      </c>
      <c r="P139" s="79">
        <f t="shared" si="28"/>
        <v>0</v>
      </c>
      <c r="Q139" s="34">
        <f t="shared" si="31"/>
        <v>0</v>
      </c>
      <c r="R139" s="77"/>
      <c r="T139" s="45"/>
    </row>
    <row r="140" spans="1:20" ht="25.2" customHeight="1">
      <c r="A140" s="76">
        <v>20</v>
      </c>
      <c r="B140" s="187" t="s">
        <v>188</v>
      </c>
      <c r="C140" s="138"/>
      <c r="D140" s="138"/>
      <c r="E140" s="138"/>
      <c r="F140" s="35">
        <v>485627</v>
      </c>
      <c r="G140" s="35">
        <v>485627</v>
      </c>
      <c r="H140" s="35">
        <f t="shared" si="29"/>
        <v>0</v>
      </c>
      <c r="I140" s="33">
        <v>0</v>
      </c>
      <c r="J140" s="78">
        <f t="shared" si="30"/>
        <v>0</v>
      </c>
      <c r="K140" s="35">
        <v>485627</v>
      </c>
      <c r="L140" s="56">
        <f t="shared" si="32"/>
        <v>0</v>
      </c>
      <c r="M140" s="33">
        <v>0</v>
      </c>
      <c r="N140" s="28">
        <f t="shared" si="27"/>
        <v>0</v>
      </c>
      <c r="O140" s="84">
        <f t="shared" si="28"/>
        <v>0</v>
      </c>
      <c r="P140" s="79">
        <f t="shared" si="28"/>
        <v>0</v>
      </c>
      <c r="Q140" s="34">
        <f t="shared" si="31"/>
        <v>0</v>
      </c>
      <c r="R140" s="77"/>
      <c r="T140" s="45"/>
    </row>
    <row r="141" spans="1:20" ht="25.2" customHeight="1">
      <c r="A141" s="76">
        <v>21</v>
      </c>
      <c r="B141" s="187" t="s">
        <v>189</v>
      </c>
      <c r="C141" s="138"/>
      <c r="D141" s="138"/>
      <c r="E141" s="138"/>
      <c r="F141" s="35">
        <v>46458.2</v>
      </c>
      <c r="G141" s="35">
        <v>46458.2</v>
      </c>
      <c r="H141" s="35">
        <f t="shared" si="29"/>
        <v>0</v>
      </c>
      <c r="I141" s="33">
        <v>0</v>
      </c>
      <c r="J141" s="78">
        <f t="shared" si="30"/>
        <v>0</v>
      </c>
      <c r="K141" s="35">
        <v>46458.2</v>
      </c>
      <c r="L141" s="56">
        <f t="shared" si="32"/>
        <v>0</v>
      </c>
      <c r="M141" s="33">
        <v>0</v>
      </c>
      <c r="N141" s="28">
        <f t="shared" si="27"/>
        <v>0</v>
      </c>
      <c r="O141" s="84">
        <f t="shared" si="28"/>
        <v>0</v>
      </c>
      <c r="P141" s="79">
        <f t="shared" si="28"/>
        <v>0</v>
      </c>
      <c r="Q141" s="34">
        <f t="shared" si="31"/>
        <v>0</v>
      </c>
      <c r="R141" s="77"/>
      <c r="T141" s="45"/>
    </row>
    <row r="142" spans="1:20" ht="25.2" customHeight="1">
      <c r="A142" s="144">
        <v>22</v>
      </c>
      <c r="B142" s="187" t="s">
        <v>213</v>
      </c>
      <c r="C142" s="138"/>
      <c r="D142" s="138"/>
      <c r="E142" s="138"/>
      <c r="F142" s="35">
        <v>99823.4</v>
      </c>
      <c r="G142" s="35">
        <v>99823.4</v>
      </c>
      <c r="H142" s="35">
        <f t="shared" si="29"/>
        <v>0</v>
      </c>
      <c r="I142" s="33">
        <v>0</v>
      </c>
      <c r="J142" s="78">
        <f t="shared" si="30"/>
        <v>0</v>
      </c>
      <c r="K142" s="35">
        <v>99823.4</v>
      </c>
      <c r="L142" s="35">
        <v>99823.4</v>
      </c>
      <c r="M142" s="33">
        <v>0</v>
      </c>
      <c r="N142" s="28">
        <f t="shared" si="27"/>
        <v>0</v>
      </c>
      <c r="O142" s="84">
        <f t="shared" si="28"/>
        <v>99823.4</v>
      </c>
      <c r="P142" s="79">
        <f t="shared" si="28"/>
        <v>0</v>
      </c>
      <c r="Q142" s="34">
        <f t="shared" si="31"/>
        <v>0</v>
      </c>
      <c r="R142" s="77"/>
      <c r="T142" s="45"/>
    </row>
    <row r="143" spans="1:20" ht="18">
      <c r="A143" s="196" t="s">
        <v>28</v>
      </c>
      <c r="B143" s="197"/>
      <c r="C143" s="175"/>
      <c r="D143" s="175"/>
      <c r="E143" s="175"/>
      <c r="F143" s="123"/>
      <c r="G143" s="123"/>
      <c r="H143" s="40">
        <f>SUM(H121:H142)</f>
        <v>0</v>
      </c>
      <c r="I143" s="40">
        <f>SUM(I121:I142)</f>
        <v>0</v>
      </c>
      <c r="J143" s="39"/>
      <c r="K143" s="39"/>
      <c r="L143" s="40">
        <f>SUM(L121:L142)</f>
        <v>100493.26</v>
      </c>
      <c r="M143" s="40">
        <f>SUM(M121:M142)</f>
        <v>112</v>
      </c>
      <c r="N143" s="145"/>
      <c r="O143" s="146">
        <f>SUM(O121:O142)</f>
        <v>100493.26</v>
      </c>
      <c r="P143" s="147">
        <f>SUM(P121:P142)</f>
        <v>112</v>
      </c>
      <c r="Q143" s="34"/>
      <c r="R143" s="37"/>
      <c r="S143" s="72"/>
    </row>
    <row r="144" spans="1:20" ht="21.6" thickBot="1">
      <c r="A144" s="148"/>
      <c r="B144" s="149"/>
      <c r="C144" s="149"/>
      <c r="D144" s="149"/>
      <c r="E144" s="149"/>
      <c r="F144" s="149"/>
      <c r="G144" s="149"/>
      <c r="H144" s="149" t="s">
        <v>139</v>
      </c>
      <c r="I144" s="150">
        <f>I19+I25+I34+I40+I47+J117+I143</f>
        <v>0</v>
      </c>
      <c r="J144" s="149"/>
      <c r="K144" s="149"/>
      <c r="L144" s="151" t="s">
        <v>140</v>
      </c>
      <c r="M144" s="150">
        <f>M19+M25+M34+M40+M47+P117+M143</f>
        <v>6103.49</v>
      </c>
      <c r="N144" s="198" t="s">
        <v>141</v>
      </c>
      <c r="O144" s="198"/>
      <c r="P144" s="198"/>
      <c r="Q144" s="198"/>
      <c r="R144" s="152"/>
    </row>
    <row r="145" spans="1:19" ht="15">
      <c r="B145" s="153"/>
      <c r="C145" s="153"/>
      <c r="D145" s="153"/>
      <c r="E145" s="153"/>
      <c r="F145" s="152"/>
      <c r="G145" s="152"/>
      <c r="H145" s="152"/>
      <c r="I145" s="152"/>
      <c r="J145" s="152"/>
      <c r="K145" s="152"/>
      <c r="L145" s="152"/>
      <c r="M145" s="154"/>
      <c r="N145" s="155" t="s">
        <v>142</v>
      </c>
      <c r="O145" s="199">
        <f>Q2</f>
        <v>46226</v>
      </c>
      <c r="P145" s="200"/>
      <c r="Q145" s="156"/>
      <c r="R145" s="157">
        <f>P143-Q151</f>
        <v>112</v>
      </c>
    </row>
    <row r="146" spans="1:19" ht="18">
      <c r="B146" s="158" t="s">
        <v>143</v>
      </c>
      <c r="C146" s="158"/>
      <c r="D146" s="158"/>
      <c r="E146" s="158"/>
      <c r="F146" s="159">
        <f>I144</f>
        <v>0</v>
      </c>
      <c r="G146" s="160"/>
      <c r="H146" s="160"/>
      <c r="I146" s="159"/>
      <c r="J146" s="160"/>
      <c r="K146" s="160"/>
      <c r="L146" s="160"/>
      <c r="M146" s="45"/>
      <c r="N146" s="188" t="s">
        <v>144</v>
      </c>
      <c r="O146" s="189"/>
      <c r="P146" s="190"/>
      <c r="Q146" s="161">
        <f>S117</f>
        <v>3105</v>
      </c>
      <c r="R146" s="152"/>
    </row>
    <row r="147" spans="1:19" ht="18">
      <c r="B147" s="158" t="s">
        <v>145</v>
      </c>
      <c r="C147" s="158"/>
      <c r="D147" s="158"/>
      <c r="E147" s="158"/>
      <c r="F147" s="159">
        <f>M144</f>
        <v>6103.49</v>
      </c>
      <c r="G147" s="160"/>
      <c r="H147" s="160"/>
      <c r="I147" s="159"/>
      <c r="J147" s="159"/>
      <c r="K147" s="160"/>
      <c r="L147" s="160"/>
      <c r="M147" s="45"/>
      <c r="N147" s="188" t="s">
        <v>146</v>
      </c>
      <c r="O147" s="189"/>
      <c r="P147" s="190"/>
      <c r="Q147" s="161">
        <f>P19</f>
        <v>1624.98</v>
      </c>
      <c r="R147" s="152"/>
    </row>
    <row r="148" spans="1:19" ht="18">
      <c r="B148" s="158" t="s">
        <v>28</v>
      </c>
      <c r="C148" s="158"/>
      <c r="D148" s="158"/>
      <c r="E148" s="158"/>
      <c r="F148" s="159">
        <f>F146+F147</f>
        <v>6103.49</v>
      </c>
      <c r="G148" s="160"/>
      <c r="H148" s="160"/>
      <c r="I148" s="160"/>
      <c r="J148" s="159"/>
      <c r="K148" s="160"/>
      <c r="L148" s="160"/>
      <c r="N148" s="188" t="s">
        <v>147</v>
      </c>
      <c r="O148" s="189"/>
      <c r="P148" s="190"/>
      <c r="Q148" s="161">
        <f>P34</f>
        <v>937.25</v>
      </c>
    </row>
    <row r="149" spans="1:19" ht="18">
      <c r="F149" s="45"/>
      <c r="G149" s="45"/>
      <c r="H149" s="45"/>
      <c r="I149" s="45"/>
      <c r="J149" s="45"/>
      <c r="K149" s="160" t="s">
        <v>94</v>
      </c>
      <c r="L149" s="45"/>
      <c r="N149" s="188" t="s">
        <v>148</v>
      </c>
      <c r="O149" s="189"/>
      <c r="P149" s="190"/>
      <c r="Q149" s="161">
        <f>P40</f>
        <v>127.26</v>
      </c>
    </row>
    <row r="150" spans="1:19" ht="25.2" customHeight="1">
      <c r="B150" s="162" t="s">
        <v>149</v>
      </c>
      <c r="C150" s="162"/>
      <c r="D150" s="162"/>
      <c r="E150" s="162"/>
      <c r="F150" s="193"/>
      <c r="G150" s="193"/>
      <c r="H150" s="193"/>
      <c r="I150" s="193"/>
      <c r="J150" s="193"/>
      <c r="K150" s="193"/>
      <c r="L150" s="193"/>
      <c r="M150" s="193"/>
      <c r="N150" s="188" t="s">
        <v>150</v>
      </c>
      <c r="O150" s="189"/>
      <c r="P150" s="190"/>
      <c r="Q150" s="161">
        <f>P47</f>
        <v>0</v>
      </c>
    </row>
    <row r="151" spans="1:19" ht="18">
      <c r="F151" s="45"/>
      <c r="G151" s="45"/>
      <c r="H151" s="26"/>
      <c r="I151" s="26"/>
      <c r="J151" s="45"/>
      <c r="K151" s="160"/>
      <c r="L151" s="45"/>
      <c r="N151" s="188" t="s">
        <v>151</v>
      </c>
      <c r="O151" s="189"/>
      <c r="P151" s="190"/>
      <c r="Q151" s="161">
        <f>P125+P126+P127+P128</f>
        <v>0</v>
      </c>
    </row>
    <row r="152" spans="1:19" ht="18">
      <c r="H152" s="38"/>
      <c r="I152" s="45"/>
      <c r="J152" s="45"/>
      <c r="K152" s="160"/>
      <c r="L152" s="45"/>
      <c r="N152" s="188" t="s">
        <v>152</v>
      </c>
      <c r="O152" s="189"/>
      <c r="P152" s="190"/>
      <c r="Q152" s="161">
        <f>R145</f>
        <v>112</v>
      </c>
    </row>
    <row r="153" spans="1:19" ht="18.600000000000001" thickBot="1">
      <c r="F153" s="38"/>
      <c r="G153" s="38"/>
      <c r="J153" s="163"/>
      <c r="K153" s="160"/>
      <c r="N153" s="188" t="s">
        <v>153</v>
      </c>
      <c r="O153" s="189"/>
      <c r="P153" s="190"/>
      <c r="Q153" s="164">
        <f>P25</f>
        <v>197</v>
      </c>
      <c r="S153" s="38"/>
    </row>
    <row r="154" spans="1:19" ht="16.8" thickBot="1">
      <c r="F154" s="38"/>
      <c r="G154" s="38"/>
      <c r="H154" s="38"/>
      <c r="I154" s="38"/>
      <c r="K154" s="38"/>
      <c r="N154" s="191" t="s">
        <v>154</v>
      </c>
      <c r="O154" s="192"/>
      <c r="P154" s="192"/>
      <c r="Q154" s="165">
        <f>SUM(Q146:Q153)</f>
        <v>6103.49</v>
      </c>
    </row>
    <row r="155" spans="1:19">
      <c r="F155" s="38"/>
      <c r="G155" s="38"/>
      <c r="H155" s="159"/>
      <c r="I155" s="159"/>
      <c r="K155" s="38"/>
      <c r="L155" s="38"/>
    </row>
    <row r="156" spans="1:19">
      <c r="F156" s="38"/>
      <c r="G156" s="38"/>
      <c r="H156" s="38"/>
      <c r="I156" s="38"/>
      <c r="K156" s="160"/>
    </row>
    <row r="157" spans="1:19">
      <c r="A157" s="159"/>
      <c r="B157" s="159"/>
      <c r="C157" s="159"/>
      <c r="D157" s="159"/>
      <c r="E157" s="159"/>
      <c r="F157" s="159"/>
      <c r="G157" s="159"/>
      <c r="H157" s="159"/>
      <c r="I157" s="159"/>
      <c r="J157" s="38"/>
      <c r="K157" s="38"/>
      <c r="Q157" s="45"/>
    </row>
    <row r="158" spans="1:19">
      <c r="A158" s="159"/>
    </row>
  </sheetData>
  <mergeCells count="72">
    <mergeCell ref="A1:Q1"/>
    <mergeCell ref="A2:O2"/>
    <mergeCell ref="A3:A4"/>
    <mergeCell ref="B3:B4"/>
    <mergeCell ref="F3:J3"/>
    <mergeCell ref="K3:O3"/>
    <mergeCell ref="P3:P4"/>
    <mergeCell ref="Q3:Q4"/>
    <mergeCell ref="R3:R4"/>
    <mergeCell ref="S3:S4"/>
    <mergeCell ref="A19:B19"/>
    <mergeCell ref="A20:O20"/>
    <mergeCell ref="A21:A22"/>
    <mergeCell ref="B21:B22"/>
    <mergeCell ref="F21:J21"/>
    <mergeCell ref="K21:N21"/>
    <mergeCell ref="P21:P22"/>
    <mergeCell ref="Q21:Q22"/>
    <mergeCell ref="A25:B25"/>
    <mergeCell ref="A26:O26"/>
    <mergeCell ref="A27:A28"/>
    <mergeCell ref="B27:B28"/>
    <mergeCell ref="F27:J27"/>
    <mergeCell ref="K27:N27"/>
    <mergeCell ref="P27:P28"/>
    <mergeCell ref="Q27:Q28"/>
    <mergeCell ref="A34:B34"/>
    <mergeCell ref="A35:O35"/>
    <mergeCell ref="A36:A37"/>
    <mergeCell ref="B36:B37"/>
    <mergeCell ref="F36:J36"/>
    <mergeCell ref="K36:N36"/>
    <mergeCell ref="P36:P37"/>
    <mergeCell ref="Q36:Q37"/>
    <mergeCell ref="A40:B40"/>
    <mergeCell ref="A41:O41"/>
    <mergeCell ref="A42:A43"/>
    <mergeCell ref="B42:B43"/>
    <mergeCell ref="F42:J42"/>
    <mergeCell ref="K42:N42"/>
    <mergeCell ref="P42:P43"/>
    <mergeCell ref="Q42:Q43"/>
    <mergeCell ref="A47:B47"/>
    <mergeCell ref="A48:O48"/>
    <mergeCell ref="A49:A50"/>
    <mergeCell ref="B49:B50"/>
    <mergeCell ref="F49:K49"/>
    <mergeCell ref="L49:Q49"/>
    <mergeCell ref="N147:P147"/>
    <mergeCell ref="R49:R50"/>
    <mergeCell ref="S49:S50"/>
    <mergeCell ref="T49:T50"/>
    <mergeCell ref="U49:U50"/>
    <mergeCell ref="A118:O118"/>
    <mergeCell ref="A119:A120"/>
    <mergeCell ref="B119:B120"/>
    <mergeCell ref="F119:J119"/>
    <mergeCell ref="K119:N119"/>
    <mergeCell ref="P119:P120"/>
    <mergeCell ref="Q119:Q120"/>
    <mergeCell ref="A143:B143"/>
    <mergeCell ref="N144:Q144"/>
    <mergeCell ref="O145:P145"/>
    <mergeCell ref="N146:P146"/>
    <mergeCell ref="N153:P153"/>
    <mergeCell ref="N154:P154"/>
    <mergeCell ref="N148:P148"/>
    <mergeCell ref="N149:P149"/>
    <mergeCell ref="F150:M150"/>
    <mergeCell ref="N150:P150"/>
    <mergeCell ref="N151:P151"/>
    <mergeCell ref="N152:P152"/>
  </mergeCells>
  <conditionalFormatting sqref="Q7:Q20 Q23:Q24 Q29:Q33 Q38:Q39 Q44:Q46">
    <cfRule type="cellIs" dxfId="7" priority="2" operator="greaterThan">
      <formula>40</formula>
    </cfRule>
  </conditionalFormatting>
  <conditionalFormatting sqref="T51:T117">
    <cfRule type="cellIs" dxfId="6" priority="1" operator="lessThan">
      <formula>0.5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ECE6E-401E-4E23-AB7F-3C32CA968DC7}">
  <dimension ref="A1:AD158"/>
  <sheetViews>
    <sheetView zoomScale="74" zoomScaleNormal="74" workbookViewId="0">
      <pane ySplit="1" topLeftCell="A2" activePane="bottomLeft" state="frozen"/>
      <selection pane="bottomLeft" activeCell="K16" sqref="K16"/>
    </sheetView>
  </sheetViews>
  <sheetFormatPr defaultColWidth="9" defaultRowHeight="14.4"/>
  <cols>
    <col min="1" max="1" width="8.5546875" customWidth="1"/>
    <col min="2" max="2" width="29.44140625" bestFit="1" customWidth="1"/>
    <col min="3" max="3" width="18.88671875" customWidth="1"/>
    <col min="4" max="4" width="17.109375" customWidth="1"/>
    <col min="5" max="5" width="18.88671875" customWidth="1"/>
    <col min="6" max="6" width="11.6640625" customWidth="1"/>
    <col min="7" max="7" width="11.21875" customWidth="1"/>
    <col min="8" max="8" width="9.77734375" customWidth="1"/>
    <col min="9" max="9" width="13.6640625" customWidth="1"/>
    <col min="10" max="10" width="10" customWidth="1"/>
    <col min="11" max="11" width="9.77734375" customWidth="1"/>
    <col min="12" max="12" width="12.77734375" bestFit="1" customWidth="1"/>
    <col min="13" max="13" width="10.6640625" bestFit="1" customWidth="1"/>
    <col min="14" max="14" width="15.77734375" customWidth="1"/>
    <col min="15" max="15" width="10.77734375" customWidth="1"/>
    <col min="16" max="16" width="12.5546875" customWidth="1"/>
    <col min="17" max="17" width="17.88671875" customWidth="1"/>
    <col min="18" max="18" width="13.44140625" customWidth="1"/>
    <col min="19" max="19" width="17" customWidth="1"/>
    <col min="20" max="20" width="11.109375" bestFit="1" customWidth="1"/>
    <col min="22" max="22" width="9.21875" bestFit="1" customWidth="1"/>
    <col min="23" max="23" width="8.21875" bestFit="1" customWidth="1"/>
    <col min="24" max="25" width="11.21875" customWidth="1"/>
  </cols>
  <sheetData>
    <row r="1" spans="1:25" ht="18.600000000000001" thickBot="1">
      <c r="A1" s="249" t="s">
        <v>0</v>
      </c>
      <c r="B1" s="249"/>
      <c r="C1" s="249"/>
      <c r="D1" s="249"/>
      <c r="E1" s="249"/>
      <c r="F1" s="249"/>
      <c r="G1" s="249"/>
      <c r="H1" s="249"/>
      <c r="I1" s="249"/>
      <c r="J1" s="249"/>
      <c r="K1" s="249"/>
      <c r="L1" s="249"/>
      <c r="M1" s="249"/>
      <c r="N1" s="249"/>
      <c r="O1" s="249"/>
      <c r="P1" s="249"/>
      <c r="Q1" s="249"/>
      <c r="R1" s="1"/>
      <c r="Y1" s="2"/>
    </row>
    <row r="2" spans="1:25" ht="19.8" customHeight="1" thickBot="1">
      <c r="A2" s="250" t="s">
        <v>1</v>
      </c>
      <c r="B2" s="251"/>
      <c r="C2" s="252"/>
      <c r="D2" s="252"/>
      <c r="E2" s="252"/>
      <c r="F2" s="252"/>
      <c r="G2" s="252"/>
      <c r="H2" s="252"/>
      <c r="I2" s="252"/>
      <c r="J2" s="252"/>
      <c r="K2" s="252"/>
      <c r="L2" s="252"/>
      <c r="M2" s="252"/>
      <c r="N2" s="252"/>
      <c r="O2" s="251"/>
      <c r="P2" s="3" t="s">
        <v>2</v>
      </c>
      <c r="Q2" s="4">
        <v>46227</v>
      </c>
      <c r="R2" s="1"/>
    </row>
    <row r="3" spans="1:25" ht="18" customHeight="1">
      <c r="A3" s="209" t="s">
        <v>3</v>
      </c>
      <c r="B3" s="211" t="s">
        <v>4</v>
      </c>
      <c r="C3" s="174"/>
      <c r="D3" s="174"/>
      <c r="E3" s="174"/>
      <c r="F3" s="213" t="s">
        <v>5</v>
      </c>
      <c r="G3" s="214"/>
      <c r="H3" s="214"/>
      <c r="I3" s="214"/>
      <c r="J3" s="215"/>
      <c r="K3" s="253" t="s">
        <v>6</v>
      </c>
      <c r="L3" s="254"/>
      <c r="M3" s="254"/>
      <c r="N3" s="254"/>
      <c r="O3" s="255"/>
      <c r="P3" s="219" t="s">
        <v>7</v>
      </c>
      <c r="Q3" s="194" t="s">
        <v>8</v>
      </c>
      <c r="R3" s="243" t="s">
        <v>9</v>
      </c>
      <c r="S3" s="222" t="s">
        <v>10</v>
      </c>
    </row>
    <row r="4" spans="1:25" ht="22.8" customHeight="1">
      <c r="A4" s="247"/>
      <c r="B4" s="248"/>
      <c r="C4" s="183" t="s">
        <v>190</v>
      </c>
      <c r="D4" s="183" t="s">
        <v>191</v>
      </c>
      <c r="E4" s="183" t="s">
        <v>192</v>
      </c>
      <c r="F4" s="6" t="s">
        <v>11</v>
      </c>
      <c r="G4" s="6" t="s">
        <v>12</v>
      </c>
      <c r="H4" s="6" t="s">
        <v>13</v>
      </c>
      <c r="I4" s="6" t="s">
        <v>14</v>
      </c>
      <c r="J4" s="6" t="s">
        <v>8</v>
      </c>
      <c r="K4" s="6" t="s">
        <v>12</v>
      </c>
      <c r="L4" s="6" t="s">
        <v>13</v>
      </c>
      <c r="M4" s="6" t="s">
        <v>14</v>
      </c>
      <c r="N4" s="7" t="s">
        <v>8</v>
      </c>
      <c r="O4" s="8" t="s">
        <v>15</v>
      </c>
      <c r="P4" s="236"/>
      <c r="Q4" s="237"/>
      <c r="R4" s="248"/>
      <c r="S4" s="243"/>
    </row>
    <row r="5" spans="1:25" ht="22.8" customHeight="1">
      <c r="A5" s="5">
        <v>1</v>
      </c>
      <c r="B5" s="9" t="s">
        <v>175</v>
      </c>
      <c r="C5" s="9" t="s">
        <v>193</v>
      </c>
      <c r="D5" s="9" t="s">
        <v>194</v>
      </c>
      <c r="E5" s="9" t="s">
        <v>214</v>
      </c>
      <c r="F5" s="2">
        <v>32132.1</v>
      </c>
      <c r="G5" s="2">
        <v>32140.799999999999</v>
      </c>
      <c r="H5" s="2">
        <f>G5-F5</f>
        <v>8.7000000000007276</v>
      </c>
      <c r="I5" s="2">
        <v>290</v>
      </c>
      <c r="J5" s="10">
        <f>IFERROR(I5/H5,0)</f>
        <v>33.333333333330543</v>
      </c>
      <c r="K5" s="2">
        <v>32140.799999999999</v>
      </c>
      <c r="L5" s="167">
        <f>K5-G5</f>
        <v>0</v>
      </c>
      <c r="M5" s="2">
        <v>0</v>
      </c>
      <c r="N5" s="11">
        <f>IFERROR(M5/L5,0)</f>
        <v>0</v>
      </c>
      <c r="O5" s="12">
        <f t="shared" ref="O5:P17" si="0">H5+L5</f>
        <v>8.7000000000007276</v>
      </c>
      <c r="P5" s="13">
        <f t="shared" si="0"/>
        <v>290</v>
      </c>
      <c r="Q5" s="14">
        <f>IFERROR(P5/O5,0)</f>
        <v>33.333333333330543</v>
      </c>
      <c r="R5" s="2">
        <v>0</v>
      </c>
      <c r="S5" s="5"/>
    </row>
    <row r="6" spans="1:25" ht="22.8" customHeight="1">
      <c r="A6" s="81">
        <v>2</v>
      </c>
      <c r="B6" s="16" t="s">
        <v>170</v>
      </c>
      <c r="C6" s="9" t="s">
        <v>193</v>
      </c>
      <c r="D6" s="9" t="s">
        <v>194</v>
      </c>
      <c r="E6" s="9" t="s">
        <v>214</v>
      </c>
      <c r="F6" s="49">
        <v>33931.699999999997</v>
      </c>
      <c r="G6" s="49">
        <v>33941.9</v>
      </c>
      <c r="H6" s="2">
        <f>G6-F6</f>
        <v>10.200000000004366</v>
      </c>
      <c r="I6" s="49">
        <v>342</v>
      </c>
      <c r="J6" s="10">
        <f>IFERROR(I6/H6,0)</f>
        <v>33.529411764691531</v>
      </c>
      <c r="K6" s="49">
        <v>33944.300000000003</v>
      </c>
      <c r="L6" s="167">
        <f>K6-G6</f>
        <v>2.4000000000014552</v>
      </c>
      <c r="M6" s="49">
        <v>70.36</v>
      </c>
      <c r="N6" s="11">
        <f>IFERROR(M6/L6,0)</f>
        <v>29.316666666648892</v>
      </c>
      <c r="O6" s="12">
        <f t="shared" si="0"/>
        <v>12.600000000005821</v>
      </c>
      <c r="P6" s="13">
        <f t="shared" si="0"/>
        <v>412.36</v>
      </c>
      <c r="Q6" s="14">
        <f>IFERROR(P6/O6,0)</f>
        <v>32.726984126969008</v>
      </c>
      <c r="R6" s="49">
        <v>34</v>
      </c>
      <c r="S6" s="81"/>
    </row>
    <row r="7" spans="1:25" ht="24" customHeight="1">
      <c r="A7" s="5">
        <v>3</v>
      </c>
      <c r="B7" s="16" t="s">
        <v>17</v>
      </c>
      <c r="C7" s="9" t="s">
        <v>193</v>
      </c>
      <c r="D7" s="9" t="s">
        <v>194</v>
      </c>
      <c r="E7" s="9" t="s">
        <v>214</v>
      </c>
      <c r="F7" s="17">
        <v>32493.3</v>
      </c>
      <c r="G7" s="17">
        <v>32493.3</v>
      </c>
      <c r="H7" s="17">
        <f t="shared" ref="H7:H18" si="1">G7-F7</f>
        <v>0</v>
      </c>
      <c r="I7" s="18">
        <v>0</v>
      </c>
      <c r="J7" s="10">
        <f>IFERROR(I7/H7,0)</f>
        <v>0</v>
      </c>
      <c r="K7" s="17">
        <v>32493.3</v>
      </c>
      <c r="L7" s="19">
        <f t="shared" ref="L7:L14" si="2">K7-G7</f>
        <v>0</v>
      </c>
      <c r="M7" s="20">
        <v>0</v>
      </c>
      <c r="N7" s="21">
        <f>IFERROR(M7/L7,0)</f>
        <v>0</v>
      </c>
      <c r="O7" s="18">
        <f t="shared" si="0"/>
        <v>0</v>
      </c>
      <c r="P7" s="22">
        <f t="shared" si="0"/>
        <v>0</v>
      </c>
      <c r="Q7" s="23">
        <f>IFERROR(P7/O7,0)</f>
        <v>0</v>
      </c>
      <c r="R7" s="24">
        <v>0</v>
      </c>
      <c r="S7" s="25"/>
      <c r="T7" s="26"/>
    </row>
    <row r="8" spans="1:25" ht="25.8" customHeight="1">
      <c r="A8" s="81">
        <v>4</v>
      </c>
      <c r="B8" s="16" t="s">
        <v>18</v>
      </c>
      <c r="C8" s="9" t="s">
        <v>193</v>
      </c>
      <c r="D8" s="9" t="s">
        <v>194</v>
      </c>
      <c r="E8" s="9" t="s">
        <v>214</v>
      </c>
      <c r="F8" s="17">
        <v>24805.200000000001</v>
      </c>
      <c r="G8" s="17">
        <v>24816.3</v>
      </c>
      <c r="H8" s="17">
        <f t="shared" si="1"/>
        <v>11.099999999998545</v>
      </c>
      <c r="I8" s="18">
        <v>314</v>
      </c>
      <c r="J8" s="10">
        <f t="shared" ref="J8:J13" si="3">IFERROR(I8/H8,0)</f>
        <v>28.288288288291998</v>
      </c>
      <c r="K8" s="17">
        <v>24821.5</v>
      </c>
      <c r="L8" s="19">
        <f t="shared" si="2"/>
        <v>5.2000000000007276</v>
      </c>
      <c r="M8" s="20">
        <v>215.51</v>
      </c>
      <c r="N8" s="28">
        <f t="shared" ref="N8:N14" si="4">IFERROR(M8/L8,0)</f>
        <v>41.444230769224966</v>
      </c>
      <c r="O8" s="18">
        <f t="shared" si="0"/>
        <v>16.299999999999272</v>
      </c>
      <c r="P8" s="22">
        <f t="shared" si="0"/>
        <v>529.51</v>
      </c>
      <c r="Q8" s="23">
        <f t="shared" ref="Q8:Q18" si="5">IFERROR(P8/O8,0)</f>
        <v>32.48527607362108</v>
      </c>
      <c r="R8" s="29">
        <v>73</v>
      </c>
      <c r="S8" s="30"/>
      <c r="T8" s="26"/>
      <c r="V8" s="26"/>
    </row>
    <row r="9" spans="1:25" ht="25.8" customHeight="1">
      <c r="A9" s="5">
        <v>5</v>
      </c>
      <c r="B9" s="31" t="s">
        <v>19</v>
      </c>
      <c r="C9" s="9" t="s">
        <v>193</v>
      </c>
      <c r="D9" s="9" t="s">
        <v>194</v>
      </c>
      <c r="E9" s="9" t="s">
        <v>214</v>
      </c>
      <c r="F9" s="17">
        <v>32718.7</v>
      </c>
      <c r="G9" s="17">
        <v>32732.3</v>
      </c>
      <c r="H9" s="17">
        <f t="shared" si="1"/>
        <v>13.599999999998545</v>
      </c>
      <c r="I9" s="32">
        <v>437</v>
      </c>
      <c r="J9" s="10">
        <f t="shared" si="3"/>
        <v>32.13235294117991</v>
      </c>
      <c r="K9" s="17">
        <v>32740.5</v>
      </c>
      <c r="L9" s="19">
        <f t="shared" si="2"/>
        <v>8.2000000000007276</v>
      </c>
      <c r="M9" s="33">
        <v>271.08</v>
      </c>
      <c r="N9" s="28">
        <f t="shared" si="4"/>
        <v>33.058536585362916</v>
      </c>
      <c r="O9" s="18">
        <f t="shared" si="0"/>
        <v>21.799999999999272</v>
      </c>
      <c r="P9" s="22">
        <f t="shared" si="0"/>
        <v>708.07999999999993</v>
      </c>
      <c r="Q9" s="23">
        <f t="shared" si="5"/>
        <v>32.480733944955212</v>
      </c>
      <c r="R9" s="29">
        <v>196</v>
      </c>
      <c r="S9" s="30"/>
      <c r="T9" s="26"/>
      <c r="V9" s="26"/>
    </row>
    <row r="10" spans="1:25" ht="25.8" customHeight="1">
      <c r="A10" s="81">
        <v>6</v>
      </c>
      <c r="B10" s="16" t="s">
        <v>20</v>
      </c>
      <c r="C10" s="9" t="s">
        <v>193</v>
      </c>
      <c r="D10" s="9" t="s">
        <v>195</v>
      </c>
      <c r="E10" s="184" t="s">
        <v>215</v>
      </c>
      <c r="F10" s="17">
        <v>33642.400000000001</v>
      </c>
      <c r="G10" s="17">
        <v>33650.699999999997</v>
      </c>
      <c r="H10" s="17">
        <f>G10-F10</f>
        <v>8.2999999999956344</v>
      </c>
      <c r="I10" s="34">
        <v>409</v>
      </c>
      <c r="J10" s="10">
        <f>IFERROR(I10/H10,0)</f>
        <v>49.277108433760858</v>
      </c>
      <c r="K10" s="17">
        <v>33650.699999999997</v>
      </c>
      <c r="L10" s="19">
        <f>K10-G10</f>
        <v>0</v>
      </c>
      <c r="M10" s="33">
        <v>0</v>
      </c>
      <c r="N10" s="28">
        <f>IFERROR(M10/L10,0)</f>
        <v>0</v>
      </c>
      <c r="O10" s="18">
        <f>H10+L10</f>
        <v>8.2999999999956344</v>
      </c>
      <c r="P10" s="22">
        <f>I10+M10</f>
        <v>409</v>
      </c>
      <c r="Q10" s="23">
        <f>IFERROR(P10/O10,0)</f>
        <v>49.277108433760858</v>
      </c>
      <c r="R10" s="29">
        <v>26</v>
      </c>
      <c r="S10" s="30"/>
      <c r="T10" s="26"/>
      <c r="V10" s="26"/>
    </row>
    <row r="11" spans="1:25" ht="22.8" customHeight="1">
      <c r="A11" s="5">
        <v>7</v>
      </c>
      <c r="B11" s="16" t="s">
        <v>21</v>
      </c>
      <c r="C11" s="9" t="s">
        <v>193</v>
      </c>
      <c r="D11" s="16" t="s">
        <v>194</v>
      </c>
      <c r="E11" s="16" t="s">
        <v>214</v>
      </c>
      <c r="F11" s="17">
        <v>28183.4</v>
      </c>
      <c r="G11" s="17">
        <v>28235.3</v>
      </c>
      <c r="H11" s="17">
        <f t="shared" si="1"/>
        <v>51.899999999997817</v>
      </c>
      <c r="I11" s="32">
        <v>335</v>
      </c>
      <c r="J11" s="10">
        <f t="shared" si="3"/>
        <v>6.454720616570599</v>
      </c>
      <c r="K11" s="17">
        <v>28235.3</v>
      </c>
      <c r="L11" s="19">
        <f t="shared" si="2"/>
        <v>0</v>
      </c>
      <c r="M11" s="20">
        <v>0</v>
      </c>
      <c r="N11" s="28">
        <f t="shared" si="4"/>
        <v>0</v>
      </c>
      <c r="O11" s="18">
        <f t="shared" si="0"/>
        <v>51.899999999997817</v>
      </c>
      <c r="P11" s="22">
        <f t="shared" si="0"/>
        <v>335</v>
      </c>
      <c r="Q11" s="23">
        <f t="shared" si="5"/>
        <v>6.454720616570599</v>
      </c>
      <c r="R11" s="29">
        <v>0</v>
      </c>
      <c r="S11" s="30"/>
      <c r="T11" s="26"/>
      <c r="V11" s="26"/>
    </row>
    <row r="12" spans="1:25" ht="22.8" customHeight="1">
      <c r="A12" s="81">
        <v>8</v>
      </c>
      <c r="B12" s="31" t="s">
        <v>22</v>
      </c>
      <c r="C12" s="9" t="s">
        <v>193</v>
      </c>
      <c r="D12" s="31" t="s">
        <v>194</v>
      </c>
      <c r="E12" s="31" t="s">
        <v>214</v>
      </c>
      <c r="F12" s="35">
        <v>27568.799999999999</v>
      </c>
      <c r="G12" s="35">
        <v>27588.9</v>
      </c>
      <c r="H12" s="17">
        <f t="shared" si="1"/>
        <v>20.100000000002183</v>
      </c>
      <c r="I12" s="32">
        <v>222</v>
      </c>
      <c r="J12" s="10">
        <f t="shared" si="3"/>
        <v>11.044776119401785</v>
      </c>
      <c r="K12" s="35">
        <v>27588.9</v>
      </c>
      <c r="L12" s="19">
        <f t="shared" si="2"/>
        <v>0</v>
      </c>
      <c r="M12" s="33">
        <v>0</v>
      </c>
      <c r="N12" s="28">
        <f t="shared" si="4"/>
        <v>0</v>
      </c>
      <c r="O12" s="18">
        <f t="shared" si="0"/>
        <v>20.100000000002183</v>
      </c>
      <c r="P12" s="22">
        <f t="shared" si="0"/>
        <v>222</v>
      </c>
      <c r="Q12" s="23">
        <f t="shared" si="5"/>
        <v>11.044776119401785</v>
      </c>
      <c r="R12" s="29">
        <v>0</v>
      </c>
      <c r="S12" s="30"/>
      <c r="T12" s="26"/>
      <c r="V12" s="26"/>
    </row>
    <row r="13" spans="1:25" ht="24" customHeight="1">
      <c r="A13" s="5">
        <v>9</v>
      </c>
      <c r="B13" s="31" t="s">
        <v>23</v>
      </c>
      <c r="C13" s="9" t="s">
        <v>193</v>
      </c>
      <c r="D13" s="16" t="s">
        <v>196</v>
      </c>
      <c r="E13" s="16" t="s">
        <v>216</v>
      </c>
      <c r="F13" s="17">
        <v>22719.65</v>
      </c>
      <c r="G13" s="17">
        <v>22733.439999999999</v>
      </c>
      <c r="H13" s="17">
        <f t="shared" si="1"/>
        <v>13.789999999997235</v>
      </c>
      <c r="I13" s="34">
        <v>446</v>
      </c>
      <c r="J13" s="10">
        <f t="shared" si="3"/>
        <v>32.342277012334257</v>
      </c>
      <c r="K13" s="17">
        <v>22739.55</v>
      </c>
      <c r="L13" s="19">
        <f t="shared" si="2"/>
        <v>6.1100000000005821</v>
      </c>
      <c r="M13" s="20">
        <v>249.04</v>
      </c>
      <c r="N13" s="28">
        <f t="shared" si="4"/>
        <v>40.759410801960108</v>
      </c>
      <c r="O13" s="18">
        <f t="shared" si="0"/>
        <v>19.899999999997817</v>
      </c>
      <c r="P13" s="22">
        <f t="shared" si="0"/>
        <v>695.04</v>
      </c>
      <c r="Q13" s="23">
        <f t="shared" si="5"/>
        <v>34.926633165832975</v>
      </c>
      <c r="R13" s="29">
        <v>102</v>
      </c>
      <c r="S13" s="36"/>
      <c r="T13" s="26"/>
      <c r="V13" s="26"/>
    </row>
    <row r="14" spans="1:25" ht="24" customHeight="1">
      <c r="A14" s="81">
        <v>10</v>
      </c>
      <c r="B14" s="31" t="s">
        <v>24</v>
      </c>
      <c r="C14" s="9" t="s">
        <v>193</v>
      </c>
      <c r="D14" s="16" t="s">
        <v>196</v>
      </c>
      <c r="E14" s="16" t="s">
        <v>216</v>
      </c>
      <c r="F14" s="17">
        <v>22665.24</v>
      </c>
      <c r="G14" s="17">
        <v>22670.55</v>
      </c>
      <c r="H14" s="17">
        <f t="shared" si="1"/>
        <v>5.3099999999976717</v>
      </c>
      <c r="I14" s="32">
        <v>179</v>
      </c>
      <c r="J14" s="10">
        <f>IFERROR(I14/H14,0)</f>
        <v>33.70998116762307</v>
      </c>
      <c r="K14" s="17">
        <v>22676.42</v>
      </c>
      <c r="L14" s="19">
        <f t="shared" si="2"/>
        <v>5.8699999999989814</v>
      </c>
      <c r="M14" s="20">
        <v>170.7</v>
      </c>
      <c r="N14" s="28">
        <f t="shared" si="4"/>
        <v>29.080068143105557</v>
      </c>
      <c r="O14" s="18">
        <f t="shared" si="0"/>
        <v>11.179999999996653</v>
      </c>
      <c r="P14" s="22">
        <f t="shared" si="0"/>
        <v>349.7</v>
      </c>
      <c r="Q14" s="23">
        <f t="shared" si="5"/>
        <v>31.279069767451222</v>
      </c>
      <c r="R14" s="29">
        <v>65</v>
      </c>
      <c r="S14" s="37"/>
      <c r="T14" s="26"/>
      <c r="V14" s="26"/>
    </row>
    <row r="15" spans="1:25" ht="24" customHeight="1">
      <c r="A15" s="5">
        <v>11</v>
      </c>
      <c r="B15" s="31" t="s">
        <v>25</v>
      </c>
      <c r="C15" s="9" t="s">
        <v>193</v>
      </c>
      <c r="D15" s="16" t="s">
        <v>196</v>
      </c>
      <c r="E15" s="16" t="s">
        <v>216</v>
      </c>
      <c r="F15" s="17">
        <v>20160.03</v>
      </c>
      <c r="G15" s="17">
        <v>20172.13</v>
      </c>
      <c r="H15" s="17">
        <f t="shared" si="1"/>
        <v>12.100000000002183</v>
      </c>
      <c r="I15" s="32">
        <v>524.15</v>
      </c>
      <c r="J15" s="10">
        <f>IFERROR(I15/H15,0)</f>
        <v>43.318181818174004</v>
      </c>
      <c r="K15" s="17">
        <v>20181.5</v>
      </c>
      <c r="L15" s="19">
        <f>K15-G15</f>
        <v>9.3699999999989814</v>
      </c>
      <c r="M15" s="20">
        <v>473.28</v>
      </c>
      <c r="N15" s="28">
        <f>IFERROR(M15/L15,0)</f>
        <v>50.510138740667173</v>
      </c>
      <c r="O15" s="18">
        <f>H15+L15</f>
        <v>21.470000000001164</v>
      </c>
      <c r="P15" s="22">
        <f t="shared" si="0"/>
        <v>997.43</v>
      </c>
      <c r="Q15" s="23">
        <f t="shared" si="5"/>
        <v>46.456916627850298</v>
      </c>
      <c r="R15" s="29">
        <v>173</v>
      </c>
      <c r="S15" s="37"/>
      <c r="T15" s="26"/>
      <c r="V15" s="26"/>
      <c r="W15" s="38"/>
    </row>
    <row r="16" spans="1:25" ht="24" customHeight="1">
      <c r="A16" s="81">
        <v>12</v>
      </c>
      <c r="B16" s="31" t="s">
        <v>181</v>
      </c>
      <c r="C16" s="9" t="s">
        <v>193</v>
      </c>
      <c r="D16" s="16" t="s">
        <v>196</v>
      </c>
      <c r="E16" s="16" t="s">
        <v>217</v>
      </c>
      <c r="F16" s="17">
        <v>10196.35</v>
      </c>
      <c r="G16" s="17">
        <v>10199.68</v>
      </c>
      <c r="H16" s="17">
        <f t="shared" si="1"/>
        <v>3.3299999999999272</v>
      </c>
      <c r="I16" s="32">
        <v>94</v>
      </c>
      <c r="J16" s="10">
        <f>IFERROR(I16/H16,0)</f>
        <v>28.228228228228843</v>
      </c>
      <c r="K16" s="17">
        <v>10199.68</v>
      </c>
      <c r="L16" s="19">
        <f>K16-G16</f>
        <v>0</v>
      </c>
      <c r="M16" s="20">
        <v>0</v>
      </c>
      <c r="N16" s="28">
        <f>IFERROR(M16/L16,0)</f>
        <v>0</v>
      </c>
      <c r="O16" s="18">
        <f>H16+L16</f>
        <v>3.3299999999999272</v>
      </c>
      <c r="P16" s="22">
        <f t="shared" si="0"/>
        <v>94</v>
      </c>
      <c r="Q16" s="23">
        <f t="shared" si="5"/>
        <v>28.228228228228843</v>
      </c>
      <c r="R16" s="29">
        <v>0</v>
      </c>
      <c r="S16" s="37"/>
      <c r="T16" s="26"/>
      <c r="V16" s="26"/>
      <c r="W16" s="38"/>
    </row>
    <row r="17" spans="1:23" ht="24" customHeight="1">
      <c r="A17" s="5">
        <v>13</v>
      </c>
      <c r="B17" s="31" t="s">
        <v>27</v>
      </c>
      <c r="C17" s="9" t="s">
        <v>193</v>
      </c>
      <c r="D17" s="16" t="s">
        <v>197</v>
      </c>
      <c r="E17" s="16" t="s">
        <v>218</v>
      </c>
      <c r="F17" s="17">
        <v>18341.2</v>
      </c>
      <c r="G17" s="17">
        <v>18341.2</v>
      </c>
      <c r="H17" s="17">
        <f t="shared" si="1"/>
        <v>0</v>
      </c>
      <c r="I17" s="18">
        <v>0</v>
      </c>
      <c r="J17" s="10">
        <f>IFERROR(I17/H17,0)</f>
        <v>0</v>
      </c>
      <c r="K17" s="17">
        <v>18353.3</v>
      </c>
      <c r="L17" s="19">
        <f t="shared" ref="L17" si="6">K17-G17</f>
        <v>12.099999999998545</v>
      </c>
      <c r="M17" s="20">
        <v>236</v>
      </c>
      <c r="N17" s="28">
        <f t="shared" ref="N17" si="7">IFERROR(M17/L17,0)</f>
        <v>19.504132231407304</v>
      </c>
      <c r="O17" s="18">
        <f t="shared" ref="O17" si="8">H17+L17</f>
        <v>12.099999999998545</v>
      </c>
      <c r="P17" s="22">
        <f t="shared" si="0"/>
        <v>236</v>
      </c>
      <c r="Q17" s="23">
        <f t="shared" si="5"/>
        <v>19.504132231407304</v>
      </c>
      <c r="R17" s="29">
        <v>0</v>
      </c>
      <c r="S17" s="172"/>
      <c r="T17" s="26"/>
      <c r="V17" s="26"/>
      <c r="W17" s="38"/>
    </row>
    <row r="18" spans="1:23" ht="24" customHeight="1">
      <c r="A18" s="81">
        <v>14</v>
      </c>
      <c r="B18" s="31" t="s">
        <v>26</v>
      </c>
      <c r="C18" s="9" t="s">
        <v>193</v>
      </c>
      <c r="D18" s="185" t="s">
        <v>198</v>
      </c>
      <c r="E18" s="178" t="s">
        <v>199</v>
      </c>
      <c r="F18" s="17">
        <v>15234.3</v>
      </c>
      <c r="G18" s="17">
        <v>15234.3</v>
      </c>
      <c r="H18" s="17">
        <f t="shared" si="1"/>
        <v>0</v>
      </c>
      <c r="I18" s="32">
        <v>0</v>
      </c>
      <c r="J18" s="10">
        <f>IFERROR(I18/H18,0)</f>
        <v>0</v>
      </c>
      <c r="K18" s="17">
        <v>15234.3</v>
      </c>
      <c r="L18" s="19">
        <f>K18-G18</f>
        <v>0</v>
      </c>
      <c r="M18" s="20">
        <v>0</v>
      </c>
      <c r="N18" s="28">
        <f>IFERROR(M18/L18,0)</f>
        <v>0</v>
      </c>
      <c r="O18" s="18">
        <f>H18+L18</f>
        <v>0</v>
      </c>
      <c r="P18" s="22">
        <f>I18+M18</f>
        <v>0</v>
      </c>
      <c r="Q18" s="23">
        <f t="shared" si="5"/>
        <v>0</v>
      </c>
      <c r="R18" s="29">
        <v>0</v>
      </c>
      <c r="S18" s="37"/>
      <c r="T18" s="26"/>
      <c r="V18" s="26"/>
      <c r="W18" s="38"/>
    </row>
    <row r="19" spans="1:23" ht="24" customHeight="1">
      <c r="A19" s="196" t="s">
        <v>28</v>
      </c>
      <c r="B19" s="197"/>
      <c r="C19" s="175"/>
      <c r="D19" s="175"/>
      <c r="E19" s="175"/>
      <c r="F19" s="39"/>
      <c r="G19" s="39"/>
      <c r="H19" s="40">
        <f>SUM(H7:H18)</f>
        <v>139.52999999998974</v>
      </c>
      <c r="I19" s="41">
        <f>SUM(I5:I18)</f>
        <v>3592.15</v>
      </c>
      <c r="J19" s="39"/>
      <c r="K19" s="39"/>
      <c r="L19" s="40">
        <f>SUM(L7:L18)</f>
        <v>46.849999999998545</v>
      </c>
      <c r="M19" s="41">
        <f>SUM(M5:M18)</f>
        <v>1685.97</v>
      </c>
      <c r="N19" s="28">
        <f>IFERROR(M19/L19,0)</f>
        <v>35.986552828176144</v>
      </c>
      <c r="O19" s="42">
        <f>SUM(O7:O18)</f>
        <v>186.37999999998829</v>
      </c>
      <c r="P19" s="43">
        <f>SUM(P5:P18)</f>
        <v>5278.12</v>
      </c>
      <c r="Q19" s="23">
        <f>IFERROR(P19/O19,0)</f>
        <v>28.319132954181413</v>
      </c>
      <c r="R19" s="44">
        <f>SUM(R5:R18)</f>
        <v>669</v>
      </c>
      <c r="S19" s="45"/>
      <c r="V19" s="26"/>
    </row>
    <row r="20" spans="1:23" ht="18" customHeight="1" thickBot="1">
      <c r="A20" s="206" t="s">
        <v>29</v>
      </c>
      <c r="B20" s="207"/>
      <c r="C20" s="207"/>
      <c r="D20" s="207"/>
      <c r="E20" s="207"/>
      <c r="F20" s="207"/>
      <c r="G20" s="207"/>
      <c r="H20" s="207"/>
      <c r="I20" s="207"/>
      <c r="J20" s="207"/>
      <c r="K20" s="207"/>
      <c r="L20" s="207"/>
      <c r="M20" s="207"/>
      <c r="N20" s="207"/>
      <c r="O20" s="208"/>
      <c r="P20" s="46"/>
      <c r="Q20" s="47"/>
      <c r="R20" s="37"/>
    </row>
    <row r="21" spans="1:23" ht="22.8" customHeight="1">
      <c r="A21" s="209" t="s">
        <v>3</v>
      </c>
      <c r="B21" s="211" t="s">
        <v>4</v>
      </c>
      <c r="C21" s="173"/>
      <c r="D21" s="173"/>
      <c r="E21" s="173"/>
      <c r="F21" s="234" t="s">
        <v>5</v>
      </c>
      <c r="G21" s="234"/>
      <c r="H21" s="234"/>
      <c r="I21" s="234"/>
      <c r="J21" s="234"/>
      <c r="K21" s="235" t="s">
        <v>6</v>
      </c>
      <c r="L21" s="235"/>
      <c r="M21" s="235"/>
      <c r="N21" s="235"/>
      <c r="O21" s="48"/>
      <c r="P21" s="219" t="s">
        <v>7</v>
      </c>
      <c r="Q21" s="194" t="s">
        <v>8</v>
      </c>
      <c r="R21" s="37"/>
    </row>
    <row r="22" spans="1:23" s="51" customFormat="1" ht="24" customHeight="1" thickBot="1">
      <c r="A22" s="210"/>
      <c r="B22" s="212"/>
      <c r="C22" s="183" t="s">
        <v>190</v>
      </c>
      <c r="D22" s="183" t="s">
        <v>191</v>
      </c>
      <c r="E22" s="183" t="s">
        <v>192</v>
      </c>
      <c r="F22" s="49" t="s">
        <v>11</v>
      </c>
      <c r="G22" s="49" t="s">
        <v>12</v>
      </c>
      <c r="H22" s="49" t="s">
        <v>13</v>
      </c>
      <c r="I22" s="2" t="s">
        <v>14</v>
      </c>
      <c r="J22" s="2" t="s">
        <v>8</v>
      </c>
      <c r="K22" s="49" t="s">
        <v>12</v>
      </c>
      <c r="L22" s="49" t="s">
        <v>13</v>
      </c>
      <c r="M22" s="49" t="s">
        <v>14</v>
      </c>
      <c r="N22" s="7" t="s">
        <v>8</v>
      </c>
      <c r="O22" s="50" t="s">
        <v>15</v>
      </c>
      <c r="P22" s="220"/>
      <c r="Q22" s="195"/>
      <c r="R22" s="37"/>
      <c r="T22"/>
      <c r="U22"/>
      <c r="V22"/>
      <c r="W22"/>
    </row>
    <row r="23" spans="1:23" s="51" customFormat="1" ht="24" customHeight="1">
      <c r="A23" s="27">
        <v>1</v>
      </c>
      <c r="B23" s="52" t="s">
        <v>30</v>
      </c>
      <c r="C23" s="179" t="s">
        <v>200</v>
      </c>
      <c r="D23" s="179" t="s">
        <v>197</v>
      </c>
      <c r="E23" s="179" t="s">
        <v>201</v>
      </c>
      <c r="F23" s="6">
        <v>18948.599999999999</v>
      </c>
      <c r="G23" s="6">
        <v>18964</v>
      </c>
      <c r="H23" s="53">
        <f>G23-F23</f>
        <v>15.400000000001455</v>
      </c>
      <c r="I23" s="54">
        <v>183</v>
      </c>
      <c r="J23" s="55">
        <f>IFERROR(I23/H23,0)</f>
        <v>11.883116883115759</v>
      </c>
      <c r="K23" s="6">
        <v>18973.2</v>
      </c>
      <c r="L23" s="56">
        <f>K23-G23</f>
        <v>9.2000000000007276</v>
      </c>
      <c r="M23" s="54">
        <v>127.61</v>
      </c>
      <c r="N23" s="57">
        <f>IFERROR(M23/L23,0)</f>
        <v>13.870652173911946</v>
      </c>
      <c r="O23" s="58">
        <f>H23+L23</f>
        <v>24.600000000002183</v>
      </c>
      <c r="P23" s="59">
        <f t="shared" ref="P23:P24" si="9">I23+M23</f>
        <v>310.61</v>
      </c>
      <c r="Q23" s="60">
        <f>IFERROR(P23/O23,0)</f>
        <v>12.626422764226522</v>
      </c>
      <c r="R23" s="61"/>
      <c r="T23"/>
      <c r="U23"/>
      <c r="V23"/>
      <c r="W23"/>
    </row>
    <row r="24" spans="1:23" ht="24" customHeight="1">
      <c r="A24" s="62">
        <v>2</v>
      </c>
      <c r="B24" s="52" t="s">
        <v>31</v>
      </c>
      <c r="C24" s="52" t="s">
        <v>200</v>
      </c>
      <c r="D24" s="52" t="s">
        <v>197</v>
      </c>
      <c r="E24" s="52" t="s">
        <v>201</v>
      </c>
      <c r="F24" s="63">
        <v>11332.9</v>
      </c>
      <c r="G24" s="63">
        <v>11338.1</v>
      </c>
      <c r="H24" s="53">
        <f>G24-F24</f>
        <v>5.2000000000007276</v>
      </c>
      <c r="I24" s="54">
        <v>78</v>
      </c>
      <c r="J24" s="55">
        <f>IFERROR(I24/H24,0)</f>
        <v>14.9999999999979</v>
      </c>
      <c r="K24" s="63">
        <v>11341.4</v>
      </c>
      <c r="L24" s="64">
        <f>K24-G24</f>
        <v>3.2999999999992724</v>
      </c>
      <c r="M24" s="54">
        <v>50.49</v>
      </c>
      <c r="N24" s="57">
        <f>IFERROR(M24/L24,0)</f>
        <v>15.300000000003374</v>
      </c>
      <c r="O24" s="58">
        <f>H24+L24</f>
        <v>8.5</v>
      </c>
      <c r="P24" s="59">
        <f t="shared" si="9"/>
        <v>128.49</v>
      </c>
      <c r="Q24" s="60">
        <f>IFERROR(P24/O24,0)</f>
        <v>15.116470588235295</v>
      </c>
      <c r="R24" s="65"/>
    </row>
    <row r="25" spans="1:23" ht="24" customHeight="1" thickBot="1">
      <c r="A25" s="238" t="s">
        <v>28</v>
      </c>
      <c r="B25" s="239"/>
      <c r="C25" s="180"/>
      <c r="D25" s="180"/>
      <c r="E25" s="180"/>
      <c r="F25" s="66"/>
      <c r="G25" s="66"/>
      <c r="H25" s="67">
        <f>SUM(H23:H24)</f>
        <v>20.600000000002183</v>
      </c>
      <c r="I25" s="67">
        <f>SUM(I23:I24)</f>
        <v>261</v>
      </c>
      <c r="J25" s="68"/>
      <c r="K25" s="68"/>
      <c r="L25" s="67">
        <f>SUM(L23:L24)</f>
        <v>12.5</v>
      </c>
      <c r="M25" s="67">
        <f>SUM(M23:M24)</f>
        <v>178.1</v>
      </c>
      <c r="N25" s="69">
        <f>SUM(N23:N24)</f>
        <v>29.170652173915322</v>
      </c>
      <c r="O25" s="70">
        <f>SUM(O23:O24)</f>
        <v>33.100000000002183</v>
      </c>
      <c r="P25" s="43">
        <f>SUM(P23:P24)</f>
        <v>439.1</v>
      </c>
      <c r="Q25" s="71"/>
      <c r="R25" s="37"/>
      <c r="S25" s="72"/>
    </row>
    <row r="26" spans="1:23" ht="18" customHeight="1" thickBot="1">
      <c r="A26" s="245" t="s">
        <v>32</v>
      </c>
      <c r="B26" s="246"/>
      <c r="C26" s="226"/>
      <c r="D26" s="226"/>
      <c r="E26" s="226"/>
      <c r="F26" s="226"/>
      <c r="G26" s="226"/>
      <c r="H26" s="226"/>
      <c r="I26" s="226"/>
      <c r="J26" s="226"/>
      <c r="K26" s="226"/>
      <c r="L26" s="226"/>
      <c r="M26" s="226"/>
      <c r="N26" s="226"/>
      <c r="O26" s="246"/>
      <c r="P26" s="46"/>
      <c r="Q26" s="47"/>
      <c r="R26" s="37"/>
    </row>
    <row r="27" spans="1:23" ht="22.8" customHeight="1">
      <c r="A27" s="209" t="s">
        <v>3</v>
      </c>
      <c r="B27" s="211" t="s">
        <v>4</v>
      </c>
      <c r="C27" s="173"/>
      <c r="D27" s="173"/>
      <c r="E27" s="173"/>
      <c r="F27" s="234" t="s">
        <v>5</v>
      </c>
      <c r="G27" s="234"/>
      <c r="H27" s="234"/>
      <c r="I27" s="234"/>
      <c r="J27" s="234"/>
      <c r="K27" s="235" t="s">
        <v>6</v>
      </c>
      <c r="L27" s="235"/>
      <c r="M27" s="235"/>
      <c r="N27" s="235"/>
      <c r="O27" s="48"/>
      <c r="P27" s="219" t="s">
        <v>7</v>
      </c>
      <c r="Q27" s="194" t="s">
        <v>8</v>
      </c>
      <c r="R27" s="37"/>
      <c r="V27" s="51"/>
    </row>
    <row r="28" spans="1:23" ht="24" customHeight="1">
      <c r="A28" s="247"/>
      <c r="B28" s="248"/>
      <c r="C28" s="183" t="s">
        <v>190</v>
      </c>
      <c r="D28" s="183" t="s">
        <v>191</v>
      </c>
      <c r="E28" s="183" t="s">
        <v>192</v>
      </c>
      <c r="F28" s="6" t="s">
        <v>11</v>
      </c>
      <c r="G28" s="6" t="s">
        <v>12</v>
      </c>
      <c r="H28" s="6" t="s">
        <v>13</v>
      </c>
      <c r="I28" s="6" t="s">
        <v>14</v>
      </c>
      <c r="J28" s="6" t="s">
        <v>8</v>
      </c>
      <c r="K28" s="6" t="s">
        <v>12</v>
      </c>
      <c r="L28" s="6" t="s">
        <v>13</v>
      </c>
      <c r="M28" s="6" t="s">
        <v>14</v>
      </c>
      <c r="N28" s="7" t="s">
        <v>8</v>
      </c>
      <c r="O28" s="73" t="s">
        <v>15</v>
      </c>
      <c r="P28" s="236"/>
      <c r="Q28" s="237"/>
      <c r="R28" s="61"/>
      <c r="S28" s="74"/>
      <c r="V28" s="51"/>
      <c r="W28" s="75"/>
    </row>
    <row r="29" spans="1:23" ht="24" customHeight="1">
      <c r="A29" s="76">
        <v>1</v>
      </c>
      <c r="B29" s="31" t="s">
        <v>33</v>
      </c>
      <c r="C29" s="31" t="s">
        <v>202</v>
      </c>
      <c r="D29" s="31" t="s">
        <v>203</v>
      </c>
      <c r="E29" s="31" t="s">
        <v>219</v>
      </c>
      <c r="F29" s="35">
        <v>21839.9</v>
      </c>
      <c r="G29" s="35">
        <v>21856.5</v>
      </c>
      <c r="H29" s="35">
        <f>G29-F29</f>
        <v>16.599999999998545</v>
      </c>
      <c r="I29" s="33">
        <v>215</v>
      </c>
      <c r="J29" s="10">
        <f t="shared" ref="J29:J33" si="10">IFERROR(I29/H29,0)</f>
        <v>12.951807228916799</v>
      </c>
      <c r="K29" s="35">
        <v>21863.1</v>
      </c>
      <c r="L29" s="56">
        <f>K29-G29</f>
        <v>6.5999999999985448</v>
      </c>
      <c r="M29" s="33">
        <v>274.63</v>
      </c>
      <c r="N29" s="28">
        <f t="shared" ref="N29:N33" si="11">IFERROR(M29/L29,0)</f>
        <v>41.610606060615233</v>
      </c>
      <c r="O29" s="84">
        <f t="shared" ref="O29:P33" si="12">H29+L29</f>
        <v>23.19999999999709</v>
      </c>
      <c r="P29" s="79">
        <f t="shared" si="12"/>
        <v>489.63</v>
      </c>
      <c r="Q29" s="34">
        <f>IFERROR(P29/O29,0)</f>
        <v>21.104741379312991</v>
      </c>
      <c r="R29" s="37"/>
    </row>
    <row r="30" spans="1:23" ht="24" customHeight="1">
      <c r="A30" s="76">
        <v>2</v>
      </c>
      <c r="B30" s="31" t="s">
        <v>34</v>
      </c>
      <c r="C30" s="31" t="s">
        <v>202</v>
      </c>
      <c r="D30" s="31" t="s">
        <v>203</v>
      </c>
      <c r="E30" s="31" t="s">
        <v>219</v>
      </c>
      <c r="F30" s="35">
        <v>21219.599999999999</v>
      </c>
      <c r="G30" s="35">
        <v>21230.5</v>
      </c>
      <c r="H30" s="35">
        <f>G30-F30</f>
        <v>10.900000000001455</v>
      </c>
      <c r="I30" s="33">
        <v>290</v>
      </c>
      <c r="J30" s="10">
        <f t="shared" si="10"/>
        <v>26.60550458715241</v>
      </c>
      <c r="K30" s="35">
        <v>21240.799999999999</v>
      </c>
      <c r="L30" s="56">
        <f>K30-G30</f>
        <v>10.299999999999272</v>
      </c>
      <c r="M30" s="33">
        <v>222</v>
      </c>
      <c r="N30" s="28">
        <f>IFERROR(M30/L30,0)</f>
        <v>21.553398058253951</v>
      </c>
      <c r="O30" s="18">
        <f t="shared" si="12"/>
        <v>21.200000000000728</v>
      </c>
      <c r="P30" s="22">
        <f t="shared" si="12"/>
        <v>512</v>
      </c>
      <c r="Q30" s="23">
        <f>IFERROR(P30/O30,0)</f>
        <v>24.150943396225586</v>
      </c>
      <c r="R30" s="37"/>
    </row>
    <row r="31" spans="1:23" ht="24" customHeight="1">
      <c r="A31" s="76">
        <v>3</v>
      </c>
      <c r="B31" s="31" t="s">
        <v>35</v>
      </c>
      <c r="C31" s="31" t="s">
        <v>202</v>
      </c>
      <c r="D31" s="31" t="s">
        <v>197</v>
      </c>
      <c r="E31" s="31" t="s">
        <v>220</v>
      </c>
      <c r="F31" s="35">
        <v>8994.7000000000007</v>
      </c>
      <c r="G31" s="35">
        <v>8994.7000000000007</v>
      </c>
      <c r="H31" s="17">
        <f t="shared" ref="H31:H33" si="13">G31-F31</f>
        <v>0</v>
      </c>
      <c r="I31" s="33">
        <v>0</v>
      </c>
      <c r="J31" s="10">
        <f t="shared" si="10"/>
        <v>0</v>
      </c>
      <c r="K31" s="35">
        <v>9000.6</v>
      </c>
      <c r="L31" s="19">
        <f>K31-G31</f>
        <v>5.8999999999996362</v>
      </c>
      <c r="M31" s="33">
        <v>124.86</v>
      </c>
      <c r="N31" s="28">
        <f t="shared" si="11"/>
        <v>21.162711864408084</v>
      </c>
      <c r="O31" s="18">
        <f t="shared" si="12"/>
        <v>5.8999999999996362</v>
      </c>
      <c r="P31" s="22">
        <f t="shared" si="12"/>
        <v>124.86</v>
      </c>
      <c r="Q31" s="23">
        <f>IFERROR(P31/O31,0)</f>
        <v>21.162711864408084</v>
      </c>
      <c r="R31" s="77"/>
    </row>
    <row r="32" spans="1:23" ht="24.6" customHeight="1">
      <c r="A32" s="76">
        <v>4</v>
      </c>
      <c r="B32" s="31" t="s">
        <v>36</v>
      </c>
      <c r="C32" s="31" t="s">
        <v>202</v>
      </c>
      <c r="D32" s="31" t="s">
        <v>203</v>
      </c>
      <c r="E32" s="31" t="s">
        <v>219</v>
      </c>
      <c r="F32" s="35">
        <v>3517.9</v>
      </c>
      <c r="G32" s="35">
        <v>3517.9</v>
      </c>
      <c r="H32" s="17">
        <f t="shared" si="13"/>
        <v>0</v>
      </c>
      <c r="I32" s="33">
        <v>0</v>
      </c>
      <c r="J32" s="78">
        <f t="shared" si="10"/>
        <v>0</v>
      </c>
      <c r="K32" s="35">
        <v>3517.9</v>
      </c>
      <c r="L32" s="19">
        <f t="shared" ref="L32:L33" si="14">K32-G32</f>
        <v>0</v>
      </c>
      <c r="M32" s="33">
        <v>0</v>
      </c>
      <c r="N32" s="28">
        <f t="shared" si="11"/>
        <v>0</v>
      </c>
      <c r="O32" s="18">
        <f t="shared" si="12"/>
        <v>0</v>
      </c>
      <c r="P32" s="79">
        <f t="shared" si="12"/>
        <v>0</v>
      </c>
      <c r="Q32" s="23">
        <f>IFERROR(P32/O32,0)</f>
        <v>0</v>
      </c>
      <c r="R32" s="80"/>
    </row>
    <row r="33" spans="1:22" ht="24.6" customHeight="1">
      <c r="A33" s="76">
        <v>5</v>
      </c>
      <c r="B33" s="31" t="s">
        <v>37</v>
      </c>
      <c r="C33" s="31" t="s">
        <v>202</v>
      </c>
      <c r="D33" s="31" t="s">
        <v>203</v>
      </c>
      <c r="E33" s="31" t="s">
        <v>221</v>
      </c>
      <c r="F33" s="35">
        <v>841.1</v>
      </c>
      <c r="G33" s="35">
        <v>855.8</v>
      </c>
      <c r="H33" s="17">
        <f t="shared" si="13"/>
        <v>14.699999999999932</v>
      </c>
      <c r="I33" s="33">
        <v>391</v>
      </c>
      <c r="J33" s="78">
        <f t="shared" si="10"/>
        <v>26.598639455782436</v>
      </c>
      <c r="K33" s="35">
        <v>865.1</v>
      </c>
      <c r="L33" s="19">
        <f t="shared" si="14"/>
        <v>9.3000000000000682</v>
      </c>
      <c r="M33" s="33">
        <v>266.73</v>
      </c>
      <c r="N33" s="28">
        <f t="shared" si="11"/>
        <v>28.680645161290116</v>
      </c>
      <c r="O33" s="18">
        <f t="shared" si="12"/>
        <v>24</v>
      </c>
      <c r="P33" s="79">
        <f t="shared" si="12"/>
        <v>657.73</v>
      </c>
      <c r="Q33" s="23">
        <f>IFERROR(P33/O33,0)</f>
        <v>27.405416666666667</v>
      </c>
      <c r="R33" s="80"/>
    </row>
    <row r="34" spans="1:22" ht="22.8" customHeight="1" thickBot="1">
      <c r="A34" s="238" t="s">
        <v>28</v>
      </c>
      <c r="B34" s="239"/>
      <c r="C34" s="180"/>
      <c r="D34" s="180"/>
      <c r="E34" s="180"/>
      <c r="F34" s="66"/>
      <c r="G34" s="66"/>
      <c r="H34" s="67">
        <f>SUM(H29:H33)</f>
        <v>42.199999999999932</v>
      </c>
      <c r="I34" s="67">
        <f>SUM(I29:I33)</f>
        <v>896</v>
      </c>
      <c r="J34" s="68"/>
      <c r="K34" s="68"/>
      <c r="L34" s="67">
        <f>SUM(L29:L33)</f>
        <v>32.099999999997522</v>
      </c>
      <c r="M34" s="67">
        <f>SUM(M29:M33)</f>
        <v>888.22</v>
      </c>
      <c r="N34" s="69">
        <f>SUM(N29:N33)</f>
        <v>113.00736114456738</v>
      </c>
      <c r="O34" s="70">
        <f>SUM(O29:O33)</f>
        <v>74.299999999997453</v>
      </c>
      <c r="P34" s="43">
        <f>SUM(P29:P33)</f>
        <v>1784.22</v>
      </c>
      <c r="Q34" s="71">
        <f>IFERROR(P34/N34,0)</f>
        <v>15.788529011995012</v>
      </c>
      <c r="R34" s="37"/>
      <c r="S34" s="72"/>
      <c r="V34" s="51"/>
    </row>
    <row r="35" spans="1:22" ht="24" customHeight="1">
      <c r="A35" s="240" t="s">
        <v>38</v>
      </c>
      <c r="B35" s="241"/>
      <c r="C35" s="241"/>
      <c r="D35" s="241"/>
      <c r="E35" s="241"/>
      <c r="F35" s="241"/>
      <c r="G35" s="241"/>
      <c r="H35" s="241"/>
      <c r="I35" s="241"/>
      <c r="J35" s="241"/>
      <c r="K35" s="241"/>
      <c r="L35" s="241"/>
      <c r="M35" s="241"/>
      <c r="N35" s="241"/>
      <c r="O35" s="242"/>
      <c r="P35" s="46"/>
      <c r="Q35" s="47"/>
      <c r="R35" s="61"/>
      <c r="V35" s="51"/>
    </row>
    <row r="36" spans="1:22" ht="24" customHeight="1">
      <c r="A36" s="243" t="s">
        <v>3</v>
      </c>
      <c r="B36" s="243" t="s">
        <v>4</v>
      </c>
      <c r="C36" s="181"/>
      <c r="D36" s="181"/>
      <c r="E36" s="181"/>
      <c r="F36" s="213" t="s">
        <v>5</v>
      </c>
      <c r="G36" s="214"/>
      <c r="H36" s="214"/>
      <c r="I36" s="214"/>
      <c r="J36" s="215"/>
      <c r="K36" s="216" t="s">
        <v>6</v>
      </c>
      <c r="L36" s="217"/>
      <c r="M36" s="217"/>
      <c r="N36" s="218"/>
      <c r="O36" s="5"/>
      <c r="P36" s="221" t="s">
        <v>7</v>
      </c>
      <c r="Q36" s="222" t="s">
        <v>8</v>
      </c>
      <c r="R36" s="37"/>
    </row>
    <row r="37" spans="1:22" ht="24" customHeight="1">
      <c r="A37" s="244"/>
      <c r="B37" s="244"/>
      <c r="C37" s="183" t="s">
        <v>190</v>
      </c>
      <c r="D37" s="183" t="s">
        <v>191</v>
      </c>
      <c r="E37" s="183" t="s">
        <v>192</v>
      </c>
      <c r="F37" s="2" t="s">
        <v>11</v>
      </c>
      <c r="G37" s="2" t="s">
        <v>12</v>
      </c>
      <c r="H37" s="2" t="s">
        <v>13</v>
      </c>
      <c r="I37" s="2" t="s">
        <v>14</v>
      </c>
      <c r="J37" s="2" t="s">
        <v>8</v>
      </c>
      <c r="K37" s="2" t="s">
        <v>12</v>
      </c>
      <c r="L37" s="2" t="s">
        <v>13</v>
      </c>
      <c r="M37" s="2" t="s">
        <v>14</v>
      </c>
      <c r="N37" s="82" t="s">
        <v>8</v>
      </c>
      <c r="O37" s="12" t="s">
        <v>15</v>
      </c>
      <c r="P37" s="221"/>
      <c r="Q37" s="222"/>
      <c r="R37" s="37"/>
    </row>
    <row r="38" spans="1:22" ht="24" customHeight="1">
      <c r="A38" s="76">
        <v>1</v>
      </c>
      <c r="B38" s="31" t="s">
        <v>39</v>
      </c>
      <c r="C38" s="31" t="s">
        <v>204</v>
      </c>
      <c r="D38" s="31" t="s">
        <v>205</v>
      </c>
      <c r="E38" s="31" t="s">
        <v>206</v>
      </c>
      <c r="F38" s="83">
        <v>16671.7</v>
      </c>
      <c r="G38" s="83">
        <v>16671.7</v>
      </c>
      <c r="H38" s="35">
        <f>G38-F38</f>
        <v>0</v>
      </c>
      <c r="I38" s="33">
        <v>0</v>
      </c>
      <c r="J38" s="78">
        <f t="shared" ref="J38:J39" si="15">IFERROR(I38/H38,0)</f>
        <v>0</v>
      </c>
      <c r="K38" s="83">
        <v>16675</v>
      </c>
      <c r="L38" s="56">
        <f>K38-G38</f>
        <v>3.2999999999992724</v>
      </c>
      <c r="M38" s="33">
        <v>67</v>
      </c>
      <c r="N38" s="28">
        <f>IFERROR(M38/L38,0)</f>
        <v>20.303030303034781</v>
      </c>
      <c r="O38" s="84">
        <f t="shared" ref="O38:O39" si="16">H38+L38</f>
        <v>3.2999999999992724</v>
      </c>
      <c r="P38" s="79">
        <f>I38+M38</f>
        <v>67</v>
      </c>
      <c r="Q38" s="34">
        <f>IFERROR(P38/O38,0)</f>
        <v>20.303030303034781</v>
      </c>
      <c r="R38" s="37"/>
    </row>
    <row r="39" spans="1:22" ht="27" customHeight="1">
      <c r="A39" s="76">
        <v>2</v>
      </c>
      <c r="B39" s="31" t="s">
        <v>40</v>
      </c>
      <c r="C39" s="31" t="s">
        <v>204</v>
      </c>
      <c r="D39" s="31" t="s">
        <v>197</v>
      </c>
      <c r="E39" s="31" t="s">
        <v>207</v>
      </c>
      <c r="F39" s="35">
        <v>4550.8</v>
      </c>
      <c r="G39" s="35">
        <v>4569.1000000000004</v>
      </c>
      <c r="H39" s="17">
        <f>G39-F39</f>
        <v>18.300000000000182</v>
      </c>
      <c r="I39" s="33">
        <f>161+177.35</f>
        <v>338.35</v>
      </c>
      <c r="J39" s="10">
        <f t="shared" si="15"/>
        <v>18.489071038251183</v>
      </c>
      <c r="K39" s="35">
        <v>4576.3999999999996</v>
      </c>
      <c r="L39" s="19">
        <f>K39-G39</f>
        <v>7.2999999999992724</v>
      </c>
      <c r="M39" s="33">
        <v>173.18</v>
      </c>
      <c r="N39" s="28">
        <f>IFERROR(M39/L39,0)</f>
        <v>23.723287671235241</v>
      </c>
      <c r="O39" s="18">
        <f t="shared" si="16"/>
        <v>25.599999999999454</v>
      </c>
      <c r="P39" s="22">
        <f>I39+M39</f>
        <v>511.53000000000003</v>
      </c>
      <c r="Q39" s="23">
        <f>IFERROR(P39/O39,0)</f>
        <v>19.981640625000427</v>
      </c>
      <c r="R39" s="37"/>
      <c r="V39" s="51"/>
    </row>
    <row r="40" spans="1:22" ht="22.8" customHeight="1" thickBot="1">
      <c r="A40" s="196" t="s">
        <v>28</v>
      </c>
      <c r="B40" s="233"/>
      <c r="C40" s="176"/>
      <c r="D40" s="176"/>
      <c r="E40" s="176"/>
      <c r="F40" s="68"/>
      <c r="G40" s="66"/>
      <c r="H40" s="67">
        <f>SUM(H38:H39)</f>
        <v>18.300000000000182</v>
      </c>
      <c r="I40" s="67">
        <f>SUM(I38:I39:I39)</f>
        <v>338.35</v>
      </c>
      <c r="J40" s="68"/>
      <c r="K40" s="68"/>
      <c r="L40" s="67">
        <f>SUM(L38:L39)</f>
        <v>10.599999999998545</v>
      </c>
      <c r="M40" s="67">
        <f>SUM(M38:M39)</f>
        <v>240.18</v>
      </c>
      <c r="N40" s="69">
        <f>SUM(N38:N39)</f>
        <v>44.026317974270022</v>
      </c>
      <c r="O40" s="70">
        <f>SUM(O38:O39)</f>
        <v>28.899999999998727</v>
      </c>
      <c r="P40" s="43">
        <f>SUM(P38:P39)</f>
        <v>578.53</v>
      </c>
      <c r="Q40" s="71">
        <f>IFERROR(P40/N40,0)</f>
        <v>13.140549258243809</v>
      </c>
      <c r="R40" s="37"/>
      <c r="S40" s="72"/>
      <c r="V40" s="51"/>
    </row>
    <row r="41" spans="1:22" ht="24" customHeight="1">
      <c r="A41" s="225" t="s">
        <v>41</v>
      </c>
      <c r="B41" s="226"/>
      <c r="C41" s="226"/>
      <c r="D41" s="226"/>
      <c r="E41" s="226"/>
      <c r="F41" s="226"/>
      <c r="G41" s="226"/>
      <c r="H41" s="226"/>
      <c r="I41" s="226"/>
      <c r="J41" s="226"/>
      <c r="K41" s="226"/>
      <c r="L41" s="226"/>
      <c r="M41" s="226"/>
      <c r="N41" s="226"/>
      <c r="O41" s="226"/>
      <c r="P41" s="46"/>
      <c r="Q41" s="47"/>
      <c r="R41" s="61"/>
    </row>
    <row r="42" spans="1:22" ht="24" customHeight="1">
      <c r="A42" s="222" t="s">
        <v>3</v>
      </c>
      <c r="B42" s="222" t="s">
        <v>4</v>
      </c>
      <c r="C42" s="5"/>
      <c r="D42" s="5"/>
      <c r="E42" s="5"/>
      <c r="F42" s="234" t="s">
        <v>5</v>
      </c>
      <c r="G42" s="234"/>
      <c r="H42" s="234"/>
      <c r="I42" s="234"/>
      <c r="J42" s="234"/>
      <c r="K42" s="235" t="s">
        <v>6</v>
      </c>
      <c r="L42" s="235"/>
      <c r="M42" s="235"/>
      <c r="N42" s="235"/>
      <c r="O42" s="5"/>
      <c r="P42" s="221" t="s">
        <v>7</v>
      </c>
      <c r="Q42" s="222" t="s">
        <v>8</v>
      </c>
      <c r="R42" s="37"/>
    </row>
    <row r="43" spans="1:22" ht="25.8" customHeight="1">
      <c r="A43" s="222"/>
      <c r="B43" s="222"/>
      <c r="C43" s="183" t="s">
        <v>190</v>
      </c>
      <c r="D43" s="183" t="s">
        <v>191</v>
      </c>
      <c r="E43" s="183" t="s">
        <v>192</v>
      </c>
      <c r="F43" s="2" t="s">
        <v>11</v>
      </c>
      <c r="G43" s="2" t="s">
        <v>12</v>
      </c>
      <c r="H43" s="2" t="s">
        <v>13</v>
      </c>
      <c r="I43" s="2" t="s">
        <v>14</v>
      </c>
      <c r="J43" s="2" t="s">
        <v>8</v>
      </c>
      <c r="K43" s="2" t="s">
        <v>12</v>
      </c>
      <c r="L43" s="2" t="s">
        <v>13</v>
      </c>
      <c r="M43" s="2" t="s">
        <v>14</v>
      </c>
      <c r="N43" s="82" t="s">
        <v>8</v>
      </c>
      <c r="O43" s="12" t="s">
        <v>15</v>
      </c>
      <c r="P43" s="221"/>
      <c r="Q43" s="222"/>
      <c r="R43" s="37"/>
    </row>
    <row r="44" spans="1:22" ht="25.8" customHeight="1">
      <c r="A44" s="5">
        <v>1</v>
      </c>
      <c r="B44" s="85" t="s">
        <v>186</v>
      </c>
      <c r="C44" s="85" t="s">
        <v>208</v>
      </c>
      <c r="D44" s="85" t="s">
        <v>197</v>
      </c>
      <c r="E44" s="178" t="s">
        <v>209</v>
      </c>
      <c r="F44" s="2">
        <v>0</v>
      </c>
      <c r="G44" s="2">
        <v>0</v>
      </c>
      <c r="H44" s="20">
        <f>G44-F44</f>
        <v>0</v>
      </c>
      <c r="I44" s="2">
        <v>0</v>
      </c>
      <c r="J44" s="10">
        <f t="shared" ref="J44:J46" si="17">IFERROR(I44/H44,0)</f>
        <v>0</v>
      </c>
      <c r="K44" s="2">
        <v>0</v>
      </c>
      <c r="L44" s="86">
        <f>K44-G44</f>
        <v>0</v>
      </c>
      <c r="M44" s="2">
        <f>130.21+147.27</f>
        <v>277.48</v>
      </c>
      <c r="N44" s="28">
        <f>IFERROR(M44/L44,0)</f>
        <v>0</v>
      </c>
      <c r="O44" s="18">
        <f>H44+L44</f>
        <v>0</v>
      </c>
      <c r="P44" s="22">
        <f>I44+M44</f>
        <v>277.48</v>
      </c>
      <c r="Q44" s="23">
        <f>IFERROR(P44/O44,0)</f>
        <v>0</v>
      </c>
      <c r="R44" s="37"/>
    </row>
    <row r="45" spans="1:22" ht="24.6" customHeight="1">
      <c r="A45" s="76">
        <v>2</v>
      </c>
      <c r="B45" s="85" t="s">
        <v>42</v>
      </c>
      <c r="C45" s="85" t="s">
        <v>208</v>
      </c>
      <c r="D45" s="85" t="s">
        <v>197</v>
      </c>
      <c r="E45" s="178" t="s">
        <v>209</v>
      </c>
      <c r="F45" s="33">
        <v>8726.9</v>
      </c>
      <c r="G45" s="33">
        <v>8726.9</v>
      </c>
      <c r="H45" s="20">
        <f>G45-F45</f>
        <v>0</v>
      </c>
      <c r="I45" s="33">
        <v>0</v>
      </c>
      <c r="J45" s="10">
        <f t="shared" si="17"/>
        <v>0</v>
      </c>
      <c r="K45" s="33">
        <v>8726.9</v>
      </c>
      <c r="L45" s="86">
        <f>K45-G45</f>
        <v>0</v>
      </c>
      <c r="M45" s="2">
        <v>0</v>
      </c>
      <c r="N45" s="28">
        <f>IFERROR(M45/L45,0)</f>
        <v>0</v>
      </c>
      <c r="O45" s="18">
        <f>H45+L45</f>
        <v>0</v>
      </c>
      <c r="P45" s="22">
        <f>I45+M45</f>
        <v>0</v>
      </c>
      <c r="Q45" s="23">
        <f>IFERROR(P45/O45,0)</f>
        <v>0</v>
      </c>
      <c r="R45" s="87"/>
      <c r="V45" s="51"/>
    </row>
    <row r="46" spans="1:22" ht="22.8" customHeight="1">
      <c r="A46" s="76">
        <v>3</v>
      </c>
      <c r="B46" s="85" t="s">
        <v>43</v>
      </c>
      <c r="C46" s="85" t="s">
        <v>208</v>
      </c>
      <c r="D46" s="85" t="s">
        <v>197</v>
      </c>
      <c r="E46" s="178" t="s">
        <v>209</v>
      </c>
      <c r="F46" s="33">
        <v>1686</v>
      </c>
      <c r="G46" s="33">
        <v>1686</v>
      </c>
      <c r="H46" s="20">
        <f>G46-F46</f>
        <v>0</v>
      </c>
      <c r="I46" s="33">
        <v>0</v>
      </c>
      <c r="J46" s="10">
        <f t="shared" si="17"/>
        <v>0</v>
      </c>
      <c r="K46" s="33">
        <v>1701.5</v>
      </c>
      <c r="L46" s="86">
        <f>K46-G46</f>
        <v>15.5</v>
      </c>
      <c r="M46" s="2">
        <f>155.75+361.55</f>
        <v>517.29999999999995</v>
      </c>
      <c r="N46" s="28">
        <f>IFERROR(M46/L46,0)</f>
        <v>33.37419354838709</v>
      </c>
      <c r="O46" s="18">
        <f>H46+L46</f>
        <v>15.5</v>
      </c>
      <c r="P46" s="22">
        <f t="shared" ref="P46" si="18">I46+M46</f>
        <v>517.29999999999995</v>
      </c>
      <c r="Q46" s="23">
        <f>IFERROR(P46/O46,0)</f>
        <v>33.37419354838709</v>
      </c>
      <c r="R46" s="87"/>
      <c r="S46" s="88"/>
      <c r="T46" s="89"/>
    </row>
    <row r="47" spans="1:22" ht="24" customHeight="1" thickBot="1">
      <c r="A47" s="223" t="s">
        <v>28</v>
      </c>
      <c r="B47" s="224"/>
      <c r="C47" s="177"/>
      <c r="D47" s="177"/>
      <c r="E47" s="177"/>
      <c r="F47" s="90"/>
      <c r="G47" s="90"/>
      <c r="H47" s="91">
        <f>SUM(H45:H46)</f>
        <v>0</v>
      </c>
      <c r="I47" s="91">
        <f>SUM(I45:I46)</f>
        <v>0</v>
      </c>
      <c r="J47" s="92"/>
      <c r="K47" s="92"/>
      <c r="L47" s="91">
        <f>SUM(L44:L46)</f>
        <v>15.5</v>
      </c>
      <c r="M47" s="91">
        <f>SUM(M44:M46)</f>
        <v>794.78</v>
      </c>
      <c r="N47" s="93">
        <f>SUM(N44:N46)</f>
        <v>33.37419354838709</v>
      </c>
      <c r="O47" s="94">
        <f>SUM(O44:O46)</f>
        <v>15.5</v>
      </c>
      <c r="P47" s="95">
        <f>SUM(P44:P46)</f>
        <v>794.78</v>
      </c>
      <c r="Q47" s="96">
        <f>P47/O47</f>
        <v>51.276129032258062</v>
      </c>
      <c r="R47" s="37"/>
      <c r="S47" s="97"/>
      <c r="T47" s="89"/>
    </row>
    <row r="48" spans="1:22" ht="24" customHeight="1">
      <c r="A48" s="225" t="s">
        <v>44</v>
      </c>
      <c r="B48" s="226"/>
      <c r="C48" s="226"/>
      <c r="D48" s="226"/>
      <c r="E48" s="226"/>
      <c r="F48" s="226"/>
      <c r="G48" s="226"/>
      <c r="H48" s="226"/>
      <c r="I48" s="226"/>
      <c r="J48" s="226"/>
      <c r="K48" s="226"/>
      <c r="L48" s="226"/>
      <c r="M48" s="226"/>
      <c r="N48" s="226"/>
      <c r="O48" s="226"/>
      <c r="P48" s="98"/>
      <c r="Q48" s="99"/>
      <c r="R48" s="37"/>
      <c r="S48" s="100"/>
      <c r="T48" s="100"/>
    </row>
    <row r="49" spans="1:30" ht="24" customHeight="1">
      <c r="A49" s="222" t="s">
        <v>3</v>
      </c>
      <c r="B49" s="222" t="s">
        <v>4</v>
      </c>
      <c r="C49" s="182"/>
      <c r="D49" s="182"/>
      <c r="E49" s="182"/>
      <c r="F49" s="227" t="s">
        <v>5</v>
      </c>
      <c r="G49" s="228"/>
      <c r="H49" s="228"/>
      <c r="I49" s="228"/>
      <c r="J49" s="228"/>
      <c r="K49" s="229"/>
      <c r="L49" s="230" t="s">
        <v>6</v>
      </c>
      <c r="M49" s="231"/>
      <c r="N49" s="231"/>
      <c r="O49" s="231"/>
      <c r="P49" s="231"/>
      <c r="Q49" s="232"/>
      <c r="R49" s="201" t="s">
        <v>45</v>
      </c>
      <c r="S49" s="203" t="s">
        <v>46</v>
      </c>
      <c r="T49" s="203" t="s">
        <v>47</v>
      </c>
      <c r="U49" s="205" t="s">
        <v>48</v>
      </c>
      <c r="AC49" s="101"/>
    </row>
    <row r="50" spans="1:30" ht="33" customHeight="1">
      <c r="A50" s="222"/>
      <c r="B50" s="222"/>
      <c r="C50" s="183" t="s">
        <v>190</v>
      </c>
      <c r="D50" s="183" t="s">
        <v>191</v>
      </c>
      <c r="E50" s="183" t="s">
        <v>192</v>
      </c>
      <c r="F50" s="2" t="s">
        <v>49</v>
      </c>
      <c r="G50" s="2" t="s">
        <v>50</v>
      </c>
      <c r="H50" s="2" t="s">
        <v>51</v>
      </c>
      <c r="I50" s="102" t="s">
        <v>11</v>
      </c>
      <c r="J50" s="2" t="s">
        <v>14</v>
      </c>
      <c r="K50" s="2" t="s">
        <v>8</v>
      </c>
      <c r="L50" s="2" t="s">
        <v>50</v>
      </c>
      <c r="M50" s="2" t="s">
        <v>45</v>
      </c>
      <c r="N50" s="102" t="s">
        <v>12</v>
      </c>
      <c r="O50" s="102" t="s">
        <v>15</v>
      </c>
      <c r="P50" s="2" t="s">
        <v>14</v>
      </c>
      <c r="Q50" s="82" t="s">
        <v>8</v>
      </c>
      <c r="R50" s="202"/>
      <c r="S50" s="204"/>
      <c r="T50" s="204"/>
      <c r="U50" s="205"/>
    </row>
    <row r="51" spans="1:30" ht="21" customHeight="1">
      <c r="A51" s="81">
        <v>1</v>
      </c>
      <c r="B51" s="103" t="s">
        <v>52</v>
      </c>
      <c r="C51" s="103" t="s">
        <v>210</v>
      </c>
      <c r="D51" s="103" t="s">
        <v>194</v>
      </c>
      <c r="E51" s="178" t="s">
        <v>211</v>
      </c>
      <c r="F51" s="2">
        <v>279975.59999999998</v>
      </c>
      <c r="G51" s="2">
        <v>279975.59999999998</v>
      </c>
      <c r="H51" s="104">
        <f t="shared" ref="H51:H116" si="19">G51-F51</f>
        <v>0</v>
      </c>
      <c r="I51" s="105">
        <v>22177.02</v>
      </c>
      <c r="J51" s="49">
        <v>0</v>
      </c>
      <c r="K51" s="10">
        <f t="shared" ref="K51:K116" si="20">IFERROR(H51/J51,0)</f>
        <v>0</v>
      </c>
      <c r="L51" s="2">
        <v>279975.59999999998</v>
      </c>
      <c r="M51" s="106">
        <f t="shared" ref="M51:M116" si="21">L51-G51</f>
        <v>0</v>
      </c>
      <c r="N51" s="105">
        <v>22177.02</v>
      </c>
      <c r="O51" s="107">
        <f t="shared" ref="O51:O116" si="22">N51-I51</f>
        <v>0</v>
      </c>
      <c r="P51" s="2">
        <v>0</v>
      </c>
      <c r="Q51" s="28">
        <f t="shared" ref="Q51:Q116" si="23">IFERROR(M51/P51,0)</f>
        <v>0</v>
      </c>
      <c r="R51" s="84">
        <f t="shared" ref="R51:R116" si="24">M51+H51</f>
        <v>0</v>
      </c>
      <c r="S51" s="79">
        <f t="shared" ref="S51:S116" si="25">J51+P51</f>
        <v>0</v>
      </c>
      <c r="T51" s="34">
        <f t="shared" ref="T51:T116" si="26">IFERROR(R51/S51,0)</f>
        <v>0</v>
      </c>
      <c r="U51" s="108">
        <v>28</v>
      </c>
    </row>
    <row r="52" spans="1:30" ht="21" customHeight="1">
      <c r="A52" s="81">
        <v>2</v>
      </c>
      <c r="B52" s="103" t="s">
        <v>155</v>
      </c>
      <c r="C52" s="103" t="s">
        <v>210</v>
      </c>
      <c r="D52" s="103" t="s">
        <v>194</v>
      </c>
      <c r="E52" s="178" t="s">
        <v>223</v>
      </c>
      <c r="F52" s="2">
        <v>303038</v>
      </c>
      <c r="G52" s="2">
        <v>303038</v>
      </c>
      <c r="H52" s="104">
        <f t="shared" si="19"/>
        <v>0</v>
      </c>
      <c r="I52" s="105">
        <v>30635</v>
      </c>
      <c r="J52" s="49">
        <v>0</v>
      </c>
      <c r="K52" s="10">
        <f t="shared" si="20"/>
        <v>0</v>
      </c>
      <c r="L52" s="2">
        <v>303038</v>
      </c>
      <c r="M52" s="106">
        <f t="shared" si="21"/>
        <v>0</v>
      </c>
      <c r="N52" s="105">
        <v>30635</v>
      </c>
      <c r="O52" s="107">
        <f t="shared" si="22"/>
        <v>0</v>
      </c>
      <c r="P52" s="2">
        <v>0</v>
      </c>
      <c r="Q52" s="28">
        <f t="shared" si="23"/>
        <v>0</v>
      </c>
      <c r="R52" s="84">
        <f t="shared" si="24"/>
        <v>0</v>
      </c>
      <c r="S52" s="79">
        <f t="shared" si="25"/>
        <v>0</v>
      </c>
      <c r="T52" s="34">
        <f t="shared" si="26"/>
        <v>0</v>
      </c>
      <c r="U52" s="108">
        <v>44</v>
      </c>
    </row>
    <row r="53" spans="1:30" ht="21" customHeight="1">
      <c r="A53" s="81">
        <v>3</v>
      </c>
      <c r="B53" s="103" t="s">
        <v>171</v>
      </c>
      <c r="C53" s="103" t="s">
        <v>210</v>
      </c>
      <c r="D53" s="103" t="s">
        <v>194</v>
      </c>
      <c r="E53" s="178" t="s">
        <v>223</v>
      </c>
      <c r="F53" s="2">
        <v>312059</v>
      </c>
      <c r="G53" s="2">
        <v>312059</v>
      </c>
      <c r="H53" s="104">
        <f t="shared" si="19"/>
        <v>0</v>
      </c>
      <c r="I53" s="105">
        <v>31170</v>
      </c>
      <c r="J53" s="49">
        <v>0</v>
      </c>
      <c r="K53" s="10">
        <f t="shared" si="20"/>
        <v>0</v>
      </c>
      <c r="L53" s="2">
        <v>312059</v>
      </c>
      <c r="M53" s="106">
        <f t="shared" si="21"/>
        <v>0</v>
      </c>
      <c r="N53" s="105">
        <v>31170</v>
      </c>
      <c r="O53" s="107">
        <f t="shared" si="22"/>
        <v>0</v>
      </c>
      <c r="P53" s="2">
        <v>0</v>
      </c>
      <c r="Q53" s="28">
        <f t="shared" si="23"/>
        <v>0</v>
      </c>
      <c r="R53" s="84">
        <f t="shared" si="24"/>
        <v>0</v>
      </c>
      <c r="S53" s="79">
        <f t="shared" si="25"/>
        <v>0</v>
      </c>
      <c r="T53" s="34">
        <f t="shared" si="26"/>
        <v>0</v>
      </c>
      <c r="U53" s="108">
        <v>31</v>
      </c>
    </row>
    <row r="54" spans="1:30" ht="21" customHeight="1">
      <c r="A54" s="81">
        <v>4</v>
      </c>
      <c r="B54" s="103" t="s">
        <v>156</v>
      </c>
      <c r="C54" s="103" t="s">
        <v>210</v>
      </c>
      <c r="D54" s="103" t="s">
        <v>194</v>
      </c>
      <c r="E54" s="178" t="s">
        <v>223</v>
      </c>
      <c r="F54" s="2">
        <v>263031</v>
      </c>
      <c r="G54" s="2">
        <v>263094</v>
      </c>
      <c r="H54" s="104">
        <f t="shared" si="19"/>
        <v>63</v>
      </c>
      <c r="I54" s="105">
        <v>27867</v>
      </c>
      <c r="J54" s="49">
        <v>107</v>
      </c>
      <c r="K54" s="10">
        <f t="shared" si="20"/>
        <v>0.58878504672897192</v>
      </c>
      <c r="L54" s="2">
        <v>263094</v>
      </c>
      <c r="M54" s="106">
        <f t="shared" si="21"/>
        <v>0</v>
      </c>
      <c r="N54" s="105">
        <v>27871</v>
      </c>
      <c r="O54" s="107">
        <f t="shared" si="22"/>
        <v>4</v>
      </c>
      <c r="P54" s="2">
        <v>0</v>
      </c>
      <c r="Q54" s="28">
        <f t="shared" si="23"/>
        <v>0</v>
      </c>
      <c r="R54" s="84">
        <f t="shared" si="24"/>
        <v>63</v>
      </c>
      <c r="S54" s="79">
        <f t="shared" si="25"/>
        <v>107</v>
      </c>
      <c r="T54" s="34">
        <f t="shared" si="26"/>
        <v>0.58878504672897192</v>
      </c>
      <c r="U54" s="108">
        <v>35</v>
      </c>
    </row>
    <row r="55" spans="1:30" ht="21" customHeight="1">
      <c r="A55" s="81">
        <v>5</v>
      </c>
      <c r="B55" s="103" t="s">
        <v>157</v>
      </c>
      <c r="C55" s="103" t="s">
        <v>210</v>
      </c>
      <c r="D55" s="103" t="s">
        <v>194</v>
      </c>
      <c r="E55" s="178" t="s">
        <v>223</v>
      </c>
      <c r="F55" s="2">
        <v>278101</v>
      </c>
      <c r="G55" s="2">
        <v>278101</v>
      </c>
      <c r="H55" s="104">
        <f t="shared" si="19"/>
        <v>0</v>
      </c>
      <c r="I55" s="105">
        <v>28190</v>
      </c>
      <c r="J55" s="49">
        <v>0</v>
      </c>
      <c r="K55" s="10">
        <f t="shared" si="20"/>
        <v>0</v>
      </c>
      <c r="L55" s="2">
        <v>278156</v>
      </c>
      <c r="M55" s="106">
        <f t="shared" si="21"/>
        <v>55</v>
      </c>
      <c r="N55" s="105">
        <v>28202</v>
      </c>
      <c r="O55" s="107">
        <f t="shared" si="22"/>
        <v>12</v>
      </c>
      <c r="P55" s="2">
        <v>114</v>
      </c>
      <c r="Q55" s="28">
        <f t="shared" si="23"/>
        <v>0.48245614035087719</v>
      </c>
      <c r="R55" s="84">
        <f t="shared" si="24"/>
        <v>55</v>
      </c>
      <c r="S55" s="79">
        <f t="shared" si="25"/>
        <v>114</v>
      </c>
      <c r="T55" s="34">
        <f t="shared" si="26"/>
        <v>0.48245614035087719</v>
      </c>
      <c r="U55" s="108">
        <v>29</v>
      </c>
    </row>
    <row r="56" spans="1:30" ht="21" customHeight="1">
      <c r="A56" s="81">
        <v>6</v>
      </c>
      <c r="B56" s="103" t="s">
        <v>172</v>
      </c>
      <c r="C56" s="103" t="s">
        <v>210</v>
      </c>
      <c r="D56" s="103" t="s">
        <v>194</v>
      </c>
      <c r="E56" s="178" t="s">
        <v>223</v>
      </c>
      <c r="F56" s="2">
        <v>267403</v>
      </c>
      <c r="G56" s="2">
        <v>267403</v>
      </c>
      <c r="H56" s="104">
        <f t="shared" si="19"/>
        <v>0</v>
      </c>
      <c r="I56" s="105">
        <v>26463</v>
      </c>
      <c r="J56" s="49">
        <v>0</v>
      </c>
      <c r="K56" s="10">
        <f t="shared" si="20"/>
        <v>0</v>
      </c>
      <c r="L56" s="2">
        <v>267403</v>
      </c>
      <c r="M56" s="106">
        <f t="shared" si="21"/>
        <v>0</v>
      </c>
      <c r="N56" s="105">
        <v>26463</v>
      </c>
      <c r="O56" s="107">
        <f t="shared" si="22"/>
        <v>0</v>
      </c>
      <c r="P56" s="2">
        <v>0</v>
      </c>
      <c r="Q56" s="28">
        <f t="shared" si="23"/>
        <v>0</v>
      </c>
      <c r="R56" s="84">
        <f t="shared" si="24"/>
        <v>0</v>
      </c>
      <c r="S56" s="79">
        <f t="shared" si="25"/>
        <v>0</v>
      </c>
      <c r="T56" s="34">
        <f t="shared" si="26"/>
        <v>0</v>
      </c>
      <c r="U56" s="108">
        <v>11</v>
      </c>
    </row>
    <row r="57" spans="1:30" ht="21" customHeight="1">
      <c r="A57" s="81">
        <v>7</v>
      </c>
      <c r="B57" s="103" t="s">
        <v>173</v>
      </c>
      <c r="C57" s="103" t="s">
        <v>210</v>
      </c>
      <c r="D57" s="103" t="s">
        <v>194</v>
      </c>
      <c r="E57" s="178" t="s">
        <v>223</v>
      </c>
      <c r="F57" s="2">
        <v>295972</v>
      </c>
      <c r="G57" s="2">
        <v>296005</v>
      </c>
      <c r="H57" s="104">
        <f t="shared" si="19"/>
        <v>33</v>
      </c>
      <c r="I57" s="105">
        <v>28802</v>
      </c>
      <c r="J57" s="49">
        <v>55</v>
      </c>
      <c r="K57" s="10">
        <f t="shared" si="20"/>
        <v>0.6</v>
      </c>
      <c r="L57" s="2">
        <v>296005</v>
      </c>
      <c r="M57" s="106">
        <f t="shared" si="21"/>
        <v>0</v>
      </c>
      <c r="N57" s="105">
        <v>28807</v>
      </c>
      <c r="O57" s="107">
        <f t="shared" si="22"/>
        <v>5</v>
      </c>
      <c r="P57" s="2">
        <v>0</v>
      </c>
      <c r="Q57" s="28">
        <f t="shared" si="23"/>
        <v>0</v>
      </c>
      <c r="R57" s="84">
        <f t="shared" si="24"/>
        <v>33</v>
      </c>
      <c r="S57" s="79">
        <f t="shared" si="25"/>
        <v>55</v>
      </c>
      <c r="T57" s="34">
        <f t="shared" si="26"/>
        <v>0.6</v>
      </c>
      <c r="U57" s="108">
        <v>0</v>
      </c>
    </row>
    <row r="58" spans="1:30" ht="24" customHeight="1">
      <c r="A58" s="81">
        <v>8</v>
      </c>
      <c r="B58" s="31" t="s">
        <v>53</v>
      </c>
      <c r="C58" s="103" t="s">
        <v>210</v>
      </c>
      <c r="D58" s="103" t="s">
        <v>194</v>
      </c>
      <c r="E58" s="178" t="s">
        <v>211</v>
      </c>
      <c r="F58" s="35">
        <v>335472.09999999998</v>
      </c>
      <c r="G58" s="35">
        <v>335472.09999999998</v>
      </c>
      <c r="H58" s="104">
        <f t="shared" si="19"/>
        <v>0</v>
      </c>
      <c r="I58" s="110">
        <v>29974.18</v>
      </c>
      <c r="J58" s="111">
        <v>0</v>
      </c>
      <c r="K58" s="10">
        <f t="shared" si="20"/>
        <v>0</v>
      </c>
      <c r="L58" s="35">
        <v>335550.4</v>
      </c>
      <c r="M58" s="106">
        <f t="shared" si="21"/>
        <v>78.300000000046566</v>
      </c>
      <c r="N58" s="110">
        <v>29982.36</v>
      </c>
      <c r="O58" s="107">
        <f t="shared" si="22"/>
        <v>8.180000000000291</v>
      </c>
      <c r="P58" s="112">
        <v>138</v>
      </c>
      <c r="Q58" s="28">
        <f t="shared" si="23"/>
        <v>0.56739130434816354</v>
      </c>
      <c r="R58" s="84">
        <f t="shared" si="24"/>
        <v>78.300000000046566</v>
      </c>
      <c r="S58" s="79">
        <f t="shared" si="25"/>
        <v>138</v>
      </c>
      <c r="T58" s="34">
        <f t="shared" si="26"/>
        <v>0.56739130434816354</v>
      </c>
      <c r="U58" s="1">
        <v>38</v>
      </c>
    </row>
    <row r="59" spans="1:30" ht="24" customHeight="1">
      <c r="A59" s="81">
        <v>9</v>
      </c>
      <c r="B59" s="31" t="s">
        <v>54</v>
      </c>
      <c r="C59" s="103" t="s">
        <v>210</v>
      </c>
      <c r="D59" s="103" t="s">
        <v>194</v>
      </c>
      <c r="E59" s="178" t="s">
        <v>211</v>
      </c>
      <c r="F59" s="104">
        <v>294295</v>
      </c>
      <c r="G59" s="104">
        <v>294295</v>
      </c>
      <c r="H59" s="104">
        <f t="shared" si="19"/>
        <v>0</v>
      </c>
      <c r="I59" s="110">
        <v>28202.11</v>
      </c>
      <c r="J59" s="111">
        <v>0</v>
      </c>
      <c r="K59" s="10">
        <f t="shared" si="20"/>
        <v>0</v>
      </c>
      <c r="L59" s="104">
        <v>294295</v>
      </c>
      <c r="M59" s="106">
        <f>L59-G59</f>
        <v>0</v>
      </c>
      <c r="N59" s="110">
        <v>28202.11</v>
      </c>
      <c r="O59" s="107">
        <f t="shared" si="22"/>
        <v>0</v>
      </c>
      <c r="P59" s="111">
        <v>0</v>
      </c>
      <c r="Q59" s="28">
        <f t="shared" si="23"/>
        <v>0</v>
      </c>
      <c r="R59" s="84">
        <f t="shared" si="24"/>
        <v>0</v>
      </c>
      <c r="S59" s="79">
        <f t="shared" si="25"/>
        <v>0</v>
      </c>
      <c r="T59" s="34">
        <f t="shared" si="26"/>
        <v>0</v>
      </c>
      <c r="U59" s="1">
        <v>39</v>
      </c>
      <c r="AD59" s="101"/>
    </row>
    <row r="60" spans="1:30" ht="24" customHeight="1">
      <c r="A60" s="81">
        <v>10</v>
      </c>
      <c r="B60" s="31" t="s">
        <v>55</v>
      </c>
      <c r="C60" s="103" t="s">
        <v>210</v>
      </c>
      <c r="D60" s="103" t="s">
        <v>194</v>
      </c>
      <c r="E60" s="178" t="s">
        <v>211</v>
      </c>
      <c r="F60" s="104">
        <v>298966.09999999998</v>
      </c>
      <c r="G60" s="104">
        <v>298966.09999999998</v>
      </c>
      <c r="H60" s="104">
        <f t="shared" si="19"/>
        <v>0</v>
      </c>
      <c r="I60" s="110">
        <v>27108.58</v>
      </c>
      <c r="J60" s="111">
        <v>0</v>
      </c>
      <c r="K60" s="10">
        <f t="shared" si="20"/>
        <v>0</v>
      </c>
      <c r="L60" s="104">
        <v>298966.09999999998</v>
      </c>
      <c r="M60" s="106">
        <f>L60-G60</f>
        <v>0</v>
      </c>
      <c r="N60" s="110">
        <v>27108.58</v>
      </c>
      <c r="O60" s="107">
        <f t="shared" si="22"/>
        <v>0</v>
      </c>
      <c r="P60" s="111">
        <v>0</v>
      </c>
      <c r="Q60" s="28">
        <f t="shared" si="23"/>
        <v>0</v>
      </c>
      <c r="R60" s="84">
        <f t="shared" si="24"/>
        <v>0</v>
      </c>
      <c r="S60" s="79">
        <f t="shared" si="25"/>
        <v>0</v>
      </c>
      <c r="T60" s="34">
        <f t="shared" si="26"/>
        <v>0</v>
      </c>
      <c r="U60" s="1">
        <v>0</v>
      </c>
      <c r="AD60" s="101"/>
    </row>
    <row r="61" spans="1:30" ht="24" customHeight="1">
      <c r="A61" s="81">
        <v>11</v>
      </c>
      <c r="B61" s="31" t="s">
        <v>56</v>
      </c>
      <c r="C61" s="103" t="s">
        <v>210</v>
      </c>
      <c r="D61" s="103" t="s">
        <v>194</v>
      </c>
      <c r="E61" s="178" t="s">
        <v>211</v>
      </c>
      <c r="F61" s="104">
        <v>341845</v>
      </c>
      <c r="G61" s="104">
        <v>341845</v>
      </c>
      <c r="H61" s="104">
        <f t="shared" si="19"/>
        <v>0</v>
      </c>
      <c r="I61" s="110">
        <v>27024.46</v>
      </c>
      <c r="J61" s="111">
        <v>0</v>
      </c>
      <c r="K61" s="10">
        <f t="shared" si="20"/>
        <v>0</v>
      </c>
      <c r="L61" s="104">
        <v>341845</v>
      </c>
      <c r="M61" s="106">
        <f>L61-G61</f>
        <v>0</v>
      </c>
      <c r="N61" s="110">
        <v>27024.46</v>
      </c>
      <c r="O61" s="107">
        <f t="shared" si="22"/>
        <v>0</v>
      </c>
      <c r="P61" s="111">
        <v>0</v>
      </c>
      <c r="Q61" s="28">
        <f t="shared" si="23"/>
        <v>0</v>
      </c>
      <c r="R61" s="84">
        <f t="shared" si="24"/>
        <v>0</v>
      </c>
      <c r="S61" s="79">
        <f t="shared" si="25"/>
        <v>0</v>
      </c>
      <c r="T61" s="34">
        <f t="shared" si="26"/>
        <v>0</v>
      </c>
      <c r="U61" s="1">
        <v>17</v>
      </c>
      <c r="AD61" s="101"/>
    </row>
    <row r="62" spans="1:30" ht="24" customHeight="1">
      <c r="A62" s="81">
        <v>12</v>
      </c>
      <c r="B62" s="31" t="s">
        <v>57</v>
      </c>
      <c r="C62" s="103" t="s">
        <v>210</v>
      </c>
      <c r="D62" s="103" t="s">
        <v>194</v>
      </c>
      <c r="E62" s="178" t="s">
        <v>211</v>
      </c>
      <c r="F62" s="104">
        <v>344876.4</v>
      </c>
      <c r="G62" s="104">
        <v>344876.4</v>
      </c>
      <c r="H62" s="104">
        <f t="shared" si="19"/>
        <v>0</v>
      </c>
      <c r="I62" s="110">
        <v>26835.33</v>
      </c>
      <c r="J62" s="111">
        <v>0</v>
      </c>
      <c r="K62" s="10">
        <f t="shared" si="20"/>
        <v>0</v>
      </c>
      <c r="L62" s="104">
        <v>344876.4</v>
      </c>
      <c r="M62" s="106">
        <f>L62-G62</f>
        <v>0</v>
      </c>
      <c r="N62" s="110">
        <v>26835.33</v>
      </c>
      <c r="O62" s="107">
        <f t="shared" si="22"/>
        <v>0</v>
      </c>
      <c r="P62" s="111">
        <v>0</v>
      </c>
      <c r="Q62" s="28">
        <f t="shared" si="23"/>
        <v>0</v>
      </c>
      <c r="R62" s="84">
        <f t="shared" si="24"/>
        <v>0</v>
      </c>
      <c r="S62" s="79">
        <f t="shared" si="25"/>
        <v>0</v>
      </c>
      <c r="T62" s="34">
        <f t="shared" si="26"/>
        <v>0</v>
      </c>
      <c r="U62" s="1">
        <v>8</v>
      </c>
      <c r="AD62" s="101"/>
    </row>
    <row r="63" spans="1:30" ht="24" customHeight="1">
      <c r="A63" s="81">
        <v>13</v>
      </c>
      <c r="B63" s="31" t="s">
        <v>58</v>
      </c>
      <c r="C63" s="103" t="s">
        <v>210</v>
      </c>
      <c r="D63" s="103" t="s">
        <v>194</v>
      </c>
      <c r="E63" s="178" t="s">
        <v>211</v>
      </c>
      <c r="F63" s="35">
        <v>301656.7</v>
      </c>
      <c r="G63" s="35">
        <v>301656.7</v>
      </c>
      <c r="H63" s="104">
        <f t="shared" si="19"/>
        <v>0</v>
      </c>
      <c r="I63" s="110">
        <v>26829.040000000001</v>
      </c>
      <c r="J63" s="111">
        <v>0</v>
      </c>
      <c r="K63" s="10">
        <f t="shared" si="20"/>
        <v>0</v>
      </c>
      <c r="L63" s="35">
        <v>301656.7</v>
      </c>
      <c r="M63" s="106">
        <f t="shared" si="21"/>
        <v>0</v>
      </c>
      <c r="N63" s="110">
        <v>26829.040000000001</v>
      </c>
      <c r="O63" s="107">
        <f t="shared" si="22"/>
        <v>0</v>
      </c>
      <c r="P63" s="112">
        <v>0</v>
      </c>
      <c r="Q63" s="28">
        <f>IFERROR(M63/P63,0)</f>
        <v>0</v>
      </c>
      <c r="R63" s="84">
        <f t="shared" si="24"/>
        <v>0</v>
      </c>
      <c r="S63" s="79">
        <f t="shared" si="25"/>
        <v>0</v>
      </c>
      <c r="T63" s="34">
        <f t="shared" si="26"/>
        <v>0</v>
      </c>
      <c r="U63" s="1">
        <v>30</v>
      </c>
      <c r="X63" s="113"/>
    </row>
    <row r="64" spans="1:30" ht="24" customHeight="1">
      <c r="A64" s="81">
        <v>14</v>
      </c>
      <c r="B64" s="31" t="s">
        <v>59</v>
      </c>
      <c r="C64" s="103" t="s">
        <v>210</v>
      </c>
      <c r="D64" s="103" t="s">
        <v>194</v>
      </c>
      <c r="E64" s="178" t="s">
        <v>211</v>
      </c>
      <c r="F64" s="35">
        <v>273623.8</v>
      </c>
      <c r="G64" s="35">
        <v>273623.8</v>
      </c>
      <c r="H64" s="104">
        <f t="shared" si="19"/>
        <v>0</v>
      </c>
      <c r="I64" s="110">
        <v>25585.32</v>
      </c>
      <c r="J64" s="111">
        <v>0</v>
      </c>
      <c r="K64" s="10">
        <f t="shared" si="20"/>
        <v>0</v>
      </c>
      <c r="L64" s="35">
        <v>273665.59999999998</v>
      </c>
      <c r="M64" s="106">
        <f>L64-G64</f>
        <v>41.799999999988358</v>
      </c>
      <c r="N64" s="110">
        <v>25593.43</v>
      </c>
      <c r="O64" s="107">
        <f t="shared" si="22"/>
        <v>8.1100000000005821</v>
      </c>
      <c r="P64" s="111">
        <v>87</v>
      </c>
      <c r="Q64" s="28">
        <f>IFERROR(M64/P64,0)</f>
        <v>0.48045977011480873</v>
      </c>
      <c r="R64" s="84">
        <f t="shared" si="24"/>
        <v>41.799999999988358</v>
      </c>
      <c r="S64" s="79">
        <f t="shared" si="25"/>
        <v>87</v>
      </c>
      <c r="T64" s="34">
        <f t="shared" si="26"/>
        <v>0.48045977011480873</v>
      </c>
      <c r="U64" s="1">
        <v>11</v>
      </c>
      <c r="AA64" t="s">
        <v>60</v>
      </c>
    </row>
    <row r="65" spans="1:21" ht="24" customHeight="1">
      <c r="A65" s="81">
        <v>15</v>
      </c>
      <c r="B65" s="31" t="s">
        <v>61</v>
      </c>
      <c r="C65" s="103" t="s">
        <v>210</v>
      </c>
      <c r="D65" s="103" t="s">
        <v>194</v>
      </c>
      <c r="E65" s="178" t="s">
        <v>211</v>
      </c>
      <c r="F65" s="104">
        <v>286761.59999999998</v>
      </c>
      <c r="G65" s="104">
        <v>286761.59999999998</v>
      </c>
      <c r="H65" s="104">
        <f t="shared" si="19"/>
        <v>0</v>
      </c>
      <c r="I65" s="110">
        <v>26775.52</v>
      </c>
      <c r="J65" s="111">
        <v>0</v>
      </c>
      <c r="K65" s="10">
        <f t="shared" si="20"/>
        <v>0</v>
      </c>
      <c r="L65" s="104">
        <v>286761.59999999998</v>
      </c>
      <c r="M65" s="106">
        <f>L65-G65</f>
        <v>0</v>
      </c>
      <c r="N65" s="110">
        <v>26775.52</v>
      </c>
      <c r="O65" s="107">
        <f t="shared" si="22"/>
        <v>0</v>
      </c>
      <c r="P65" s="112">
        <v>0</v>
      </c>
      <c r="Q65" s="28">
        <f t="shared" si="23"/>
        <v>0</v>
      </c>
      <c r="R65" s="84">
        <f t="shared" si="24"/>
        <v>0</v>
      </c>
      <c r="S65" s="79">
        <f t="shared" si="25"/>
        <v>0</v>
      </c>
      <c r="T65" s="34">
        <f t="shared" si="26"/>
        <v>0</v>
      </c>
      <c r="U65" s="1">
        <v>10</v>
      </c>
    </row>
    <row r="66" spans="1:21" ht="24" customHeight="1">
      <c r="A66" s="81">
        <v>16</v>
      </c>
      <c r="B66" s="31" t="s">
        <v>62</v>
      </c>
      <c r="C66" s="103" t="s">
        <v>210</v>
      </c>
      <c r="D66" s="103" t="s">
        <v>194</v>
      </c>
      <c r="E66" s="178" t="s">
        <v>211</v>
      </c>
      <c r="F66" s="35">
        <v>304622</v>
      </c>
      <c r="G66" s="35">
        <v>304622</v>
      </c>
      <c r="H66" s="104">
        <f t="shared" si="19"/>
        <v>0</v>
      </c>
      <c r="I66" s="110">
        <v>27412.22</v>
      </c>
      <c r="J66" s="111">
        <v>0</v>
      </c>
      <c r="K66" s="10">
        <f t="shared" si="20"/>
        <v>0</v>
      </c>
      <c r="L66" s="35">
        <v>304622</v>
      </c>
      <c r="M66" s="106">
        <f t="shared" si="21"/>
        <v>0</v>
      </c>
      <c r="N66" s="110">
        <v>27412.22</v>
      </c>
      <c r="O66" s="107">
        <f t="shared" si="22"/>
        <v>0</v>
      </c>
      <c r="P66" s="112">
        <v>0</v>
      </c>
      <c r="Q66" s="28">
        <f t="shared" si="23"/>
        <v>0</v>
      </c>
      <c r="R66" s="84">
        <f t="shared" si="24"/>
        <v>0</v>
      </c>
      <c r="S66" s="79">
        <f t="shared" si="25"/>
        <v>0</v>
      </c>
      <c r="T66" s="34">
        <f t="shared" si="26"/>
        <v>0</v>
      </c>
      <c r="U66" s="1">
        <v>0</v>
      </c>
    </row>
    <row r="67" spans="1:21" ht="24" customHeight="1">
      <c r="A67" s="81">
        <v>17</v>
      </c>
      <c r="B67" s="31" t="s">
        <v>158</v>
      </c>
      <c r="C67" s="103" t="s">
        <v>210</v>
      </c>
      <c r="D67" s="103" t="s">
        <v>194</v>
      </c>
      <c r="E67" s="178" t="s">
        <v>222</v>
      </c>
      <c r="F67" s="17">
        <v>276563</v>
      </c>
      <c r="G67" s="17">
        <v>276563</v>
      </c>
      <c r="H67" s="104">
        <f t="shared" si="19"/>
        <v>0</v>
      </c>
      <c r="I67" s="110">
        <v>25223</v>
      </c>
      <c r="J67" s="111">
        <v>0</v>
      </c>
      <c r="K67" s="10">
        <f t="shared" si="20"/>
        <v>0</v>
      </c>
      <c r="L67" s="17">
        <v>276563</v>
      </c>
      <c r="M67" s="106">
        <f t="shared" si="21"/>
        <v>0</v>
      </c>
      <c r="N67" s="110">
        <v>25223</v>
      </c>
      <c r="O67" s="107">
        <f t="shared" si="22"/>
        <v>0</v>
      </c>
      <c r="P67" s="111">
        <v>0</v>
      </c>
      <c r="Q67" s="28">
        <f t="shared" si="23"/>
        <v>0</v>
      </c>
      <c r="R67" s="84">
        <f t="shared" si="24"/>
        <v>0</v>
      </c>
      <c r="S67" s="79">
        <f t="shared" si="25"/>
        <v>0</v>
      </c>
      <c r="T67" s="34">
        <f t="shared" si="26"/>
        <v>0</v>
      </c>
      <c r="U67" s="1">
        <v>33</v>
      </c>
    </row>
    <row r="68" spans="1:21" ht="24" customHeight="1">
      <c r="A68" s="81">
        <v>18</v>
      </c>
      <c r="B68" s="31" t="s">
        <v>159</v>
      </c>
      <c r="C68" s="103" t="s">
        <v>210</v>
      </c>
      <c r="D68" s="103" t="s">
        <v>194</v>
      </c>
      <c r="E68" s="178" t="s">
        <v>222</v>
      </c>
      <c r="F68" s="17">
        <v>279927</v>
      </c>
      <c r="G68" s="17">
        <v>279927</v>
      </c>
      <c r="H68" s="104">
        <f t="shared" si="19"/>
        <v>0</v>
      </c>
      <c r="I68" s="110">
        <v>26079</v>
      </c>
      <c r="J68" s="111">
        <v>0</v>
      </c>
      <c r="K68" s="10">
        <f t="shared" si="20"/>
        <v>0</v>
      </c>
      <c r="L68" s="17">
        <v>279927</v>
      </c>
      <c r="M68" s="106">
        <f t="shared" si="21"/>
        <v>0</v>
      </c>
      <c r="N68" s="110">
        <v>26079</v>
      </c>
      <c r="O68" s="107">
        <f t="shared" si="22"/>
        <v>0</v>
      </c>
      <c r="P68" s="111">
        <v>0</v>
      </c>
      <c r="Q68" s="28">
        <f t="shared" si="23"/>
        <v>0</v>
      </c>
      <c r="R68" s="84">
        <f t="shared" si="24"/>
        <v>0</v>
      </c>
      <c r="S68" s="79">
        <f t="shared" si="25"/>
        <v>0</v>
      </c>
      <c r="T68" s="34">
        <f t="shared" si="26"/>
        <v>0</v>
      </c>
      <c r="U68" s="1">
        <v>17</v>
      </c>
    </row>
    <row r="69" spans="1:21" ht="24" customHeight="1">
      <c r="A69" s="81">
        <v>19</v>
      </c>
      <c r="B69" s="31" t="s">
        <v>160</v>
      </c>
      <c r="C69" s="103" t="s">
        <v>210</v>
      </c>
      <c r="D69" s="103" t="s">
        <v>194</v>
      </c>
      <c r="E69" s="178" t="s">
        <v>222</v>
      </c>
      <c r="F69" s="17">
        <v>306575</v>
      </c>
      <c r="G69" s="17">
        <v>306575</v>
      </c>
      <c r="H69" s="104">
        <f t="shared" si="19"/>
        <v>0</v>
      </c>
      <c r="I69" s="110">
        <v>25232</v>
      </c>
      <c r="J69" s="111">
        <v>0</v>
      </c>
      <c r="K69" s="10">
        <f t="shared" si="20"/>
        <v>0</v>
      </c>
      <c r="L69" s="17">
        <v>306717</v>
      </c>
      <c r="M69" s="106">
        <f t="shared" si="21"/>
        <v>142</v>
      </c>
      <c r="N69" s="110">
        <v>25242</v>
      </c>
      <c r="O69" s="107">
        <f t="shared" si="22"/>
        <v>10</v>
      </c>
      <c r="P69" s="111">
        <v>154</v>
      </c>
      <c r="Q69" s="28">
        <f t="shared" si="23"/>
        <v>0.92207792207792205</v>
      </c>
      <c r="R69" s="84">
        <f t="shared" si="24"/>
        <v>142</v>
      </c>
      <c r="S69" s="79">
        <f t="shared" si="25"/>
        <v>154</v>
      </c>
      <c r="T69" s="34">
        <f t="shared" si="26"/>
        <v>0.92207792207792205</v>
      </c>
      <c r="U69" s="1">
        <v>0</v>
      </c>
    </row>
    <row r="70" spans="1:21" ht="24" customHeight="1">
      <c r="A70" s="81">
        <v>20</v>
      </c>
      <c r="B70" s="31" t="s">
        <v>161</v>
      </c>
      <c r="C70" s="103" t="s">
        <v>210</v>
      </c>
      <c r="D70" s="103" t="s">
        <v>194</v>
      </c>
      <c r="E70" s="178" t="s">
        <v>222</v>
      </c>
      <c r="F70" s="17">
        <v>306347</v>
      </c>
      <c r="G70" s="17">
        <v>306411</v>
      </c>
      <c r="H70" s="104">
        <f t="shared" si="19"/>
        <v>64</v>
      </c>
      <c r="I70" s="110">
        <v>25598</v>
      </c>
      <c r="J70" s="116">
        <v>20</v>
      </c>
      <c r="K70" s="10">
        <f t="shared" si="20"/>
        <v>3.2</v>
      </c>
      <c r="L70" s="17">
        <v>306411</v>
      </c>
      <c r="M70" s="106">
        <f t="shared" si="21"/>
        <v>0</v>
      </c>
      <c r="N70" s="110">
        <v>25606</v>
      </c>
      <c r="O70" s="107">
        <f t="shared" si="22"/>
        <v>8</v>
      </c>
      <c r="P70" s="111">
        <v>84</v>
      </c>
      <c r="Q70" s="28">
        <f t="shared" si="23"/>
        <v>0</v>
      </c>
      <c r="R70" s="84">
        <f t="shared" si="24"/>
        <v>64</v>
      </c>
      <c r="S70" s="79">
        <f t="shared" si="25"/>
        <v>104</v>
      </c>
      <c r="T70" s="34">
        <f t="shared" si="26"/>
        <v>0.61538461538461542</v>
      </c>
      <c r="U70" s="1">
        <v>31</v>
      </c>
    </row>
    <row r="71" spans="1:21" ht="24" customHeight="1">
      <c r="A71" s="81">
        <v>21</v>
      </c>
      <c r="B71" s="31" t="s">
        <v>162</v>
      </c>
      <c r="C71" s="103" t="s">
        <v>210</v>
      </c>
      <c r="D71" s="103" t="s">
        <v>194</v>
      </c>
      <c r="E71" s="178" t="s">
        <v>222</v>
      </c>
      <c r="F71" s="17">
        <v>322412</v>
      </c>
      <c r="G71" s="17">
        <v>322496</v>
      </c>
      <c r="H71" s="104">
        <f t="shared" si="19"/>
        <v>84</v>
      </c>
      <c r="I71" s="110">
        <v>26753</v>
      </c>
      <c r="J71" s="111">
        <v>120</v>
      </c>
      <c r="K71" s="10">
        <f t="shared" si="20"/>
        <v>0.7</v>
      </c>
      <c r="L71" s="17">
        <v>322496</v>
      </c>
      <c r="M71" s="106">
        <f t="shared" si="21"/>
        <v>0</v>
      </c>
      <c r="N71" s="110">
        <v>26760</v>
      </c>
      <c r="O71" s="107">
        <f t="shared" si="22"/>
        <v>7</v>
      </c>
      <c r="P71" s="111">
        <v>0</v>
      </c>
      <c r="Q71" s="28">
        <f t="shared" si="23"/>
        <v>0</v>
      </c>
      <c r="R71" s="84">
        <f t="shared" si="24"/>
        <v>84</v>
      </c>
      <c r="S71" s="79">
        <f t="shared" si="25"/>
        <v>120</v>
      </c>
      <c r="T71" s="34">
        <f t="shared" si="26"/>
        <v>0.7</v>
      </c>
      <c r="U71" s="1">
        <v>0</v>
      </c>
    </row>
    <row r="72" spans="1:21" ht="24" customHeight="1">
      <c r="A72" s="81">
        <v>22</v>
      </c>
      <c r="B72" s="31" t="s">
        <v>68</v>
      </c>
      <c r="C72" s="103" t="s">
        <v>210</v>
      </c>
      <c r="D72" s="103" t="s">
        <v>194</v>
      </c>
      <c r="E72" s="178" t="s">
        <v>211</v>
      </c>
      <c r="F72" s="17">
        <v>278576</v>
      </c>
      <c r="G72" s="17">
        <v>278598.40000000002</v>
      </c>
      <c r="H72" s="104">
        <f t="shared" si="19"/>
        <v>22.400000000023283</v>
      </c>
      <c r="I72" s="110">
        <v>22631</v>
      </c>
      <c r="J72" s="111">
        <v>50</v>
      </c>
      <c r="K72" s="10">
        <f t="shared" si="20"/>
        <v>0.44800000000046564</v>
      </c>
      <c r="L72" s="17">
        <v>278598.40000000002</v>
      </c>
      <c r="M72" s="106">
        <f t="shared" si="21"/>
        <v>0</v>
      </c>
      <c r="N72" s="110">
        <v>22635</v>
      </c>
      <c r="O72" s="107">
        <f t="shared" si="22"/>
        <v>4</v>
      </c>
      <c r="P72" s="112">
        <v>0</v>
      </c>
      <c r="Q72" s="28">
        <f t="shared" si="23"/>
        <v>0</v>
      </c>
      <c r="R72" s="84">
        <f t="shared" si="24"/>
        <v>22.400000000023283</v>
      </c>
      <c r="S72" s="79">
        <f t="shared" si="25"/>
        <v>50</v>
      </c>
      <c r="T72" s="34">
        <f t="shared" si="26"/>
        <v>0.44800000000046564</v>
      </c>
      <c r="U72" s="1">
        <v>23</v>
      </c>
    </row>
    <row r="73" spans="1:21" ht="24" customHeight="1">
      <c r="A73" s="81">
        <v>23</v>
      </c>
      <c r="B73" s="31" t="s">
        <v>69</v>
      </c>
      <c r="C73" s="103" t="s">
        <v>210</v>
      </c>
      <c r="D73" s="103" t="s">
        <v>194</v>
      </c>
      <c r="E73" s="178" t="s">
        <v>211</v>
      </c>
      <c r="F73" s="17">
        <v>260470.8</v>
      </c>
      <c r="G73" s="17">
        <v>260568.3</v>
      </c>
      <c r="H73" s="104">
        <f t="shared" si="19"/>
        <v>97.5</v>
      </c>
      <c r="I73" s="110">
        <v>19985</v>
      </c>
      <c r="J73" s="111">
        <v>146</v>
      </c>
      <c r="K73" s="10">
        <f t="shared" si="20"/>
        <v>0.6678082191780822</v>
      </c>
      <c r="L73" s="17">
        <v>260568.3</v>
      </c>
      <c r="M73" s="106">
        <f t="shared" si="21"/>
        <v>0</v>
      </c>
      <c r="N73" s="110">
        <v>19992</v>
      </c>
      <c r="O73" s="107">
        <f t="shared" si="22"/>
        <v>7</v>
      </c>
      <c r="P73" s="112">
        <v>0</v>
      </c>
      <c r="Q73" s="28">
        <f t="shared" si="23"/>
        <v>0</v>
      </c>
      <c r="R73" s="84">
        <f t="shared" si="24"/>
        <v>97.5</v>
      </c>
      <c r="S73" s="79">
        <f t="shared" si="25"/>
        <v>146</v>
      </c>
      <c r="T73" s="34">
        <f t="shared" si="26"/>
        <v>0.6678082191780822</v>
      </c>
      <c r="U73" s="1">
        <v>30</v>
      </c>
    </row>
    <row r="74" spans="1:21" ht="24" customHeight="1">
      <c r="A74" s="81">
        <v>24</v>
      </c>
      <c r="B74" s="31" t="s">
        <v>70</v>
      </c>
      <c r="C74" s="103" t="s">
        <v>210</v>
      </c>
      <c r="D74" s="103" t="s">
        <v>194</v>
      </c>
      <c r="E74" s="178" t="s">
        <v>211</v>
      </c>
      <c r="F74" s="104">
        <v>305019.5</v>
      </c>
      <c r="G74" s="104">
        <v>305063.90000000002</v>
      </c>
      <c r="H74" s="104">
        <f t="shared" si="19"/>
        <v>44.400000000023283</v>
      </c>
      <c r="I74" s="110">
        <v>5176</v>
      </c>
      <c r="J74" s="111">
        <v>96</v>
      </c>
      <c r="K74" s="10">
        <f t="shared" si="20"/>
        <v>0.46250000000024255</v>
      </c>
      <c r="L74" s="104">
        <v>305110.2</v>
      </c>
      <c r="M74" s="106">
        <f t="shared" si="21"/>
        <v>46.299999999988358</v>
      </c>
      <c r="N74" s="110">
        <v>5193</v>
      </c>
      <c r="O74" s="107">
        <f t="shared" si="22"/>
        <v>17</v>
      </c>
      <c r="P74" s="111">
        <v>89</v>
      </c>
      <c r="Q74" s="28">
        <f t="shared" si="23"/>
        <v>0.52022471910099277</v>
      </c>
      <c r="R74" s="84">
        <f t="shared" si="24"/>
        <v>90.700000000011642</v>
      </c>
      <c r="S74" s="79">
        <f t="shared" si="25"/>
        <v>185</v>
      </c>
      <c r="T74" s="34">
        <f t="shared" si="26"/>
        <v>0.49027027027033321</v>
      </c>
      <c r="U74" s="1">
        <v>24</v>
      </c>
    </row>
    <row r="75" spans="1:21" ht="24" customHeight="1">
      <c r="A75" s="81">
        <v>25</v>
      </c>
      <c r="B75" s="31" t="s">
        <v>71</v>
      </c>
      <c r="C75" s="103" t="s">
        <v>210</v>
      </c>
      <c r="D75" s="103" t="s">
        <v>194</v>
      </c>
      <c r="E75" s="178" t="s">
        <v>211</v>
      </c>
      <c r="F75" s="35">
        <v>314925.59999999998</v>
      </c>
      <c r="G75" s="35">
        <v>314925.59999999998</v>
      </c>
      <c r="H75" s="104">
        <f t="shared" si="19"/>
        <v>0</v>
      </c>
      <c r="I75" s="110">
        <v>23060</v>
      </c>
      <c r="J75" s="111">
        <v>0</v>
      </c>
      <c r="K75" s="10">
        <f t="shared" si="20"/>
        <v>0</v>
      </c>
      <c r="L75" s="35">
        <v>314970.5</v>
      </c>
      <c r="M75" s="106">
        <f t="shared" si="21"/>
        <v>44.900000000023283</v>
      </c>
      <c r="N75" s="110">
        <v>23069</v>
      </c>
      <c r="O75" s="107">
        <f t="shared" si="22"/>
        <v>9</v>
      </c>
      <c r="P75" s="111">
        <v>117</v>
      </c>
      <c r="Q75" s="28">
        <f>IFERROR(M75/P75,0)</f>
        <v>0.38376068376088274</v>
      </c>
      <c r="R75" s="84">
        <f t="shared" si="24"/>
        <v>44.900000000023283</v>
      </c>
      <c r="S75" s="79">
        <f>J75+P75</f>
        <v>117</v>
      </c>
      <c r="T75" s="34">
        <f t="shared" si="26"/>
        <v>0.38376068376088274</v>
      </c>
      <c r="U75" s="1">
        <v>25</v>
      </c>
    </row>
    <row r="76" spans="1:21" ht="24" customHeight="1">
      <c r="A76" s="81">
        <v>26</v>
      </c>
      <c r="B76" s="31" t="s">
        <v>72</v>
      </c>
      <c r="C76" s="103" t="s">
        <v>210</v>
      </c>
      <c r="D76" s="103" t="s">
        <v>194</v>
      </c>
      <c r="E76" s="178" t="s">
        <v>211</v>
      </c>
      <c r="F76" s="35">
        <v>285645.2</v>
      </c>
      <c r="G76" s="35">
        <v>285645.2</v>
      </c>
      <c r="H76" s="104">
        <f t="shared" si="19"/>
        <v>0</v>
      </c>
      <c r="I76" s="110">
        <v>20691</v>
      </c>
      <c r="J76" s="111">
        <v>0</v>
      </c>
      <c r="K76" s="10">
        <f t="shared" si="20"/>
        <v>0</v>
      </c>
      <c r="L76" s="35">
        <v>285737.8</v>
      </c>
      <c r="M76" s="106">
        <f t="shared" si="21"/>
        <v>92.599999999976717</v>
      </c>
      <c r="N76" s="110">
        <v>20709</v>
      </c>
      <c r="O76" s="107">
        <f t="shared" si="22"/>
        <v>18</v>
      </c>
      <c r="P76" s="112">
        <v>178</v>
      </c>
      <c r="Q76" s="28">
        <f t="shared" si="23"/>
        <v>0.52022471910099277</v>
      </c>
      <c r="R76" s="84">
        <f t="shared" si="24"/>
        <v>92.599999999976717</v>
      </c>
      <c r="S76" s="79">
        <f t="shared" si="25"/>
        <v>178</v>
      </c>
      <c r="T76" s="34">
        <f t="shared" si="26"/>
        <v>0.52022471910099277</v>
      </c>
      <c r="U76" s="1">
        <v>44</v>
      </c>
    </row>
    <row r="77" spans="1:21" ht="24" customHeight="1">
      <c r="A77" s="81">
        <v>27</v>
      </c>
      <c r="B77" s="31" t="s">
        <v>73</v>
      </c>
      <c r="C77" s="103" t="s">
        <v>210</v>
      </c>
      <c r="D77" s="103" t="s">
        <v>194</v>
      </c>
      <c r="E77" s="178" t="s">
        <v>211</v>
      </c>
      <c r="F77" s="104">
        <v>313847.09999999998</v>
      </c>
      <c r="G77" s="104">
        <v>313941.2</v>
      </c>
      <c r="H77" s="104">
        <f t="shared" si="19"/>
        <v>94.100000000034925</v>
      </c>
      <c r="I77" s="110">
        <v>22817</v>
      </c>
      <c r="J77" s="111">
        <v>166</v>
      </c>
      <c r="K77" s="10">
        <f t="shared" si="20"/>
        <v>0.56686746987972847</v>
      </c>
      <c r="L77" s="104">
        <v>313989</v>
      </c>
      <c r="M77" s="106">
        <f t="shared" si="21"/>
        <v>47.799999999988358</v>
      </c>
      <c r="N77" s="110">
        <v>22839</v>
      </c>
      <c r="O77" s="107">
        <f t="shared" si="22"/>
        <v>22</v>
      </c>
      <c r="P77" s="112">
        <v>88</v>
      </c>
      <c r="Q77" s="28">
        <f t="shared" si="23"/>
        <v>0.54318181818168587</v>
      </c>
      <c r="R77" s="84">
        <f t="shared" si="24"/>
        <v>141.90000000002328</v>
      </c>
      <c r="S77" s="79">
        <f t="shared" si="25"/>
        <v>254</v>
      </c>
      <c r="T77" s="34">
        <f t="shared" si="26"/>
        <v>0.55866141732292629</v>
      </c>
      <c r="U77" s="1">
        <v>42</v>
      </c>
    </row>
    <row r="78" spans="1:21" ht="24" customHeight="1">
      <c r="A78" s="81">
        <v>28</v>
      </c>
      <c r="B78" s="31" t="s">
        <v>74</v>
      </c>
      <c r="C78" s="103" t="s">
        <v>210</v>
      </c>
      <c r="D78" s="103" t="s">
        <v>194</v>
      </c>
      <c r="E78" s="178" t="s">
        <v>211</v>
      </c>
      <c r="F78" s="35">
        <v>284191.2</v>
      </c>
      <c r="G78" s="35">
        <v>284272.09999999998</v>
      </c>
      <c r="H78" s="104">
        <f t="shared" si="19"/>
        <v>80.899999999965075</v>
      </c>
      <c r="I78" s="110">
        <v>4346</v>
      </c>
      <c r="J78" s="111">
        <v>172</v>
      </c>
      <c r="K78" s="10">
        <f t="shared" si="20"/>
        <v>0.47034883720909926</v>
      </c>
      <c r="L78" s="35">
        <v>284316.3</v>
      </c>
      <c r="M78" s="106">
        <f t="shared" si="21"/>
        <v>44.200000000011642</v>
      </c>
      <c r="N78" s="110">
        <v>4368</v>
      </c>
      <c r="O78" s="107">
        <f>N78-I78</f>
        <v>22</v>
      </c>
      <c r="P78" s="111">
        <v>100</v>
      </c>
      <c r="Q78" s="28">
        <f t="shared" si="23"/>
        <v>0.44200000000011641</v>
      </c>
      <c r="R78" s="84">
        <f t="shared" si="24"/>
        <v>125.09999999997672</v>
      </c>
      <c r="S78" s="79">
        <f t="shared" si="25"/>
        <v>272</v>
      </c>
      <c r="T78" s="34">
        <f t="shared" si="26"/>
        <v>0.45992647058814967</v>
      </c>
      <c r="U78" s="1">
        <v>32</v>
      </c>
    </row>
    <row r="79" spans="1:21" ht="24" customHeight="1">
      <c r="A79" s="81">
        <v>29</v>
      </c>
      <c r="B79" s="31" t="s">
        <v>75</v>
      </c>
      <c r="C79" s="103" t="s">
        <v>210</v>
      </c>
      <c r="D79" s="103" t="s">
        <v>194</v>
      </c>
      <c r="E79" s="178" t="s">
        <v>211</v>
      </c>
      <c r="F79" s="104">
        <v>301894.59999999998</v>
      </c>
      <c r="G79" s="104">
        <v>302027.2</v>
      </c>
      <c r="H79" s="104">
        <f t="shared" si="19"/>
        <v>132.60000000003492</v>
      </c>
      <c r="I79" s="110">
        <v>21762</v>
      </c>
      <c r="J79" s="111">
        <v>239.59</v>
      </c>
      <c r="K79" s="10">
        <f t="shared" si="20"/>
        <v>0.5534454693436075</v>
      </c>
      <c r="L79" s="104">
        <v>302050</v>
      </c>
      <c r="M79" s="106">
        <f t="shared" si="21"/>
        <v>22.799999999988358</v>
      </c>
      <c r="N79" s="110">
        <v>21787</v>
      </c>
      <c r="O79" s="107">
        <f t="shared" si="22"/>
        <v>25</v>
      </c>
      <c r="P79" s="112">
        <v>50</v>
      </c>
      <c r="Q79" s="28">
        <f t="shared" si="23"/>
        <v>0.45599999999976715</v>
      </c>
      <c r="R79" s="84">
        <f t="shared" si="24"/>
        <v>155.40000000002328</v>
      </c>
      <c r="S79" s="79">
        <f t="shared" si="25"/>
        <v>289.59000000000003</v>
      </c>
      <c r="T79" s="34">
        <f t="shared" si="26"/>
        <v>0.53662073966650525</v>
      </c>
      <c r="U79" s="1">
        <v>30</v>
      </c>
    </row>
    <row r="80" spans="1:21" ht="24" customHeight="1">
      <c r="A80" s="81">
        <v>30</v>
      </c>
      <c r="B80" s="31" t="s">
        <v>76</v>
      </c>
      <c r="C80" s="103" t="s">
        <v>210</v>
      </c>
      <c r="D80" s="103" t="s">
        <v>194</v>
      </c>
      <c r="E80" s="178" t="s">
        <v>211</v>
      </c>
      <c r="F80" s="104">
        <v>266580.40000000002</v>
      </c>
      <c r="G80" s="104">
        <v>266621.5</v>
      </c>
      <c r="H80" s="104">
        <f t="shared" si="19"/>
        <v>41.099999999976717</v>
      </c>
      <c r="I80" s="110">
        <v>19724</v>
      </c>
      <c r="J80" s="111">
        <v>83</v>
      </c>
      <c r="K80" s="10">
        <f t="shared" si="20"/>
        <v>0.49518072289128573</v>
      </c>
      <c r="L80" s="104">
        <v>266672.2</v>
      </c>
      <c r="M80" s="106">
        <f t="shared" si="21"/>
        <v>50.700000000011642</v>
      </c>
      <c r="N80" s="110">
        <v>19740</v>
      </c>
      <c r="O80" s="107">
        <f t="shared" si="22"/>
        <v>16</v>
      </c>
      <c r="P80" s="111">
        <v>81</v>
      </c>
      <c r="Q80" s="28">
        <f t="shared" si="23"/>
        <v>0.62592592592606966</v>
      </c>
      <c r="R80" s="84">
        <f t="shared" si="24"/>
        <v>91.799999999988358</v>
      </c>
      <c r="S80" s="79">
        <f t="shared" si="25"/>
        <v>164</v>
      </c>
      <c r="T80" s="34">
        <f t="shared" si="26"/>
        <v>0.55975609756090461</v>
      </c>
      <c r="U80" s="1">
        <v>30</v>
      </c>
    </row>
    <row r="81" spans="1:21" ht="24" customHeight="1">
      <c r="A81" s="81">
        <v>31</v>
      </c>
      <c r="B81" s="31" t="s">
        <v>77</v>
      </c>
      <c r="C81" s="103" t="s">
        <v>210</v>
      </c>
      <c r="D81" s="103" t="s">
        <v>194</v>
      </c>
      <c r="E81" s="178" t="s">
        <v>211</v>
      </c>
      <c r="F81" s="83">
        <v>264189.3</v>
      </c>
      <c r="G81" s="83">
        <v>264189.3</v>
      </c>
      <c r="H81" s="104">
        <f t="shared" si="19"/>
        <v>0</v>
      </c>
      <c r="I81" s="110">
        <v>19395</v>
      </c>
      <c r="J81" s="111">
        <v>0</v>
      </c>
      <c r="K81" s="10">
        <f t="shared" si="20"/>
        <v>0</v>
      </c>
      <c r="L81" s="83">
        <v>264189.3</v>
      </c>
      <c r="M81" s="106">
        <f t="shared" si="21"/>
        <v>0</v>
      </c>
      <c r="N81" s="110">
        <v>19395</v>
      </c>
      <c r="O81" s="107">
        <f>N81-I81</f>
        <v>0</v>
      </c>
      <c r="P81" s="111">
        <v>0</v>
      </c>
      <c r="Q81" s="28">
        <f t="shared" si="23"/>
        <v>0</v>
      </c>
      <c r="R81" s="84">
        <f t="shared" si="24"/>
        <v>0</v>
      </c>
      <c r="S81" s="79">
        <f t="shared" si="25"/>
        <v>0</v>
      </c>
      <c r="T81" s="34">
        <f t="shared" si="26"/>
        <v>0</v>
      </c>
      <c r="U81" s="1">
        <v>31</v>
      </c>
    </row>
    <row r="82" spans="1:21" ht="24" customHeight="1">
      <c r="A82" s="81">
        <v>32</v>
      </c>
      <c r="B82" s="31" t="s">
        <v>78</v>
      </c>
      <c r="C82" s="103" t="s">
        <v>210</v>
      </c>
      <c r="D82" s="103" t="s">
        <v>194</v>
      </c>
      <c r="E82" s="178" t="s">
        <v>211</v>
      </c>
      <c r="F82" s="104">
        <v>290416.2</v>
      </c>
      <c r="G82" s="104">
        <v>290462.7</v>
      </c>
      <c r="H82" s="104">
        <f t="shared" si="19"/>
        <v>46.5</v>
      </c>
      <c r="I82" s="110">
        <v>21000</v>
      </c>
      <c r="J82" s="111">
        <v>95</v>
      </c>
      <c r="K82" s="10">
        <f t="shared" si="20"/>
        <v>0.48947368421052634</v>
      </c>
      <c r="L82" s="104">
        <v>290513.7</v>
      </c>
      <c r="M82" s="106">
        <f t="shared" si="21"/>
        <v>51</v>
      </c>
      <c r="N82" s="110">
        <v>21016</v>
      </c>
      <c r="O82" s="107">
        <f t="shared" si="22"/>
        <v>16</v>
      </c>
      <c r="P82" s="111">
        <v>90</v>
      </c>
      <c r="Q82" s="28">
        <f t="shared" si="23"/>
        <v>0.56666666666666665</v>
      </c>
      <c r="R82" s="84">
        <f t="shared" si="24"/>
        <v>97.5</v>
      </c>
      <c r="S82" s="79">
        <f t="shared" si="25"/>
        <v>185</v>
      </c>
      <c r="T82" s="34">
        <f t="shared" si="26"/>
        <v>0.52702702702702697</v>
      </c>
      <c r="U82" s="1">
        <v>31</v>
      </c>
    </row>
    <row r="83" spans="1:21" ht="24" customHeight="1">
      <c r="A83" s="81">
        <v>33</v>
      </c>
      <c r="B83" s="31" t="s">
        <v>79</v>
      </c>
      <c r="C83" s="103" t="s">
        <v>210</v>
      </c>
      <c r="D83" s="103" t="s">
        <v>194</v>
      </c>
      <c r="E83" s="178" t="s">
        <v>211</v>
      </c>
      <c r="F83" s="104">
        <v>305177.2</v>
      </c>
      <c r="G83" s="104">
        <v>305177.2</v>
      </c>
      <c r="H83" s="104">
        <f t="shared" si="19"/>
        <v>0</v>
      </c>
      <c r="I83" s="110">
        <v>21746</v>
      </c>
      <c r="J83" s="111">
        <v>0</v>
      </c>
      <c r="K83" s="10">
        <f t="shared" si="20"/>
        <v>0</v>
      </c>
      <c r="L83" s="104">
        <v>305196.40000000002</v>
      </c>
      <c r="M83" s="106">
        <f t="shared" si="21"/>
        <v>19.200000000011642</v>
      </c>
      <c r="N83" s="110">
        <v>21750</v>
      </c>
      <c r="O83" s="107">
        <f t="shared" si="22"/>
        <v>4</v>
      </c>
      <c r="P83" s="111">
        <v>42</v>
      </c>
      <c r="Q83" s="28">
        <f t="shared" si="23"/>
        <v>0.4571428571431343</v>
      </c>
      <c r="R83" s="84">
        <f t="shared" si="24"/>
        <v>19.200000000011642</v>
      </c>
      <c r="S83" s="79">
        <f t="shared" si="25"/>
        <v>42</v>
      </c>
      <c r="T83" s="34">
        <f t="shared" si="26"/>
        <v>0.4571428571431343</v>
      </c>
      <c r="U83" s="1">
        <v>44</v>
      </c>
    </row>
    <row r="84" spans="1:21" ht="24" customHeight="1">
      <c r="A84" s="81">
        <v>34</v>
      </c>
      <c r="B84" s="31" t="s">
        <v>163</v>
      </c>
      <c r="C84" s="103" t="s">
        <v>210</v>
      </c>
      <c r="D84" s="103" t="s">
        <v>194</v>
      </c>
      <c r="E84" s="178" t="s">
        <v>211</v>
      </c>
      <c r="F84" s="104">
        <v>246274.1</v>
      </c>
      <c r="G84" s="104">
        <v>246355.1</v>
      </c>
      <c r="H84" s="104">
        <f t="shared" si="19"/>
        <v>81</v>
      </c>
      <c r="I84" s="110">
        <v>18405</v>
      </c>
      <c r="J84" s="111">
        <v>165</v>
      </c>
      <c r="K84" s="10">
        <f t="shared" si="20"/>
        <v>0.49090909090909091</v>
      </c>
      <c r="L84" s="104">
        <v>246355.1</v>
      </c>
      <c r="M84" s="106">
        <f t="shared" si="21"/>
        <v>0</v>
      </c>
      <c r="N84" s="110">
        <v>18418</v>
      </c>
      <c r="O84" s="107">
        <f t="shared" si="22"/>
        <v>13</v>
      </c>
      <c r="P84" s="111">
        <v>0</v>
      </c>
      <c r="Q84" s="28">
        <f t="shared" si="23"/>
        <v>0</v>
      </c>
      <c r="R84" s="84">
        <f t="shared" si="24"/>
        <v>81</v>
      </c>
      <c r="S84" s="79">
        <f t="shared" si="25"/>
        <v>165</v>
      </c>
      <c r="T84" s="34">
        <f t="shared" si="26"/>
        <v>0.49090909090909091</v>
      </c>
      <c r="U84" s="1">
        <v>21</v>
      </c>
    </row>
    <row r="85" spans="1:21" ht="24" customHeight="1">
      <c r="A85" s="81">
        <v>35</v>
      </c>
      <c r="B85" s="31" t="s">
        <v>164</v>
      </c>
      <c r="C85" s="103" t="s">
        <v>210</v>
      </c>
      <c r="D85" s="103" t="s">
        <v>194</v>
      </c>
      <c r="E85" s="178" t="s">
        <v>211</v>
      </c>
      <c r="F85" s="104">
        <v>245713.5</v>
      </c>
      <c r="G85" s="104">
        <v>245856.1</v>
      </c>
      <c r="H85" s="104">
        <f t="shared" si="19"/>
        <v>142.60000000000582</v>
      </c>
      <c r="I85" s="110">
        <v>18373</v>
      </c>
      <c r="J85" s="111">
        <v>222</v>
      </c>
      <c r="K85" s="10">
        <f t="shared" si="20"/>
        <v>0.64234234234236853</v>
      </c>
      <c r="L85" s="104">
        <v>245901.1</v>
      </c>
      <c r="M85" s="106">
        <f t="shared" si="21"/>
        <v>45</v>
      </c>
      <c r="N85" s="110">
        <v>18397</v>
      </c>
      <c r="O85" s="107">
        <f t="shared" si="22"/>
        <v>24</v>
      </c>
      <c r="P85" s="111">
        <v>91</v>
      </c>
      <c r="Q85" s="28">
        <f t="shared" si="23"/>
        <v>0.49450549450549453</v>
      </c>
      <c r="R85" s="84">
        <f t="shared" si="24"/>
        <v>187.60000000000582</v>
      </c>
      <c r="S85" s="79">
        <f t="shared" si="25"/>
        <v>313</v>
      </c>
      <c r="T85" s="34">
        <f t="shared" si="26"/>
        <v>0.59936102236423583</v>
      </c>
      <c r="U85" s="1">
        <v>30</v>
      </c>
    </row>
    <row r="86" spans="1:21" ht="24" customHeight="1">
      <c r="A86" s="81">
        <v>36</v>
      </c>
      <c r="B86" s="31" t="s">
        <v>165</v>
      </c>
      <c r="C86" s="103" t="s">
        <v>210</v>
      </c>
      <c r="D86" s="103" t="s">
        <v>194</v>
      </c>
      <c r="E86" s="178" t="s">
        <v>211</v>
      </c>
      <c r="F86" s="104">
        <v>252475</v>
      </c>
      <c r="G86" s="104">
        <v>252602.4</v>
      </c>
      <c r="H86" s="104">
        <f t="shared" si="19"/>
        <v>127.39999999999418</v>
      </c>
      <c r="I86" s="110">
        <v>18011</v>
      </c>
      <c r="J86" s="111">
        <v>222</v>
      </c>
      <c r="K86" s="10">
        <f t="shared" si="20"/>
        <v>0.5738738738738477</v>
      </c>
      <c r="L86" s="104">
        <v>252657.3</v>
      </c>
      <c r="M86" s="106">
        <f t="shared" si="21"/>
        <v>54.899999999994179</v>
      </c>
      <c r="N86" s="110">
        <v>18036</v>
      </c>
      <c r="O86" s="107">
        <f t="shared" si="22"/>
        <v>25</v>
      </c>
      <c r="P86" s="112">
        <v>102</v>
      </c>
      <c r="Q86" s="28">
        <f t="shared" si="23"/>
        <v>0.53823529411758997</v>
      </c>
      <c r="R86" s="84">
        <f t="shared" si="24"/>
        <v>182.29999999998836</v>
      </c>
      <c r="S86" s="79">
        <f t="shared" si="25"/>
        <v>324</v>
      </c>
      <c r="T86" s="34">
        <f t="shared" si="26"/>
        <v>0.56265432098761836</v>
      </c>
      <c r="U86" s="1">
        <v>16</v>
      </c>
    </row>
    <row r="87" spans="1:21" ht="24" customHeight="1">
      <c r="A87" s="81">
        <v>37</v>
      </c>
      <c r="B87" s="31" t="s">
        <v>83</v>
      </c>
      <c r="C87" s="103" t="s">
        <v>210</v>
      </c>
      <c r="D87" s="103" t="s">
        <v>194</v>
      </c>
      <c r="E87" s="178" t="s">
        <v>211</v>
      </c>
      <c r="F87" s="104">
        <v>261131.2</v>
      </c>
      <c r="G87" s="104">
        <v>261209.7</v>
      </c>
      <c r="H87" s="104">
        <f t="shared" si="19"/>
        <v>78.5</v>
      </c>
      <c r="I87" s="110">
        <v>18547</v>
      </c>
      <c r="J87" s="111">
        <v>132</v>
      </c>
      <c r="K87" s="10">
        <f t="shared" si="20"/>
        <v>0.59469696969696972</v>
      </c>
      <c r="L87" s="104">
        <v>261262.2</v>
      </c>
      <c r="M87" s="106">
        <f t="shared" si="21"/>
        <v>52.5</v>
      </c>
      <c r="N87" s="110">
        <v>18568</v>
      </c>
      <c r="O87" s="107">
        <f t="shared" si="22"/>
        <v>21</v>
      </c>
      <c r="P87" s="112">
        <v>82</v>
      </c>
      <c r="Q87" s="28">
        <f t="shared" si="23"/>
        <v>0.6402439024390244</v>
      </c>
      <c r="R87" s="84">
        <f t="shared" si="24"/>
        <v>131</v>
      </c>
      <c r="S87" s="79">
        <f t="shared" si="25"/>
        <v>214</v>
      </c>
      <c r="T87" s="34">
        <f t="shared" si="26"/>
        <v>0.61214953271028039</v>
      </c>
      <c r="U87" s="1">
        <v>29</v>
      </c>
    </row>
    <row r="88" spans="1:21" ht="24" customHeight="1">
      <c r="A88" s="81">
        <v>38</v>
      </c>
      <c r="B88" s="31" t="s">
        <v>84</v>
      </c>
      <c r="C88" s="103" t="s">
        <v>210</v>
      </c>
      <c r="D88" s="103" t="s">
        <v>194</v>
      </c>
      <c r="E88" s="178" t="s">
        <v>211</v>
      </c>
      <c r="F88" s="104">
        <v>272856.40000000002</v>
      </c>
      <c r="G88" s="104">
        <v>272939.8</v>
      </c>
      <c r="H88" s="104">
        <f t="shared" si="19"/>
        <v>83.399999999965075</v>
      </c>
      <c r="I88" s="110">
        <v>17911</v>
      </c>
      <c r="J88" s="111">
        <v>144</v>
      </c>
      <c r="K88" s="10">
        <f t="shared" si="20"/>
        <v>0.57916666666642413</v>
      </c>
      <c r="L88" s="104">
        <v>272987.2</v>
      </c>
      <c r="M88" s="106">
        <f t="shared" si="21"/>
        <v>47.400000000023283</v>
      </c>
      <c r="N88" s="110">
        <v>17933</v>
      </c>
      <c r="O88" s="107">
        <f t="shared" si="22"/>
        <v>22</v>
      </c>
      <c r="P88" s="112">
        <v>81</v>
      </c>
      <c r="Q88" s="28">
        <f t="shared" si="23"/>
        <v>0.58518518518547258</v>
      </c>
      <c r="R88" s="84">
        <f t="shared" si="24"/>
        <v>130.79999999998836</v>
      </c>
      <c r="S88" s="79">
        <f t="shared" si="25"/>
        <v>225</v>
      </c>
      <c r="T88" s="34">
        <f t="shared" si="26"/>
        <v>0.58133333333328163</v>
      </c>
      <c r="U88" s="1">
        <v>17</v>
      </c>
    </row>
    <row r="89" spans="1:21" ht="24" customHeight="1">
      <c r="A89" s="81">
        <v>39</v>
      </c>
      <c r="B89" s="31" t="s">
        <v>85</v>
      </c>
      <c r="C89" s="103" t="s">
        <v>210</v>
      </c>
      <c r="D89" s="103" t="s">
        <v>194</v>
      </c>
      <c r="E89" s="178" t="s">
        <v>211</v>
      </c>
      <c r="F89" s="35">
        <v>280750.40000000002</v>
      </c>
      <c r="G89" s="35">
        <v>280830.09999999998</v>
      </c>
      <c r="H89" s="104">
        <f t="shared" si="19"/>
        <v>79.699999999953434</v>
      </c>
      <c r="I89" s="110">
        <v>19844</v>
      </c>
      <c r="J89" s="111">
        <v>144</v>
      </c>
      <c r="K89" s="10">
        <f t="shared" si="20"/>
        <v>0.55347222222189885</v>
      </c>
      <c r="L89" s="35">
        <v>280879.5</v>
      </c>
      <c r="M89" s="106">
        <f t="shared" si="21"/>
        <v>49.400000000023283</v>
      </c>
      <c r="N89" s="110">
        <v>19865</v>
      </c>
      <c r="O89" s="107">
        <f t="shared" si="22"/>
        <v>21</v>
      </c>
      <c r="P89" s="112">
        <v>92</v>
      </c>
      <c r="Q89" s="28">
        <f t="shared" si="23"/>
        <v>0.53695652173938346</v>
      </c>
      <c r="R89" s="84">
        <f t="shared" si="24"/>
        <v>129.09999999997672</v>
      </c>
      <c r="S89" s="79">
        <f t="shared" si="25"/>
        <v>236</v>
      </c>
      <c r="T89" s="34">
        <f t="shared" si="26"/>
        <v>0.54703389830498605</v>
      </c>
      <c r="U89" s="1">
        <v>23</v>
      </c>
    </row>
    <row r="90" spans="1:21" ht="24" customHeight="1">
      <c r="A90" s="81">
        <v>40</v>
      </c>
      <c r="B90" s="31" t="s">
        <v>86</v>
      </c>
      <c r="C90" s="103" t="s">
        <v>210</v>
      </c>
      <c r="D90" s="103" t="s">
        <v>194</v>
      </c>
      <c r="E90" s="178" t="s">
        <v>211</v>
      </c>
      <c r="F90" s="104">
        <v>251468.6</v>
      </c>
      <c r="G90" s="104">
        <v>251544.3</v>
      </c>
      <c r="H90" s="104">
        <f t="shared" si="19"/>
        <v>75.699999999982538</v>
      </c>
      <c r="I90" s="110">
        <v>17888</v>
      </c>
      <c r="J90" s="111">
        <v>145</v>
      </c>
      <c r="K90" s="10">
        <f t="shared" si="20"/>
        <v>0.5220689655171209</v>
      </c>
      <c r="L90" s="104">
        <v>251592.9</v>
      </c>
      <c r="M90" s="106">
        <f t="shared" si="21"/>
        <v>48.600000000005821</v>
      </c>
      <c r="N90" s="110">
        <v>17910</v>
      </c>
      <c r="O90" s="107">
        <f t="shared" si="22"/>
        <v>22</v>
      </c>
      <c r="P90" s="112">
        <v>91</v>
      </c>
      <c r="Q90" s="28">
        <f t="shared" si="23"/>
        <v>0.534065934065998</v>
      </c>
      <c r="R90" s="84">
        <f t="shared" si="24"/>
        <v>124.29999999998836</v>
      </c>
      <c r="S90" s="79">
        <f t="shared" si="25"/>
        <v>236</v>
      </c>
      <c r="T90" s="34">
        <f t="shared" si="26"/>
        <v>0.52669491525418799</v>
      </c>
      <c r="U90" s="1">
        <v>26</v>
      </c>
    </row>
    <row r="91" spans="1:21" ht="24" customHeight="1">
      <c r="A91" s="81">
        <v>41</v>
      </c>
      <c r="B91" s="31" t="s">
        <v>87</v>
      </c>
      <c r="C91" s="103" t="s">
        <v>210</v>
      </c>
      <c r="D91" s="103" t="s">
        <v>194</v>
      </c>
      <c r="E91" s="178" t="s">
        <v>211</v>
      </c>
      <c r="F91" s="104">
        <v>280224.8</v>
      </c>
      <c r="G91" s="104">
        <v>280378.09999999998</v>
      </c>
      <c r="H91" s="104">
        <f t="shared" si="19"/>
        <v>153.29999999998836</v>
      </c>
      <c r="I91" s="110">
        <v>19375</v>
      </c>
      <c r="J91" s="111">
        <v>196</v>
      </c>
      <c r="K91" s="10">
        <f t="shared" si="20"/>
        <v>0.78214285714279774</v>
      </c>
      <c r="L91" s="104">
        <v>280409.09999999998</v>
      </c>
      <c r="M91" s="106">
        <f t="shared" si="21"/>
        <v>31</v>
      </c>
      <c r="N91" s="110">
        <v>19393</v>
      </c>
      <c r="O91" s="107">
        <f t="shared" si="22"/>
        <v>18</v>
      </c>
      <c r="P91" s="111">
        <v>68</v>
      </c>
      <c r="Q91" s="28">
        <f t="shared" si="23"/>
        <v>0.45588235294117646</v>
      </c>
      <c r="R91" s="84">
        <f t="shared" si="24"/>
        <v>184.29999999998836</v>
      </c>
      <c r="S91" s="79">
        <f t="shared" si="25"/>
        <v>264</v>
      </c>
      <c r="T91" s="34">
        <f t="shared" si="26"/>
        <v>0.69810606060601654</v>
      </c>
      <c r="U91" s="1">
        <v>28</v>
      </c>
    </row>
    <row r="92" spans="1:21" ht="24" customHeight="1">
      <c r="A92" s="81">
        <v>42</v>
      </c>
      <c r="B92" s="31" t="s">
        <v>88</v>
      </c>
      <c r="C92" s="103" t="s">
        <v>210</v>
      </c>
      <c r="D92" s="103" t="s">
        <v>194</v>
      </c>
      <c r="E92" s="178" t="s">
        <v>211</v>
      </c>
      <c r="F92" s="104">
        <v>276147.7</v>
      </c>
      <c r="G92" s="104">
        <v>276231.40000000002</v>
      </c>
      <c r="H92" s="104">
        <f t="shared" si="19"/>
        <v>83.700000000011642</v>
      </c>
      <c r="I92" s="110">
        <v>18765</v>
      </c>
      <c r="J92" s="111">
        <v>138</v>
      </c>
      <c r="K92" s="10">
        <f t="shared" si="20"/>
        <v>0.6065217391305191</v>
      </c>
      <c r="L92" s="104">
        <v>276264.8</v>
      </c>
      <c r="M92" s="106">
        <f t="shared" si="21"/>
        <v>33.399999999965075</v>
      </c>
      <c r="N92" s="110">
        <v>18782</v>
      </c>
      <c r="O92" s="107">
        <f t="shared" si="22"/>
        <v>17</v>
      </c>
      <c r="P92" s="111">
        <v>58</v>
      </c>
      <c r="Q92" s="28">
        <f t="shared" si="23"/>
        <v>0.5758620689649151</v>
      </c>
      <c r="R92" s="84">
        <f t="shared" si="24"/>
        <v>117.09999999997672</v>
      </c>
      <c r="S92" s="79">
        <f t="shared" si="25"/>
        <v>196</v>
      </c>
      <c r="T92" s="34">
        <f t="shared" si="26"/>
        <v>0.59744897959171794</v>
      </c>
      <c r="U92" s="1">
        <v>34</v>
      </c>
    </row>
    <row r="93" spans="1:21" ht="24" customHeight="1">
      <c r="A93" s="81">
        <v>43</v>
      </c>
      <c r="B93" s="31" t="s">
        <v>89</v>
      </c>
      <c r="C93" s="103" t="s">
        <v>210</v>
      </c>
      <c r="D93" s="103" t="s">
        <v>194</v>
      </c>
      <c r="E93" s="178" t="s">
        <v>211</v>
      </c>
      <c r="F93" s="35">
        <v>268644.8</v>
      </c>
      <c r="G93" s="35">
        <v>268644.8</v>
      </c>
      <c r="H93" s="104">
        <f t="shared" si="19"/>
        <v>0</v>
      </c>
      <c r="I93" s="110">
        <v>18426</v>
      </c>
      <c r="J93" s="111">
        <v>0</v>
      </c>
      <c r="K93" s="10">
        <f t="shared" si="20"/>
        <v>0</v>
      </c>
      <c r="L93" s="35">
        <v>268755.5</v>
      </c>
      <c r="M93" s="106">
        <f t="shared" si="21"/>
        <v>110.70000000001164</v>
      </c>
      <c r="N93" s="110">
        <v>18434</v>
      </c>
      <c r="O93" s="107">
        <f t="shared" si="22"/>
        <v>8</v>
      </c>
      <c r="P93" s="111">
        <v>164</v>
      </c>
      <c r="Q93" s="28">
        <f t="shared" si="23"/>
        <v>0.67500000000007099</v>
      </c>
      <c r="R93" s="84">
        <f t="shared" si="24"/>
        <v>110.70000000001164</v>
      </c>
      <c r="S93" s="79">
        <f t="shared" si="25"/>
        <v>164</v>
      </c>
      <c r="T93" s="34">
        <f t="shared" si="26"/>
        <v>0.67500000000007099</v>
      </c>
      <c r="U93" s="1">
        <v>31</v>
      </c>
    </row>
    <row r="94" spans="1:21" ht="24" customHeight="1">
      <c r="A94" s="81">
        <v>44</v>
      </c>
      <c r="B94" s="31" t="s">
        <v>90</v>
      </c>
      <c r="C94" s="103" t="s">
        <v>210</v>
      </c>
      <c r="D94" s="103" t="s">
        <v>194</v>
      </c>
      <c r="E94" s="178" t="s">
        <v>211</v>
      </c>
      <c r="F94" s="104">
        <v>245741.9</v>
      </c>
      <c r="G94" s="104">
        <v>245741.9</v>
      </c>
      <c r="H94" s="104">
        <f t="shared" si="19"/>
        <v>0</v>
      </c>
      <c r="I94" s="110">
        <v>17743</v>
      </c>
      <c r="J94" s="111">
        <v>0</v>
      </c>
      <c r="K94" s="10">
        <f>IFERROR(H94/J94,0)</f>
        <v>0</v>
      </c>
      <c r="L94" s="104">
        <v>245781.1</v>
      </c>
      <c r="M94" s="106">
        <f t="shared" si="21"/>
        <v>39.200000000011642</v>
      </c>
      <c r="N94" s="110">
        <v>17747</v>
      </c>
      <c r="O94" s="107">
        <f t="shared" si="22"/>
        <v>4</v>
      </c>
      <c r="P94" s="111">
        <v>82</v>
      </c>
      <c r="Q94" s="28">
        <f t="shared" si="23"/>
        <v>0.47804878048794686</v>
      </c>
      <c r="R94" s="84">
        <f t="shared" si="24"/>
        <v>39.200000000011642</v>
      </c>
      <c r="S94" s="79">
        <f t="shared" si="25"/>
        <v>82</v>
      </c>
      <c r="T94" s="34">
        <f t="shared" si="26"/>
        <v>0.47804878048794686</v>
      </c>
      <c r="U94" s="1">
        <v>23</v>
      </c>
    </row>
    <row r="95" spans="1:21" ht="24" customHeight="1">
      <c r="A95" s="81">
        <v>45</v>
      </c>
      <c r="B95" s="31" t="s">
        <v>91</v>
      </c>
      <c r="C95" s="103" t="s">
        <v>210</v>
      </c>
      <c r="D95" s="103" t="s">
        <v>194</v>
      </c>
      <c r="E95" s="178" t="s">
        <v>211</v>
      </c>
      <c r="F95" s="104">
        <v>254153.9</v>
      </c>
      <c r="G95" s="104">
        <v>254153.9</v>
      </c>
      <c r="H95" s="104">
        <f t="shared" si="19"/>
        <v>0</v>
      </c>
      <c r="I95" s="110">
        <v>17731</v>
      </c>
      <c r="J95" s="111">
        <v>0</v>
      </c>
      <c r="K95" s="10">
        <f t="shared" si="20"/>
        <v>0</v>
      </c>
      <c r="L95" s="104">
        <v>254153.9</v>
      </c>
      <c r="M95" s="106">
        <f t="shared" si="21"/>
        <v>0</v>
      </c>
      <c r="N95" s="110">
        <v>17731</v>
      </c>
      <c r="O95" s="107">
        <f t="shared" si="22"/>
        <v>0</v>
      </c>
      <c r="P95" s="111">
        <v>0</v>
      </c>
      <c r="Q95" s="28">
        <f t="shared" si="23"/>
        <v>0</v>
      </c>
      <c r="R95" s="84">
        <f t="shared" si="24"/>
        <v>0</v>
      </c>
      <c r="S95" s="79">
        <f t="shared" si="25"/>
        <v>0</v>
      </c>
      <c r="T95" s="34">
        <f t="shared" si="26"/>
        <v>0</v>
      </c>
      <c r="U95" s="1">
        <v>0</v>
      </c>
    </row>
    <row r="96" spans="1:21" ht="24" customHeight="1">
      <c r="A96" s="81">
        <v>46</v>
      </c>
      <c r="B96" s="31" t="s">
        <v>92</v>
      </c>
      <c r="C96" s="103" t="s">
        <v>210</v>
      </c>
      <c r="D96" s="103" t="s">
        <v>194</v>
      </c>
      <c r="E96" s="178" t="s">
        <v>211</v>
      </c>
      <c r="F96" s="35">
        <v>240319.5</v>
      </c>
      <c r="G96" s="35">
        <v>240396.79999999999</v>
      </c>
      <c r="H96" s="104">
        <f>G96-F96</f>
        <v>77.299999999988358</v>
      </c>
      <c r="I96" s="110">
        <v>17430</v>
      </c>
      <c r="J96" s="111">
        <v>140</v>
      </c>
      <c r="K96" s="10">
        <f t="shared" si="20"/>
        <v>0.552142857142774</v>
      </c>
      <c r="L96" s="35">
        <v>240450.2</v>
      </c>
      <c r="M96" s="106">
        <f>L96-G96</f>
        <v>53.400000000023283</v>
      </c>
      <c r="N96" s="110">
        <v>17453</v>
      </c>
      <c r="O96" s="107">
        <f t="shared" si="22"/>
        <v>23</v>
      </c>
      <c r="P96" s="111">
        <v>97</v>
      </c>
      <c r="Q96" s="28">
        <f t="shared" si="23"/>
        <v>0.55051546391776585</v>
      </c>
      <c r="R96" s="84">
        <f t="shared" si="24"/>
        <v>130.70000000001164</v>
      </c>
      <c r="S96" s="79">
        <f>J96+P96</f>
        <v>237</v>
      </c>
      <c r="T96" s="34">
        <f t="shared" si="26"/>
        <v>0.55147679324899423</v>
      </c>
      <c r="U96" s="1">
        <v>28</v>
      </c>
    </row>
    <row r="97" spans="1:22" ht="24" customHeight="1">
      <c r="A97" s="81">
        <v>47</v>
      </c>
      <c r="B97" s="31" t="s">
        <v>93</v>
      </c>
      <c r="C97" s="103" t="s">
        <v>210</v>
      </c>
      <c r="D97" s="103" t="s">
        <v>194</v>
      </c>
      <c r="E97" s="178" t="s">
        <v>211</v>
      </c>
      <c r="F97" s="104">
        <v>248724.8</v>
      </c>
      <c r="G97" s="104">
        <v>248797.6</v>
      </c>
      <c r="H97" s="104">
        <f>G97-F97</f>
        <v>72.800000000017462</v>
      </c>
      <c r="I97" s="110">
        <v>16878</v>
      </c>
      <c r="J97" s="111">
        <v>138</v>
      </c>
      <c r="K97" s="10">
        <f t="shared" si="20"/>
        <v>0.52753623188418453</v>
      </c>
      <c r="L97" s="104">
        <v>248842</v>
      </c>
      <c r="M97" s="106">
        <f>L97-G97</f>
        <v>44.399999999994179</v>
      </c>
      <c r="N97" s="110">
        <v>16899</v>
      </c>
      <c r="O97" s="107">
        <f t="shared" si="22"/>
        <v>21</v>
      </c>
      <c r="P97" s="111">
        <v>79</v>
      </c>
      <c r="Q97" s="28">
        <f t="shared" si="23"/>
        <v>0.56202531645562248</v>
      </c>
      <c r="R97" s="84">
        <f t="shared" si="24"/>
        <v>117.20000000001164</v>
      </c>
      <c r="S97" s="79">
        <f t="shared" si="25"/>
        <v>217</v>
      </c>
      <c r="T97" s="34">
        <f t="shared" si="26"/>
        <v>0.54009216589867115</v>
      </c>
      <c r="U97" s="1">
        <v>34</v>
      </c>
      <c r="V97" t="s">
        <v>94</v>
      </c>
    </row>
    <row r="98" spans="1:22" ht="24" customHeight="1">
      <c r="A98" s="81">
        <v>48</v>
      </c>
      <c r="B98" s="31" t="s">
        <v>95</v>
      </c>
      <c r="C98" s="103" t="s">
        <v>210</v>
      </c>
      <c r="D98" s="103" t="s">
        <v>194</v>
      </c>
      <c r="E98" s="178" t="s">
        <v>211</v>
      </c>
      <c r="F98" s="104">
        <v>245540.2</v>
      </c>
      <c r="G98" s="104">
        <v>245540.2</v>
      </c>
      <c r="H98" s="104">
        <f t="shared" si="19"/>
        <v>0</v>
      </c>
      <c r="I98" s="110">
        <v>18303</v>
      </c>
      <c r="J98" s="111">
        <v>0</v>
      </c>
      <c r="K98" s="10">
        <f t="shared" si="20"/>
        <v>0</v>
      </c>
      <c r="L98" s="104">
        <v>245661</v>
      </c>
      <c r="M98" s="106">
        <f t="shared" si="21"/>
        <v>120.79999999998836</v>
      </c>
      <c r="N98" s="110">
        <v>18303</v>
      </c>
      <c r="O98" s="107">
        <f t="shared" si="22"/>
        <v>0</v>
      </c>
      <c r="P98" s="111">
        <v>341.53</v>
      </c>
      <c r="Q98" s="28">
        <f t="shared" si="23"/>
        <v>0.35370245659235899</v>
      </c>
      <c r="R98" s="84">
        <f t="shared" si="24"/>
        <v>120.79999999998836</v>
      </c>
      <c r="S98" s="79">
        <f t="shared" si="25"/>
        <v>341.53</v>
      </c>
      <c r="T98" s="34">
        <f t="shared" si="26"/>
        <v>0.35370245659235899</v>
      </c>
      <c r="U98" s="1">
        <v>21</v>
      </c>
    </row>
    <row r="99" spans="1:22" ht="24" customHeight="1">
      <c r="A99" s="81">
        <v>49</v>
      </c>
      <c r="B99" s="31" t="s">
        <v>96</v>
      </c>
      <c r="C99" s="103" t="s">
        <v>210</v>
      </c>
      <c r="D99" s="103" t="s">
        <v>194</v>
      </c>
      <c r="E99" s="178" t="s">
        <v>211</v>
      </c>
      <c r="F99" s="35">
        <v>250264.4</v>
      </c>
      <c r="G99" s="35">
        <v>250330.9</v>
      </c>
      <c r="H99" s="104">
        <f t="shared" si="19"/>
        <v>66.5</v>
      </c>
      <c r="I99" s="110">
        <v>18000</v>
      </c>
      <c r="J99" s="111">
        <v>141</v>
      </c>
      <c r="K99" s="10">
        <f>IFERROR(H99/J99,0)</f>
        <v>0.47163120567375888</v>
      </c>
      <c r="L99" s="35">
        <v>250392.8</v>
      </c>
      <c r="M99" s="106">
        <f t="shared" si="21"/>
        <v>61.899999999994179</v>
      </c>
      <c r="N99" s="110">
        <v>18022</v>
      </c>
      <c r="O99" s="107">
        <f t="shared" si="22"/>
        <v>22</v>
      </c>
      <c r="P99" s="111">
        <v>83</v>
      </c>
      <c r="Q99" s="28">
        <f t="shared" si="23"/>
        <v>0.74578313253005035</v>
      </c>
      <c r="R99" s="84">
        <f t="shared" si="24"/>
        <v>128.39999999999418</v>
      </c>
      <c r="S99" s="79">
        <f t="shared" si="25"/>
        <v>224</v>
      </c>
      <c r="T99" s="34">
        <f t="shared" si="26"/>
        <v>0.5732142857142597</v>
      </c>
      <c r="U99" s="1">
        <v>25</v>
      </c>
    </row>
    <row r="100" spans="1:22" ht="24" customHeight="1">
      <c r="A100" s="81">
        <v>50</v>
      </c>
      <c r="B100" s="31" t="s">
        <v>97</v>
      </c>
      <c r="C100" s="103" t="s">
        <v>210</v>
      </c>
      <c r="D100" s="103" t="s">
        <v>194</v>
      </c>
      <c r="E100" s="178" t="s">
        <v>211</v>
      </c>
      <c r="F100" s="104">
        <v>239016.7</v>
      </c>
      <c r="G100" s="104">
        <v>239078.8</v>
      </c>
      <c r="H100" s="104">
        <f t="shared" si="19"/>
        <v>62.099999999976717</v>
      </c>
      <c r="I100" s="110">
        <v>16513</v>
      </c>
      <c r="J100" s="111">
        <v>110</v>
      </c>
      <c r="K100" s="10">
        <f t="shared" si="20"/>
        <v>0.56454545454524285</v>
      </c>
      <c r="L100" s="104">
        <v>239125.3</v>
      </c>
      <c r="M100" s="106">
        <f t="shared" si="21"/>
        <v>46.5</v>
      </c>
      <c r="N100" s="110">
        <v>16533</v>
      </c>
      <c r="O100" s="107">
        <f t="shared" si="22"/>
        <v>20</v>
      </c>
      <c r="P100" s="111">
        <v>90</v>
      </c>
      <c r="Q100" s="28">
        <f t="shared" si="23"/>
        <v>0.51666666666666672</v>
      </c>
      <c r="R100" s="84">
        <f t="shared" si="24"/>
        <v>108.59999999997672</v>
      </c>
      <c r="S100" s="79">
        <f t="shared" si="25"/>
        <v>200</v>
      </c>
      <c r="T100" s="34">
        <f t="shared" si="26"/>
        <v>0.54299999999988358</v>
      </c>
      <c r="U100" s="1">
        <v>32</v>
      </c>
    </row>
    <row r="101" spans="1:22" ht="24" customHeight="1">
      <c r="A101" s="81">
        <v>51</v>
      </c>
      <c r="B101" s="121" t="s">
        <v>166</v>
      </c>
      <c r="C101" s="103" t="s">
        <v>210</v>
      </c>
      <c r="D101" s="103" t="s">
        <v>194</v>
      </c>
      <c r="E101" s="178" t="s">
        <v>222</v>
      </c>
      <c r="F101" s="104">
        <v>206632</v>
      </c>
      <c r="G101" s="104">
        <v>206632</v>
      </c>
      <c r="H101" s="118">
        <f t="shared" si="19"/>
        <v>0</v>
      </c>
      <c r="I101" s="110">
        <v>17598</v>
      </c>
      <c r="J101" s="111">
        <v>0</v>
      </c>
      <c r="K101" s="55">
        <f t="shared" si="20"/>
        <v>0</v>
      </c>
      <c r="L101" s="104">
        <v>206719</v>
      </c>
      <c r="M101" s="119">
        <f t="shared" si="21"/>
        <v>87</v>
      </c>
      <c r="N101" s="110">
        <v>17606</v>
      </c>
      <c r="O101" s="120">
        <f t="shared" si="22"/>
        <v>8</v>
      </c>
      <c r="P101" s="111">
        <v>140</v>
      </c>
      <c r="Q101" s="28">
        <f t="shared" si="23"/>
        <v>0.62142857142857144</v>
      </c>
      <c r="R101" s="58">
        <f t="shared" si="24"/>
        <v>87</v>
      </c>
      <c r="S101" s="79">
        <f t="shared" si="25"/>
        <v>140</v>
      </c>
      <c r="T101" s="34">
        <f t="shared" si="26"/>
        <v>0.62142857142857144</v>
      </c>
      <c r="U101" s="1">
        <v>27</v>
      </c>
    </row>
    <row r="102" spans="1:22" ht="24" customHeight="1">
      <c r="A102" s="81">
        <v>52</v>
      </c>
      <c r="B102" s="121" t="s">
        <v>167</v>
      </c>
      <c r="C102" s="103" t="s">
        <v>210</v>
      </c>
      <c r="D102" s="103" t="s">
        <v>194</v>
      </c>
      <c r="E102" s="178" t="s">
        <v>222</v>
      </c>
      <c r="F102" s="104">
        <v>186406</v>
      </c>
      <c r="G102" s="104">
        <v>186406</v>
      </c>
      <c r="H102" s="118">
        <f t="shared" si="19"/>
        <v>0</v>
      </c>
      <c r="I102" s="110">
        <v>16317</v>
      </c>
      <c r="J102" s="111">
        <v>0</v>
      </c>
      <c r="K102" s="55">
        <f t="shared" si="20"/>
        <v>0</v>
      </c>
      <c r="L102" s="104">
        <v>186406</v>
      </c>
      <c r="M102" s="119">
        <f t="shared" si="21"/>
        <v>0</v>
      </c>
      <c r="N102" s="110">
        <v>16317</v>
      </c>
      <c r="O102" s="120">
        <f t="shared" si="22"/>
        <v>0</v>
      </c>
      <c r="P102" s="111">
        <v>0</v>
      </c>
      <c r="Q102" s="28">
        <f t="shared" si="23"/>
        <v>0</v>
      </c>
      <c r="R102" s="58">
        <f t="shared" si="24"/>
        <v>0</v>
      </c>
      <c r="S102" s="79">
        <f t="shared" si="25"/>
        <v>0</v>
      </c>
      <c r="T102" s="34">
        <f t="shared" si="26"/>
        <v>0</v>
      </c>
      <c r="U102" s="1">
        <v>0</v>
      </c>
    </row>
    <row r="103" spans="1:22" ht="24" customHeight="1">
      <c r="A103" s="81">
        <v>53</v>
      </c>
      <c r="B103" s="121" t="s">
        <v>168</v>
      </c>
      <c r="C103" s="103" t="s">
        <v>210</v>
      </c>
      <c r="D103" s="103" t="s">
        <v>194</v>
      </c>
      <c r="E103" s="178" t="s">
        <v>222</v>
      </c>
      <c r="F103" s="104">
        <v>193670</v>
      </c>
      <c r="G103" s="104">
        <v>193670</v>
      </c>
      <c r="H103" s="118">
        <f t="shared" si="19"/>
        <v>0</v>
      </c>
      <c r="I103" s="110">
        <v>17282</v>
      </c>
      <c r="J103" s="111">
        <v>0</v>
      </c>
      <c r="K103" s="55">
        <f t="shared" si="20"/>
        <v>0</v>
      </c>
      <c r="L103" s="104">
        <v>193670</v>
      </c>
      <c r="M103" s="119">
        <f t="shared" si="21"/>
        <v>0</v>
      </c>
      <c r="N103" s="110">
        <v>17282</v>
      </c>
      <c r="O103" s="120">
        <f t="shared" si="22"/>
        <v>0</v>
      </c>
      <c r="P103" s="111">
        <v>0</v>
      </c>
      <c r="Q103" s="28">
        <f t="shared" si="23"/>
        <v>0</v>
      </c>
      <c r="R103" s="58">
        <f t="shared" si="24"/>
        <v>0</v>
      </c>
      <c r="S103" s="79">
        <f t="shared" si="25"/>
        <v>0</v>
      </c>
      <c r="T103" s="34">
        <f t="shared" si="26"/>
        <v>0</v>
      </c>
      <c r="U103" s="1">
        <v>33</v>
      </c>
    </row>
    <row r="104" spans="1:22" ht="24" customHeight="1">
      <c r="A104" s="81">
        <v>54</v>
      </c>
      <c r="B104" s="121" t="s">
        <v>169</v>
      </c>
      <c r="C104" s="103" t="s">
        <v>210</v>
      </c>
      <c r="D104" s="103" t="s">
        <v>194</v>
      </c>
      <c r="E104" s="178" t="s">
        <v>222</v>
      </c>
      <c r="F104" s="104">
        <v>197688</v>
      </c>
      <c r="G104" s="104">
        <v>197762</v>
      </c>
      <c r="H104" s="118">
        <f t="shared" si="19"/>
        <v>74</v>
      </c>
      <c r="I104" s="110">
        <v>16758</v>
      </c>
      <c r="J104" s="111">
        <v>128</v>
      </c>
      <c r="K104" s="55">
        <f t="shared" si="20"/>
        <v>0.578125</v>
      </c>
      <c r="L104" s="104">
        <v>197762</v>
      </c>
      <c r="M104" s="119">
        <f t="shared" si="21"/>
        <v>0</v>
      </c>
      <c r="N104" s="110">
        <v>16765</v>
      </c>
      <c r="O104" s="120">
        <f t="shared" si="22"/>
        <v>7</v>
      </c>
      <c r="P104" s="111">
        <v>0</v>
      </c>
      <c r="Q104" s="28">
        <f t="shared" si="23"/>
        <v>0</v>
      </c>
      <c r="R104" s="58">
        <f t="shared" si="24"/>
        <v>74</v>
      </c>
      <c r="S104" s="79">
        <f t="shared" si="25"/>
        <v>128</v>
      </c>
      <c r="T104" s="34">
        <f t="shared" si="26"/>
        <v>0.578125</v>
      </c>
      <c r="U104" s="1">
        <v>26</v>
      </c>
    </row>
    <row r="105" spans="1:22" ht="24" customHeight="1">
      <c r="A105" s="81">
        <v>55</v>
      </c>
      <c r="B105" s="121" t="s">
        <v>104</v>
      </c>
      <c r="C105" s="103" t="s">
        <v>210</v>
      </c>
      <c r="D105" s="31" t="s">
        <v>194</v>
      </c>
      <c r="E105" s="31" t="s">
        <v>212</v>
      </c>
      <c r="F105" s="104">
        <v>72832.899999999994</v>
      </c>
      <c r="G105" s="104">
        <v>72938.399999999994</v>
      </c>
      <c r="H105" s="118">
        <f t="shared" si="19"/>
        <v>105.5</v>
      </c>
      <c r="I105" s="110">
        <v>4926</v>
      </c>
      <c r="J105" s="111">
        <v>150</v>
      </c>
      <c r="K105" s="78">
        <f t="shared" si="20"/>
        <v>0.70333333333333337</v>
      </c>
      <c r="L105" s="104">
        <v>72938.399999999994</v>
      </c>
      <c r="M105" s="112">
        <f t="shared" si="21"/>
        <v>0</v>
      </c>
      <c r="N105" s="110">
        <v>4933</v>
      </c>
      <c r="O105" s="107">
        <f t="shared" si="22"/>
        <v>7</v>
      </c>
      <c r="P105" s="111">
        <v>0</v>
      </c>
      <c r="Q105" s="28">
        <f t="shared" si="23"/>
        <v>0</v>
      </c>
      <c r="R105" s="58">
        <f t="shared" si="24"/>
        <v>105.5</v>
      </c>
      <c r="S105" s="79">
        <f t="shared" si="25"/>
        <v>150</v>
      </c>
      <c r="T105" s="34">
        <f t="shared" si="26"/>
        <v>0.70333333333333337</v>
      </c>
      <c r="U105" s="1">
        <v>34</v>
      </c>
    </row>
    <row r="106" spans="1:22" ht="24" customHeight="1">
      <c r="A106" s="81">
        <v>56</v>
      </c>
      <c r="B106" s="121" t="s">
        <v>105</v>
      </c>
      <c r="C106" s="103" t="s">
        <v>210</v>
      </c>
      <c r="D106" s="31" t="s">
        <v>194</v>
      </c>
      <c r="E106" s="31" t="s">
        <v>212</v>
      </c>
      <c r="F106" s="35">
        <v>71668</v>
      </c>
      <c r="G106" s="35">
        <v>71785.7</v>
      </c>
      <c r="H106" s="122">
        <f t="shared" si="19"/>
        <v>117.69999999999709</v>
      </c>
      <c r="I106" s="110">
        <v>4942</v>
      </c>
      <c r="J106" s="111">
        <v>173</v>
      </c>
      <c r="K106" s="78">
        <f t="shared" si="20"/>
        <v>0.6803468208092317</v>
      </c>
      <c r="L106" s="35">
        <v>71785.7</v>
      </c>
      <c r="M106" s="112">
        <f t="shared" si="21"/>
        <v>0</v>
      </c>
      <c r="N106" s="110">
        <v>4950</v>
      </c>
      <c r="O106" s="107">
        <f t="shared" si="22"/>
        <v>8</v>
      </c>
      <c r="P106" s="111">
        <v>0</v>
      </c>
      <c r="Q106" s="28">
        <f t="shared" si="23"/>
        <v>0</v>
      </c>
      <c r="R106" s="58">
        <f t="shared" si="24"/>
        <v>117.69999999999709</v>
      </c>
      <c r="S106" s="79">
        <f t="shared" si="25"/>
        <v>173</v>
      </c>
      <c r="T106" s="34">
        <f t="shared" si="26"/>
        <v>0.6803468208092317</v>
      </c>
      <c r="U106" s="1">
        <v>33</v>
      </c>
    </row>
    <row r="107" spans="1:22" ht="24" customHeight="1">
      <c r="A107" s="81">
        <v>57</v>
      </c>
      <c r="B107" s="121" t="s">
        <v>106</v>
      </c>
      <c r="C107" s="103" t="s">
        <v>210</v>
      </c>
      <c r="D107" s="31" t="s">
        <v>194</v>
      </c>
      <c r="E107" s="31" t="s">
        <v>212</v>
      </c>
      <c r="F107" s="104">
        <v>69542.399999999994</v>
      </c>
      <c r="G107" s="104">
        <v>69639.600000000006</v>
      </c>
      <c r="H107" s="122">
        <f t="shared" si="19"/>
        <v>97.200000000011642</v>
      </c>
      <c r="I107" s="110">
        <v>4965</v>
      </c>
      <c r="J107" s="111">
        <v>123</v>
      </c>
      <c r="K107" s="78">
        <f t="shared" si="20"/>
        <v>0.79024390243911902</v>
      </c>
      <c r="L107" s="104">
        <v>69639.600000000006</v>
      </c>
      <c r="M107" s="112">
        <f t="shared" si="21"/>
        <v>0</v>
      </c>
      <c r="N107" s="110">
        <v>4972</v>
      </c>
      <c r="O107" s="107">
        <f t="shared" si="22"/>
        <v>7</v>
      </c>
      <c r="P107" s="111">
        <v>0</v>
      </c>
      <c r="Q107" s="28">
        <f t="shared" si="23"/>
        <v>0</v>
      </c>
      <c r="R107" s="58">
        <f t="shared" si="24"/>
        <v>97.200000000011642</v>
      </c>
      <c r="S107" s="79">
        <f t="shared" si="25"/>
        <v>123</v>
      </c>
      <c r="T107" s="34">
        <f t="shared" si="26"/>
        <v>0.79024390243911902</v>
      </c>
      <c r="U107" s="1">
        <v>30</v>
      </c>
    </row>
    <row r="108" spans="1:22" ht="24" customHeight="1">
      <c r="A108" s="81">
        <v>58</v>
      </c>
      <c r="B108" s="121" t="s">
        <v>107</v>
      </c>
      <c r="C108" s="103" t="s">
        <v>210</v>
      </c>
      <c r="D108" s="31" t="s">
        <v>194</v>
      </c>
      <c r="E108" s="31" t="s">
        <v>212</v>
      </c>
      <c r="F108" s="104">
        <v>71808.5</v>
      </c>
      <c r="G108" s="104">
        <v>71915.899999999994</v>
      </c>
      <c r="H108" s="122">
        <f t="shared" si="19"/>
        <v>107.39999999999418</v>
      </c>
      <c r="I108" s="110">
        <v>4966</v>
      </c>
      <c r="J108" s="111">
        <v>150</v>
      </c>
      <c r="K108" s="78">
        <f t="shared" si="20"/>
        <v>0.71599999999996122</v>
      </c>
      <c r="L108" s="104">
        <v>71915.899999999994</v>
      </c>
      <c r="M108" s="112">
        <f t="shared" si="21"/>
        <v>0</v>
      </c>
      <c r="N108" s="110">
        <v>4974</v>
      </c>
      <c r="O108" s="107">
        <f t="shared" si="22"/>
        <v>8</v>
      </c>
      <c r="P108" s="111">
        <v>0</v>
      </c>
      <c r="Q108" s="28">
        <f t="shared" si="23"/>
        <v>0</v>
      </c>
      <c r="R108" s="58">
        <f t="shared" si="24"/>
        <v>107.39999999999418</v>
      </c>
      <c r="S108" s="79">
        <f t="shared" si="25"/>
        <v>150</v>
      </c>
      <c r="T108" s="34">
        <f t="shared" si="26"/>
        <v>0.71599999999996122</v>
      </c>
      <c r="U108" s="1">
        <v>30</v>
      </c>
    </row>
    <row r="109" spans="1:22" ht="24" customHeight="1">
      <c r="A109" s="81">
        <v>59</v>
      </c>
      <c r="B109" s="121" t="s">
        <v>108</v>
      </c>
      <c r="C109" s="103" t="s">
        <v>210</v>
      </c>
      <c r="D109" s="31" t="s">
        <v>194</v>
      </c>
      <c r="E109" s="31" t="s">
        <v>212</v>
      </c>
      <c r="F109" s="104">
        <v>70892.5</v>
      </c>
      <c r="G109" s="104">
        <v>70892.5</v>
      </c>
      <c r="H109" s="122">
        <f t="shared" si="19"/>
        <v>0</v>
      </c>
      <c r="I109" s="110">
        <v>4932</v>
      </c>
      <c r="J109" s="111">
        <v>0</v>
      </c>
      <c r="K109" s="78">
        <f t="shared" si="20"/>
        <v>0</v>
      </c>
      <c r="L109" s="104">
        <v>71015.199999999997</v>
      </c>
      <c r="M109" s="112">
        <f t="shared" si="21"/>
        <v>122.69999999999709</v>
      </c>
      <c r="N109" s="110">
        <v>4941</v>
      </c>
      <c r="O109" s="107">
        <f t="shared" si="22"/>
        <v>9</v>
      </c>
      <c r="P109" s="111">
        <v>177.39</v>
      </c>
      <c r="Q109" s="28">
        <f t="shared" si="23"/>
        <v>0.69169626247250182</v>
      </c>
      <c r="R109" s="58">
        <f t="shared" si="24"/>
        <v>122.69999999999709</v>
      </c>
      <c r="S109" s="79">
        <f t="shared" si="25"/>
        <v>177.39</v>
      </c>
      <c r="T109" s="34">
        <f t="shared" si="26"/>
        <v>0.69169626247250182</v>
      </c>
      <c r="U109" s="1">
        <v>30</v>
      </c>
    </row>
    <row r="110" spans="1:22" ht="24" customHeight="1">
      <c r="A110" s="81">
        <v>60</v>
      </c>
      <c r="B110" s="121" t="s">
        <v>109</v>
      </c>
      <c r="C110" s="103" t="s">
        <v>210</v>
      </c>
      <c r="D110" s="31" t="s">
        <v>194</v>
      </c>
      <c r="E110" s="31" t="s">
        <v>212</v>
      </c>
      <c r="F110" s="104">
        <v>72825.399999999994</v>
      </c>
      <c r="G110" s="104">
        <v>72883.899999999994</v>
      </c>
      <c r="H110" s="118">
        <f t="shared" si="19"/>
        <v>58.5</v>
      </c>
      <c r="I110" s="110">
        <v>5025</v>
      </c>
      <c r="J110" s="111">
        <v>96</v>
      </c>
      <c r="K110" s="55">
        <f t="shared" si="20"/>
        <v>0.609375</v>
      </c>
      <c r="L110" s="104">
        <v>72883.899999999994</v>
      </c>
      <c r="M110" s="119">
        <f t="shared" si="21"/>
        <v>0</v>
      </c>
      <c r="N110" s="110">
        <v>5030</v>
      </c>
      <c r="O110" s="120">
        <f t="shared" si="22"/>
        <v>5</v>
      </c>
      <c r="P110" s="111">
        <v>0</v>
      </c>
      <c r="Q110" s="28">
        <f t="shared" si="23"/>
        <v>0</v>
      </c>
      <c r="R110" s="58">
        <f t="shared" si="24"/>
        <v>58.5</v>
      </c>
      <c r="S110" s="79">
        <f t="shared" si="25"/>
        <v>96</v>
      </c>
      <c r="T110" s="34">
        <f t="shared" si="26"/>
        <v>0.609375</v>
      </c>
      <c r="U110" s="1">
        <v>32</v>
      </c>
    </row>
    <row r="111" spans="1:22" ht="24" customHeight="1">
      <c r="A111" s="81">
        <v>61</v>
      </c>
      <c r="B111" s="121" t="s">
        <v>176</v>
      </c>
      <c r="C111" s="103" t="s">
        <v>210</v>
      </c>
      <c r="D111" s="31" t="s">
        <v>194</v>
      </c>
      <c r="E111" s="31" t="s">
        <v>212</v>
      </c>
      <c r="F111" s="104">
        <v>54280.5</v>
      </c>
      <c r="G111" s="104">
        <v>54280.5</v>
      </c>
      <c r="H111" s="118">
        <f t="shared" si="19"/>
        <v>0</v>
      </c>
      <c r="I111" s="110">
        <v>4375</v>
      </c>
      <c r="J111" s="111">
        <v>0</v>
      </c>
      <c r="K111" s="55">
        <f t="shared" si="20"/>
        <v>0</v>
      </c>
      <c r="L111" s="104">
        <v>54333</v>
      </c>
      <c r="M111" s="119">
        <f t="shared" si="21"/>
        <v>52.5</v>
      </c>
      <c r="N111" s="110">
        <v>4380</v>
      </c>
      <c r="O111" s="120">
        <f t="shared" si="22"/>
        <v>5</v>
      </c>
      <c r="P111" s="111">
        <v>90.08</v>
      </c>
      <c r="Q111" s="28">
        <f t="shared" si="23"/>
        <v>0.58281527531083488</v>
      </c>
      <c r="R111" s="58">
        <f t="shared" si="24"/>
        <v>52.5</v>
      </c>
      <c r="S111" s="79">
        <f t="shared" si="25"/>
        <v>90.08</v>
      </c>
      <c r="T111" s="34">
        <f t="shared" si="26"/>
        <v>0.58281527531083488</v>
      </c>
      <c r="U111" s="1">
        <v>20</v>
      </c>
    </row>
    <row r="112" spans="1:22" ht="24" customHeight="1">
      <c r="A112" s="81">
        <v>62</v>
      </c>
      <c r="B112" s="121" t="s">
        <v>177</v>
      </c>
      <c r="C112" s="103" t="s">
        <v>210</v>
      </c>
      <c r="D112" s="31" t="s">
        <v>194</v>
      </c>
      <c r="E112" s="31" t="s">
        <v>212</v>
      </c>
      <c r="F112" s="104">
        <v>53577</v>
      </c>
      <c r="G112" s="104">
        <v>53673.4</v>
      </c>
      <c r="H112" s="118">
        <f t="shared" si="19"/>
        <v>96.400000000001455</v>
      </c>
      <c r="I112" s="110">
        <v>4427</v>
      </c>
      <c r="J112" s="111">
        <v>133</v>
      </c>
      <c r="K112" s="55">
        <f t="shared" si="20"/>
        <v>0.7248120300751989</v>
      </c>
      <c r="L112" s="104">
        <v>53673.4</v>
      </c>
      <c r="M112" s="119">
        <f t="shared" si="21"/>
        <v>0</v>
      </c>
      <c r="N112" s="110">
        <v>4434</v>
      </c>
      <c r="O112" s="120">
        <f t="shared" si="22"/>
        <v>7</v>
      </c>
      <c r="P112" s="111">
        <v>0</v>
      </c>
      <c r="Q112" s="28">
        <f t="shared" si="23"/>
        <v>0</v>
      </c>
      <c r="R112" s="58">
        <f t="shared" si="24"/>
        <v>96.400000000001455</v>
      </c>
      <c r="S112" s="79">
        <f t="shared" si="25"/>
        <v>133</v>
      </c>
      <c r="T112" s="34">
        <f t="shared" si="26"/>
        <v>0.7248120300751989</v>
      </c>
      <c r="U112" s="1">
        <v>33</v>
      </c>
    </row>
    <row r="113" spans="1:21" ht="24" customHeight="1">
      <c r="A113" s="81">
        <v>63</v>
      </c>
      <c r="B113" s="121" t="s">
        <v>178</v>
      </c>
      <c r="C113" s="103" t="s">
        <v>210</v>
      </c>
      <c r="D113" s="31" t="s">
        <v>194</v>
      </c>
      <c r="E113" s="31" t="s">
        <v>212</v>
      </c>
      <c r="F113" s="104">
        <v>52110.5</v>
      </c>
      <c r="G113" s="104">
        <v>52110.5</v>
      </c>
      <c r="H113" s="118">
        <f t="shared" si="19"/>
        <v>0</v>
      </c>
      <c r="I113" s="110">
        <v>4167</v>
      </c>
      <c r="J113" s="111">
        <v>0</v>
      </c>
      <c r="K113" s="55">
        <f t="shared" si="20"/>
        <v>0</v>
      </c>
      <c r="L113" s="104">
        <v>52234.6</v>
      </c>
      <c r="M113" s="119">
        <f t="shared" si="21"/>
        <v>124.09999999999854</v>
      </c>
      <c r="N113" s="110">
        <v>4176</v>
      </c>
      <c r="O113" s="120">
        <f t="shared" si="22"/>
        <v>9</v>
      </c>
      <c r="P113" s="111">
        <v>179.12</v>
      </c>
      <c r="Q113" s="28">
        <f t="shared" si="23"/>
        <v>0.69283162125948272</v>
      </c>
      <c r="R113" s="58">
        <f t="shared" si="24"/>
        <v>124.09999999999854</v>
      </c>
      <c r="S113" s="79">
        <f t="shared" si="25"/>
        <v>179.12</v>
      </c>
      <c r="T113" s="34">
        <f t="shared" si="26"/>
        <v>0.69283162125948272</v>
      </c>
      <c r="U113" s="1">
        <v>32</v>
      </c>
    </row>
    <row r="114" spans="1:21" ht="24" customHeight="1">
      <c r="A114" s="81">
        <v>64</v>
      </c>
      <c r="B114" s="121" t="s">
        <v>179</v>
      </c>
      <c r="C114" s="103" t="s">
        <v>210</v>
      </c>
      <c r="D114" s="31" t="s">
        <v>194</v>
      </c>
      <c r="E114" s="31" t="s">
        <v>212</v>
      </c>
      <c r="F114" s="104">
        <v>52929.8</v>
      </c>
      <c r="G114" s="104">
        <v>53021.8</v>
      </c>
      <c r="H114" s="118">
        <f t="shared" si="19"/>
        <v>92</v>
      </c>
      <c r="I114" s="110">
        <v>4334</v>
      </c>
      <c r="J114" s="111">
        <v>142</v>
      </c>
      <c r="K114" s="55">
        <f t="shared" si="20"/>
        <v>0.647887323943662</v>
      </c>
      <c r="L114" s="104">
        <v>53033.7</v>
      </c>
      <c r="M114" s="119">
        <f t="shared" si="21"/>
        <v>11.899999999994179</v>
      </c>
      <c r="N114" s="110">
        <v>4345</v>
      </c>
      <c r="O114" s="120">
        <f t="shared" si="22"/>
        <v>11</v>
      </c>
      <c r="P114" s="111">
        <v>46.42</v>
      </c>
      <c r="Q114" s="28">
        <f t="shared" si="23"/>
        <v>0.25635501938806932</v>
      </c>
      <c r="R114" s="58">
        <f t="shared" si="24"/>
        <v>103.89999999999418</v>
      </c>
      <c r="S114" s="79">
        <f t="shared" si="25"/>
        <v>188.42000000000002</v>
      </c>
      <c r="T114" s="34">
        <f t="shared" si="26"/>
        <v>0.55142766160701717</v>
      </c>
      <c r="U114" s="1">
        <v>27</v>
      </c>
    </row>
    <row r="115" spans="1:21" ht="24" customHeight="1">
      <c r="A115" s="81">
        <v>65</v>
      </c>
      <c r="B115" s="121" t="s">
        <v>180</v>
      </c>
      <c r="C115" s="103" t="s">
        <v>210</v>
      </c>
      <c r="D115" s="31" t="s">
        <v>194</v>
      </c>
      <c r="E115" s="31" t="s">
        <v>212</v>
      </c>
      <c r="F115" s="104">
        <v>53301.3</v>
      </c>
      <c r="G115" s="104">
        <v>53406.9</v>
      </c>
      <c r="H115" s="118">
        <f t="shared" si="19"/>
        <v>105.59999999999854</v>
      </c>
      <c r="I115" s="110">
        <v>4276</v>
      </c>
      <c r="J115" s="111">
        <v>158</v>
      </c>
      <c r="K115" s="55">
        <f t="shared" si="20"/>
        <v>0.66835443037973763</v>
      </c>
      <c r="L115" s="104">
        <v>53406.9</v>
      </c>
      <c r="M115" s="119">
        <f t="shared" si="21"/>
        <v>0</v>
      </c>
      <c r="N115" s="110">
        <v>4283</v>
      </c>
      <c r="O115" s="120">
        <f t="shared" si="22"/>
        <v>7</v>
      </c>
      <c r="P115" s="111">
        <v>0</v>
      </c>
      <c r="Q115" s="28">
        <f t="shared" si="23"/>
        <v>0</v>
      </c>
      <c r="R115" s="58">
        <f t="shared" si="24"/>
        <v>105.59999999999854</v>
      </c>
      <c r="S115" s="79">
        <f t="shared" si="25"/>
        <v>158</v>
      </c>
      <c r="T115" s="34">
        <f t="shared" si="26"/>
        <v>0.66835443037973763</v>
      </c>
      <c r="U115" s="1">
        <v>34</v>
      </c>
    </row>
    <row r="116" spans="1:21" ht="24" customHeight="1">
      <c r="A116" s="81">
        <v>66</v>
      </c>
      <c r="B116" s="121" t="s">
        <v>110</v>
      </c>
      <c r="C116" s="103" t="s">
        <v>210</v>
      </c>
      <c r="D116" s="31" t="s">
        <v>194</v>
      </c>
      <c r="E116" s="31" t="s">
        <v>212</v>
      </c>
      <c r="F116" s="104">
        <v>36596.199999999997</v>
      </c>
      <c r="G116" s="104">
        <v>36721.599999999999</v>
      </c>
      <c r="H116" s="118">
        <f t="shared" si="19"/>
        <v>125.40000000000146</v>
      </c>
      <c r="I116" s="110">
        <v>2936</v>
      </c>
      <c r="J116" s="111">
        <v>162</v>
      </c>
      <c r="K116" s="55">
        <f t="shared" si="20"/>
        <v>0.77407407407408302</v>
      </c>
      <c r="L116" s="104">
        <v>36721.599999999999</v>
      </c>
      <c r="M116" s="119">
        <f t="shared" si="21"/>
        <v>0</v>
      </c>
      <c r="N116" s="110">
        <v>2944</v>
      </c>
      <c r="O116" s="120">
        <f t="shared" si="22"/>
        <v>8</v>
      </c>
      <c r="P116" s="111">
        <v>0</v>
      </c>
      <c r="Q116" s="28">
        <f t="shared" si="23"/>
        <v>0</v>
      </c>
      <c r="R116" s="58">
        <f t="shared" si="24"/>
        <v>125.40000000000146</v>
      </c>
      <c r="S116" s="79">
        <f t="shared" si="25"/>
        <v>162</v>
      </c>
      <c r="T116" s="34">
        <f t="shared" si="26"/>
        <v>0.77407407407408302</v>
      </c>
      <c r="U116" s="1">
        <v>32</v>
      </c>
    </row>
    <row r="117" spans="1:21" ht="22.2" customHeight="1">
      <c r="A117" s="123" t="s">
        <v>28</v>
      </c>
      <c r="B117" s="123"/>
      <c r="C117" s="123"/>
      <c r="D117" s="123"/>
      <c r="E117" s="123"/>
      <c r="F117" s="40"/>
      <c r="G117" s="123"/>
      <c r="H117" s="124">
        <f>SUM(H51:H116)</f>
        <v>2967.1999999999462</v>
      </c>
      <c r="I117" s="125"/>
      <c r="J117" s="126">
        <f>SUM(J51:J116)</f>
        <v>4801.59</v>
      </c>
      <c r="K117" s="39"/>
      <c r="L117" s="40"/>
      <c r="M117" s="40">
        <f>SUM(M51:M116)</f>
        <v>1973.9000000000597</v>
      </c>
      <c r="N117" s="127"/>
      <c r="O117" s="128">
        <f>SUM(O51:O116)</f>
        <v>609.29000000000087</v>
      </c>
      <c r="P117" s="128">
        <f>SUM(P51:P116)</f>
        <v>3646.5399999999995</v>
      </c>
      <c r="Q117" s="28">
        <f>IFERROR(M117/P117,0)</f>
        <v>0.54130765053998031</v>
      </c>
      <c r="R117" s="129">
        <f>SUM(R51:R116)</f>
        <v>4941.1000000000058</v>
      </c>
      <c r="S117" s="79">
        <f>J117+P117</f>
        <v>8448.1299999999992</v>
      </c>
      <c r="T117" s="34">
        <f>IFERROR(R117/S117,0)</f>
        <v>0.58487499600503379</v>
      </c>
      <c r="U117" s="130">
        <f>SUM(U51:U116)</f>
        <v>1669</v>
      </c>
    </row>
    <row r="118" spans="1:21" ht="22.2" customHeight="1" thickBot="1">
      <c r="A118" s="206" t="s">
        <v>111</v>
      </c>
      <c r="B118" s="207"/>
      <c r="C118" s="207"/>
      <c r="D118" s="207"/>
      <c r="E118" s="207"/>
      <c r="F118" s="207"/>
      <c r="G118" s="207"/>
      <c r="H118" s="207"/>
      <c r="I118" s="207"/>
      <c r="J118" s="207"/>
      <c r="K118" s="207"/>
      <c r="L118" s="207"/>
      <c r="M118" s="207"/>
      <c r="N118" s="207"/>
      <c r="O118" s="208"/>
      <c r="P118" s="131"/>
      <c r="Q118" s="132"/>
      <c r="R118" s="133"/>
    </row>
    <row r="119" spans="1:21" ht="22.2" customHeight="1">
      <c r="A119" s="209" t="s">
        <v>3</v>
      </c>
      <c r="B119" s="211" t="s">
        <v>4</v>
      </c>
      <c r="C119" s="174"/>
      <c r="D119" s="174"/>
      <c r="E119" s="174"/>
      <c r="F119" s="213" t="s">
        <v>5</v>
      </c>
      <c r="G119" s="214"/>
      <c r="H119" s="214"/>
      <c r="I119" s="214"/>
      <c r="J119" s="215"/>
      <c r="K119" s="216" t="s">
        <v>6</v>
      </c>
      <c r="L119" s="217"/>
      <c r="M119" s="217"/>
      <c r="N119" s="218"/>
      <c r="O119" s="48"/>
      <c r="P119" s="219" t="s">
        <v>7</v>
      </c>
      <c r="Q119" s="194" t="s">
        <v>8</v>
      </c>
      <c r="R119" s="37"/>
    </row>
    <row r="120" spans="1:21" ht="27.6" customHeight="1" thickBot="1">
      <c r="A120" s="210"/>
      <c r="B120" s="212"/>
      <c r="C120" s="173"/>
      <c r="D120" s="173"/>
      <c r="E120" s="173"/>
      <c r="F120" s="49" t="s">
        <v>11</v>
      </c>
      <c r="G120" s="49" t="s">
        <v>12</v>
      </c>
      <c r="H120" s="49" t="s">
        <v>13</v>
      </c>
      <c r="I120" s="6" t="s">
        <v>14</v>
      </c>
      <c r="J120" s="6" t="s">
        <v>8</v>
      </c>
      <c r="K120" s="49" t="s">
        <v>12</v>
      </c>
      <c r="L120" s="49" t="s">
        <v>13</v>
      </c>
      <c r="M120" s="49" t="s">
        <v>14</v>
      </c>
      <c r="N120" s="7" t="s">
        <v>8</v>
      </c>
      <c r="O120" s="50" t="s">
        <v>15</v>
      </c>
      <c r="P120" s="220"/>
      <c r="Q120" s="195"/>
      <c r="R120" s="37"/>
    </row>
    <row r="121" spans="1:21" ht="22.2" customHeight="1">
      <c r="A121" s="76">
        <v>1</v>
      </c>
      <c r="B121" s="186" t="s">
        <v>112</v>
      </c>
      <c r="C121" s="31"/>
      <c r="D121" s="31"/>
      <c r="E121" s="31"/>
      <c r="F121" s="35">
        <v>122313</v>
      </c>
      <c r="G121" s="35">
        <v>122564</v>
      </c>
      <c r="H121" s="17">
        <f>G121-F121</f>
        <v>251</v>
      </c>
      <c r="I121" s="33">
        <v>44.99</v>
      </c>
      <c r="J121" s="10">
        <f>IFERROR(I121/H121,0)</f>
        <v>0.17924302788844623</v>
      </c>
      <c r="K121" s="35">
        <v>122564</v>
      </c>
      <c r="L121" s="19">
        <f>K121-G121</f>
        <v>0</v>
      </c>
      <c r="M121" s="33">
        <v>0</v>
      </c>
      <c r="N121" s="28">
        <f t="shared" ref="N121:N142" si="27">IFERROR(M121/L121,0)</f>
        <v>0</v>
      </c>
      <c r="O121" s="18">
        <f t="shared" ref="O121:P142" si="28">H121+L121</f>
        <v>251</v>
      </c>
      <c r="P121" s="22">
        <f>I121+M121</f>
        <v>44.99</v>
      </c>
      <c r="Q121" s="71">
        <f>IFERROR(O121/P121,0)</f>
        <v>5.5790175594576574</v>
      </c>
      <c r="R121" s="37"/>
    </row>
    <row r="122" spans="1:21" ht="22.2" customHeight="1">
      <c r="A122" s="76">
        <v>2</v>
      </c>
      <c r="B122" s="186" t="s">
        <v>113</v>
      </c>
      <c r="C122" s="31"/>
      <c r="D122" s="31"/>
      <c r="E122" s="31"/>
      <c r="F122" s="35">
        <v>4319.18</v>
      </c>
      <c r="G122" s="35">
        <v>4319.18</v>
      </c>
      <c r="H122" s="17">
        <f t="shared" ref="H122:H142" si="29">G122-F122</f>
        <v>0</v>
      </c>
      <c r="I122" s="33">
        <v>0</v>
      </c>
      <c r="J122" s="10">
        <f t="shared" ref="J122:J142" si="30">IFERROR(I122/H122,0)</f>
        <v>0</v>
      </c>
      <c r="K122" s="35">
        <v>4319.18</v>
      </c>
      <c r="L122" s="19">
        <f>K122-G122</f>
        <v>0</v>
      </c>
      <c r="M122" s="33">
        <v>0</v>
      </c>
      <c r="N122" s="28">
        <f t="shared" si="27"/>
        <v>0</v>
      </c>
      <c r="O122" s="18">
        <f t="shared" si="28"/>
        <v>0</v>
      </c>
      <c r="P122" s="22">
        <f t="shared" si="28"/>
        <v>0</v>
      </c>
      <c r="Q122" s="71">
        <f t="shared" ref="Q122:Q142" si="31">IFERROR(O122/P122,0)</f>
        <v>0</v>
      </c>
      <c r="R122" s="134"/>
    </row>
    <row r="123" spans="1:21" ht="22.2" customHeight="1">
      <c r="A123" s="76">
        <v>3</v>
      </c>
      <c r="B123" s="186" t="s">
        <v>114</v>
      </c>
      <c r="C123" s="31"/>
      <c r="D123" s="31"/>
      <c r="E123" s="31"/>
      <c r="F123" s="35">
        <v>180.5</v>
      </c>
      <c r="G123" s="35">
        <v>180.5</v>
      </c>
      <c r="H123" s="17">
        <f t="shared" si="29"/>
        <v>0</v>
      </c>
      <c r="I123" s="33">
        <v>0</v>
      </c>
      <c r="J123" s="10">
        <f t="shared" si="30"/>
        <v>0</v>
      </c>
      <c r="K123" s="35">
        <v>180.5</v>
      </c>
      <c r="L123" s="19">
        <f t="shared" ref="L123:L141" si="32">K123-G123</f>
        <v>0</v>
      </c>
      <c r="M123" s="33">
        <v>0</v>
      </c>
      <c r="N123" s="28">
        <f t="shared" si="27"/>
        <v>0</v>
      </c>
      <c r="O123" s="18">
        <f t="shared" si="28"/>
        <v>0</v>
      </c>
      <c r="P123" s="22">
        <f t="shared" si="28"/>
        <v>0</v>
      </c>
      <c r="Q123" s="71">
        <f t="shared" si="31"/>
        <v>0</v>
      </c>
      <c r="R123" s="37"/>
    </row>
    <row r="124" spans="1:21" ht="22.2" customHeight="1">
      <c r="A124" s="76">
        <v>4</v>
      </c>
      <c r="B124" s="186" t="s">
        <v>115</v>
      </c>
      <c r="C124" s="31"/>
      <c r="D124" s="31"/>
      <c r="E124" s="31"/>
      <c r="F124" s="136">
        <v>141895</v>
      </c>
      <c r="G124" s="136">
        <v>141895</v>
      </c>
      <c r="H124" s="17">
        <f t="shared" si="29"/>
        <v>0</v>
      </c>
      <c r="I124" s="33">
        <v>0</v>
      </c>
      <c r="J124" s="10">
        <f t="shared" si="30"/>
        <v>0</v>
      </c>
      <c r="K124" s="136">
        <v>141895</v>
      </c>
      <c r="L124" s="19">
        <f t="shared" si="32"/>
        <v>0</v>
      </c>
      <c r="M124" s="33">
        <v>0</v>
      </c>
      <c r="N124" s="28">
        <f t="shared" si="27"/>
        <v>0</v>
      </c>
      <c r="O124" s="18">
        <f t="shared" si="28"/>
        <v>0</v>
      </c>
      <c r="P124" s="22">
        <f t="shared" si="28"/>
        <v>0</v>
      </c>
      <c r="Q124" s="71">
        <f t="shared" si="31"/>
        <v>0</v>
      </c>
      <c r="R124" s="137"/>
    </row>
    <row r="125" spans="1:21" ht="22.2" customHeight="1">
      <c r="A125" s="76">
        <v>5</v>
      </c>
      <c r="B125" s="186" t="s">
        <v>116</v>
      </c>
      <c r="C125" s="31"/>
      <c r="D125" s="31"/>
      <c r="E125" s="31"/>
      <c r="F125" s="35">
        <v>44558.9</v>
      </c>
      <c r="G125" s="35">
        <v>44558.9</v>
      </c>
      <c r="H125" s="17">
        <f t="shared" si="29"/>
        <v>0</v>
      </c>
      <c r="I125" s="33">
        <v>0</v>
      </c>
      <c r="J125" s="10">
        <f t="shared" si="30"/>
        <v>0</v>
      </c>
      <c r="K125" s="35">
        <v>44558.9</v>
      </c>
      <c r="L125" s="19">
        <f t="shared" si="32"/>
        <v>0</v>
      </c>
      <c r="M125" s="33">
        <v>0</v>
      </c>
      <c r="N125" s="28">
        <f t="shared" si="27"/>
        <v>0</v>
      </c>
      <c r="O125" s="18">
        <f t="shared" si="28"/>
        <v>0</v>
      </c>
      <c r="P125" s="22">
        <f t="shared" si="28"/>
        <v>0</v>
      </c>
      <c r="Q125" s="71">
        <f t="shared" si="31"/>
        <v>0</v>
      </c>
      <c r="R125" s="77"/>
    </row>
    <row r="126" spans="1:21" ht="22.2" customHeight="1">
      <c r="A126" s="76">
        <v>6</v>
      </c>
      <c r="B126" s="186" t="s">
        <v>117</v>
      </c>
      <c r="C126" s="31"/>
      <c r="D126" s="31"/>
      <c r="E126" s="31"/>
      <c r="F126" s="35">
        <v>100820</v>
      </c>
      <c r="G126" s="35">
        <v>100820</v>
      </c>
      <c r="H126" s="17">
        <f t="shared" si="29"/>
        <v>0</v>
      </c>
      <c r="I126" s="33">
        <v>0</v>
      </c>
      <c r="J126" s="10">
        <f t="shared" si="30"/>
        <v>0</v>
      </c>
      <c r="K126" s="35">
        <v>100820</v>
      </c>
      <c r="L126" s="19">
        <f t="shared" si="32"/>
        <v>0</v>
      </c>
      <c r="M126" s="33">
        <v>0</v>
      </c>
      <c r="N126" s="28">
        <f t="shared" si="27"/>
        <v>0</v>
      </c>
      <c r="O126" s="18">
        <f t="shared" si="28"/>
        <v>0</v>
      </c>
      <c r="P126" s="22">
        <f t="shared" si="28"/>
        <v>0</v>
      </c>
      <c r="Q126" s="71">
        <f t="shared" si="31"/>
        <v>0</v>
      </c>
      <c r="R126" s="37"/>
    </row>
    <row r="127" spans="1:21" ht="22.2" customHeight="1">
      <c r="A127" s="76">
        <v>7</v>
      </c>
      <c r="B127" s="186" t="s">
        <v>118</v>
      </c>
      <c r="C127" s="31"/>
      <c r="D127" s="31"/>
      <c r="E127" s="31"/>
      <c r="F127" s="35">
        <v>152282.79999999999</v>
      </c>
      <c r="G127" s="35">
        <v>152282.79999999999</v>
      </c>
      <c r="H127" s="17">
        <f t="shared" si="29"/>
        <v>0</v>
      </c>
      <c r="I127" s="33">
        <v>0</v>
      </c>
      <c r="J127" s="10">
        <f t="shared" si="30"/>
        <v>0</v>
      </c>
      <c r="K127" s="35">
        <v>152282.79999999999</v>
      </c>
      <c r="L127" s="19">
        <f t="shared" si="32"/>
        <v>0</v>
      </c>
      <c r="M127" s="33">
        <v>0</v>
      </c>
      <c r="N127" s="28">
        <f t="shared" si="27"/>
        <v>0</v>
      </c>
      <c r="O127" s="18">
        <f t="shared" si="28"/>
        <v>0</v>
      </c>
      <c r="P127" s="22">
        <f>I127+M127</f>
        <v>0</v>
      </c>
      <c r="Q127" s="71">
        <f t="shared" si="31"/>
        <v>0</v>
      </c>
      <c r="R127" s="37"/>
    </row>
    <row r="128" spans="1:21" ht="22.2" customHeight="1">
      <c r="A128" s="76">
        <v>8</v>
      </c>
      <c r="B128" s="187" t="s">
        <v>119</v>
      </c>
      <c r="C128" s="138"/>
      <c r="D128" s="138"/>
      <c r="E128" s="138"/>
      <c r="F128" s="136">
        <v>40766.5</v>
      </c>
      <c r="G128" s="136">
        <v>40766.5</v>
      </c>
      <c r="H128" s="17">
        <f t="shared" si="29"/>
        <v>0</v>
      </c>
      <c r="I128" s="33">
        <v>0</v>
      </c>
      <c r="J128" s="10">
        <f t="shared" si="30"/>
        <v>0</v>
      </c>
      <c r="K128" s="136">
        <v>40895.199999999997</v>
      </c>
      <c r="L128" s="19">
        <f t="shared" si="32"/>
        <v>128.69999999999709</v>
      </c>
      <c r="M128" s="33">
        <v>137</v>
      </c>
      <c r="N128" s="28">
        <f t="shared" si="27"/>
        <v>1.0644910644910885</v>
      </c>
      <c r="O128" s="18">
        <f t="shared" si="28"/>
        <v>128.69999999999709</v>
      </c>
      <c r="P128" s="22">
        <f>I128+M128</f>
        <v>137</v>
      </c>
      <c r="Q128" s="71">
        <f t="shared" si="31"/>
        <v>0.93941605839413933</v>
      </c>
      <c r="R128" s="37"/>
    </row>
    <row r="129" spans="1:20" ht="22.2" customHeight="1">
      <c r="A129" s="76">
        <v>9</v>
      </c>
      <c r="B129" s="187" t="s">
        <v>120</v>
      </c>
      <c r="C129" s="138"/>
      <c r="D129" s="138"/>
      <c r="E129" s="138"/>
      <c r="F129" s="35">
        <v>33988</v>
      </c>
      <c r="G129" s="35">
        <v>33988</v>
      </c>
      <c r="H129" s="17">
        <f t="shared" si="29"/>
        <v>0</v>
      </c>
      <c r="I129" s="33">
        <v>0</v>
      </c>
      <c r="J129" s="10">
        <f t="shared" si="30"/>
        <v>0</v>
      </c>
      <c r="K129" s="35">
        <v>34200</v>
      </c>
      <c r="L129" s="19">
        <f t="shared" si="32"/>
        <v>212</v>
      </c>
      <c r="M129" s="33">
        <v>182.24</v>
      </c>
      <c r="N129" s="28">
        <f t="shared" si="27"/>
        <v>0.85962264150943402</v>
      </c>
      <c r="O129" s="18">
        <f t="shared" si="28"/>
        <v>212</v>
      </c>
      <c r="P129" s="22">
        <f t="shared" si="28"/>
        <v>182.24</v>
      </c>
      <c r="Q129" s="71">
        <f t="shared" si="31"/>
        <v>1.1633011413520631</v>
      </c>
      <c r="R129" s="37"/>
    </row>
    <row r="130" spans="1:20" ht="22.2" customHeight="1">
      <c r="A130" s="76">
        <v>10</v>
      </c>
      <c r="B130" s="186" t="s">
        <v>121</v>
      </c>
      <c r="C130" s="31"/>
      <c r="D130" s="31"/>
      <c r="E130" s="31"/>
      <c r="F130" s="35">
        <v>156864</v>
      </c>
      <c r="G130" s="35">
        <v>156864</v>
      </c>
      <c r="H130" s="17">
        <f t="shared" si="29"/>
        <v>0</v>
      </c>
      <c r="I130" s="33">
        <v>0</v>
      </c>
      <c r="J130" s="10">
        <f t="shared" si="30"/>
        <v>0</v>
      </c>
      <c r="K130" s="35">
        <v>156864</v>
      </c>
      <c r="L130" s="19">
        <f t="shared" si="32"/>
        <v>0</v>
      </c>
      <c r="M130" s="33">
        <v>0</v>
      </c>
      <c r="N130" s="28">
        <f t="shared" si="27"/>
        <v>0</v>
      </c>
      <c r="O130" s="18">
        <f t="shared" si="28"/>
        <v>0</v>
      </c>
      <c r="P130" s="22">
        <f t="shared" si="28"/>
        <v>0</v>
      </c>
      <c r="Q130" s="71">
        <f t="shared" si="31"/>
        <v>0</v>
      </c>
      <c r="R130" s="137"/>
    </row>
    <row r="131" spans="1:20" ht="23.4" customHeight="1">
      <c r="A131" s="76">
        <v>11</v>
      </c>
      <c r="B131" s="187" t="s">
        <v>122</v>
      </c>
      <c r="C131" s="138"/>
      <c r="D131" s="138"/>
      <c r="E131" s="138"/>
      <c r="F131" s="35">
        <v>36866</v>
      </c>
      <c r="G131" s="35">
        <v>36866</v>
      </c>
      <c r="H131" s="17">
        <f t="shared" si="29"/>
        <v>0</v>
      </c>
      <c r="I131" s="33">
        <v>0</v>
      </c>
      <c r="J131" s="10">
        <f t="shared" si="30"/>
        <v>0</v>
      </c>
      <c r="K131" s="35">
        <v>36866</v>
      </c>
      <c r="L131" s="19">
        <f t="shared" si="32"/>
        <v>0</v>
      </c>
      <c r="M131" s="33">
        <v>0</v>
      </c>
      <c r="N131" s="28">
        <f t="shared" si="27"/>
        <v>0</v>
      </c>
      <c r="O131" s="18">
        <f t="shared" si="28"/>
        <v>0</v>
      </c>
      <c r="P131" s="22">
        <f t="shared" si="28"/>
        <v>0</v>
      </c>
      <c r="Q131" s="71">
        <f t="shared" si="31"/>
        <v>0</v>
      </c>
      <c r="R131" s="37"/>
      <c r="T131" s="38"/>
    </row>
    <row r="132" spans="1:20" ht="22.2" customHeight="1">
      <c r="A132" s="76">
        <v>12</v>
      </c>
      <c r="B132" s="187" t="s">
        <v>123</v>
      </c>
      <c r="C132" s="138"/>
      <c r="D132" s="138"/>
      <c r="E132" s="138"/>
      <c r="F132" s="35">
        <v>16963</v>
      </c>
      <c r="G132" s="35">
        <v>16963</v>
      </c>
      <c r="H132" s="17">
        <f t="shared" si="29"/>
        <v>0</v>
      </c>
      <c r="I132" s="33">
        <v>0</v>
      </c>
      <c r="J132" s="78">
        <f t="shared" si="30"/>
        <v>0</v>
      </c>
      <c r="K132" s="35">
        <v>16963</v>
      </c>
      <c r="L132" s="19">
        <f t="shared" si="32"/>
        <v>0</v>
      </c>
      <c r="M132" s="33">
        <v>0</v>
      </c>
      <c r="N132" s="28">
        <f t="shared" si="27"/>
        <v>0</v>
      </c>
      <c r="O132" s="18">
        <f t="shared" si="28"/>
        <v>0</v>
      </c>
      <c r="P132" s="79">
        <f t="shared" si="28"/>
        <v>0</v>
      </c>
      <c r="Q132" s="71">
        <f t="shared" si="31"/>
        <v>0</v>
      </c>
      <c r="R132" s="37"/>
      <c r="T132" s="45"/>
    </row>
    <row r="133" spans="1:20" ht="21.6" customHeight="1">
      <c r="A133" s="76">
        <v>13</v>
      </c>
      <c r="B133" s="171" t="s">
        <v>124</v>
      </c>
      <c r="C133" s="138"/>
      <c r="D133" s="138"/>
      <c r="E133" s="138"/>
      <c r="F133" s="35">
        <v>890.2</v>
      </c>
      <c r="G133" s="35">
        <v>890.2</v>
      </c>
      <c r="H133" s="17">
        <f t="shared" si="29"/>
        <v>0</v>
      </c>
      <c r="I133" s="35">
        <v>0</v>
      </c>
      <c r="J133" s="78">
        <f t="shared" si="30"/>
        <v>0</v>
      </c>
      <c r="K133" s="35">
        <v>890.2</v>
      </c>
      <c r="L133" s="19">
        <f t="shared" si="32"/>
        <v>0</v>
      </c>
      <c r="M133" s="35">
        <v>0</v>
      </c>
      <c r="N133" s="28">
        <f t="shared" si="27"/>
        <v>0</v>
      </c>
      <c r="O133" s="18">
        <f t="shared" si="28"/>
        <v>0</v>
      </c>
      <c r="P133" s="79">
        <f t="shared" si="28"/>
        <v>0</v>
      </c>
      <c r="Q133" s="71">
        <f t="shared" si="31"/>
        <v>0</v>
      </c>
      <c r="R133" s="37"/>
      <c r="T133" s="45"/>
    </row>
    <row r="134" spans="1:20" ht="21.6" customHeight="1">
      <c r="A134" s="76">
        <v>14</v>
      </c>
      <c r="B134" s="171" t="s">
        <v>174</v>
      </c>
      <c r="C134" s="138"/>
      <c r="D134" s="138"/>
      <c r="E134" s="138"/>
      <c r="F134" s="35">
        <v>3066</v>
      </c>
      <c r="G134" s="35">
        <v>3066</v>
      </c>
      <c r="H134" s="17">
        <f t="shared" si="29"/>
        <v>0</v>
      </c>
      <c r="I134" s="35">
        <v>0</v>
      </c>
      <c r="J134" s="78">
        <f t="shared" si="30"/>
        <v>0</v>
      </c>
      <c r="K134" s="35">
        <v>3503</v>
      </c>
      <c r="L134" s="19">
        <f t="shared" si="32"/>
        <v>437</v>
      </c>
      <c r="M134" s="141">
        <v>49.64</v>
      </c>
      <c r="N134" s="28">
        <f t="shared" si="27"/>
        <v>0.11359267734553775</v>
      </c>
      <c r="O134" s="18">
        <f t="shared" si="28"/>
        <v>437</v>
      </c>
      <c r="P134" s="79">
        <f t="shared" si="28"/>
        <v>49.64</v>
      </c>
      <c r="Q134" s="71">
        <f t="shared" si="31"/>
        <v>8.8033843674456076</v>
      </c>
      <c r="R134" s="37"/>
      <c r="T134" s="45"/>
    </row>
    <row r="135" spans="1:20" ht="25.2" customHeight="1">
      <c r="A135" s="76">
        <v>15</v>
      </c>
      <c r="B135" s="187" t="s">
        <v>127</v>
      </c>
      <c r="C135" s="138"/>
      <c r="D135" s="138"/>
      <c r="E135" s="138"/>
      <c r="F135" s="35">
        <v>0</v>
      </c>
      <c r="G135" s="35">
        <v>0</v>
      </c>
      <c r="H135" s="17">
        <f t="shared" si="29"/>
        <v>0</v>
      </c>
      <c r="I135" s="33">
        <v>0</v>
      </c>
      <c r="J135" s="78">
        <f t="shared" si="30"/>
        <v>0</v>
      </c>
      <c r="K135" s="35">
        <v>0</v>
      </c>
      <c r="L135" s="19">
        <f t="shared" si="32"/>
        <v>0</v>
      </c>
      <c r="M135" s="33">
        <v>0</v>
      </c>
      <c r="N135" s="28">
        <f t="shared" si="27"/>
        <v>0</v>
      </c>
      <c r="O135" s="18">
        <f t="shared" si="28"/>
        <v>0</v>
      </c>
      <c r="P135" s="79">
        <f t="shared" si="28"/>
        <v>0</v>
      </c>
      <c r="Q135" s="71">
        <f t="shared" si="31"/>
        <v>0</v>
      </c>
      <c r="R135" s="77"/>
      <c r="T135" s="45"/>
    </row>
    <row r="136" spans="1:20" ht="25.2" customHeight="1">
      <c r="A136" s="76">
        <v>16</v>
      </c>
      <c r="B136" s="187" t="s">
        <v>183</v>
      </c>
      <c r="C136" s="138"/>
      <c r="D136" s="138"/>
      <c r="E136" s="138"/>
      <c r="F136" s="35">
        <v>295805</v>
      </c>
      <c r="G136" s="35">
        <v>295805</v>
      </c>
      <c r="H136" s="17">
        <f t="shared" si="29"/>
        <v>0</v>
      </c>
      <c r="I136" s="33">
        <v>0</v>
      </c>
      <c r="J136" s="78">
        <f t="shared" si="30"/>
        <v>0</v>
      </c>
      <c r="K136" s="35">
        <v>295805</v>
      </c>
      <c r="L136" s="19">
        <f t="shared" si="32"/>
        <v>0</v>
      </c>
      <c r="M136" s="33">
        <v>0</v>
      </c>
      <c r="N136" s="28">
        <f t="shared" si="27"/>
        <v>0</v>
      </c>
      <c r="O136" s="18">
        <f t="shared" si="28"/>
        <v>0</v>
      </c>
      <c r="P136" s="79">
        <f t="shared" si="28"/>
        <v>0</v>
      </c>
      <c r="Q136" s="71">
        <f t="shared" si="31"/>
        <v>0</v>
      </c>
      <c r="R136" s="77"/>
      <c r="T136" s="45"/>
    </row>
    <row r="137" spans="1:20" ht="25.2" customHeight="1">
      <c r="A137" s="76">
        <v>17</v>
      </c>
      <c r="B137" s="187" t="s">
        <v>184</v>
      </c>
      <c r="C137" s="138"/>
      <c r="D137" s="138"/>
      <c r="E137" s="138"/>
      <c r="F137" s="35">
        <v>77139.3</v>
      </c>
      <c r="G137" s="35">
        <v>77139.3</v>
      </c>
      <c r="H137" s="17">
        <f t="shared" si="29"/>
        <v>0</v>
      </c>
      <c r="I137" s="33">
        <v>0</v>
      </c>
      <c r="J137" s="78">
        <f t="shared" si="30"/>
        <v>0</v>
      </c>
      <c r="K137" s="35">
        <v>77139.3</v>
      </c>
      <c r="L137" s="19">
        <f t="shared" si="32"/>
        <v>0</v>
      </c>
      <c r="M137" s="33">
        <v>0</v>
      </c>
      <c r="N137" s="28">
        <f t="shared" si="27"/>
        <v>0</v>
      </c>
      <c r="O137" s="18">
        <f t="shared" si="28"/>
        <v>0</v>
      </c>
      <c r="P137" s="79">
        <f t="shared" si="28"/>
        <v>0</v>
      </c>
      <c r="Q137" s="71">
        <f t="shared" si="31"/>
        <v>0</v>
      </c>
      <c r="R137" s="77"/>
      <c r="T137" s="45"/>
    </row>
    <row r="138" spans="1:20" ht="25.2" customHeight="1">
      <c r="A138" s="76">
        <v>18</v>
      </c>
      <c r="B138" s="187" t="s">
        <v>185</v>
      </c>
      <c r="C138" s="138"/>
      <c r="D138" s="138"/>
      <c r="E138" s="138"/>
      <c r="F138" s="35">
        <v>113495.8</v>
      </c>
      <c r="G138" s="35">
        <v>113495.8</v>
      </c>
      <c r="H138" s="17">
        <f t="shared" si="29"/>
        <v>0</v>
      </c>
      <c r="I138" s="33">
        <v>0</v>
      </c>
      <c r="J138" s="78">
        <f t="shared" si="30"/>
        <v>0</v>
      </c>
      <c r="K138" s="35">
        <v>113495.8</v>
      </c>
      <c r="L138" s="19">
        <f t="shared" si="32"/>
        <v>0</v>
      </c>
      <c r="M138" s="33">
        <v>0</v>
      </c>
      <c r="N138" s="28">
        <f t="shared" si="27"/>
        <v>0</v>
      </c>
      <c r="O138" s="18">
        <f t="shared" si="28"/>
        <v>0</v>
      </c>
      <c r="P138" s="79">
        <f t="shared" si="28"/>
        <v>0</v>
      </c>
      <c r="Q138" s="71">
        <f t="shared" si="31"/>
        <v>0</v>
      </c>
      <c r="R138" s="77"/>
      <c r="T138" s="45"/>
    </row>
    <row r="139" spans="1:20" ht="25.2" customHeight="1">
      <c r="A139" s="76">
        <v>19</v>
      </c>
      <c r="B139" s="187" t="s">
        <v>187</v>
      </c>
      <c r="C139" s="138"/>
      <c r="D139" s="138"/>
      <c r="E139" s="138"/>
      <c r="F139" s="35">
        <v>59801.4</v>
      </c>
      <c r="G139" s="35">
        <v>59801.4</v>
      </c>
      <c r="H139" s="35">
        <f t="shared" si="29"/>
        <v>0</v>
      </c>
      <c r="I139" s="33">
        <v>0</v>
      </c>
      <c r="J139" s="78">
        <f t="shared" si="30"/>
        <v>0</v>
      </c>
      <c r="K139" s="35">
        <v>59801.4</v>
      </c>
      <c r="L139" s="56">
        <f t="shared" si="32"/>
        <v>0</v>
      </c>
      <c r="M139" s="33">
        <v>0</v>
      </c>
      <c r="N139" s="28">
        <f t="shared" si="27"/>
        <v>0</v>
      </c>
      <c r="O139" s="84">
        <f t="shared" si="28"/>
        <v>0</v>
      </c>
      <c r="P139" s="79">
        <f t="shared" si="28"/>
        <v>0</v>
      </c>
      <c r="Q139" s="34">
        <f t="shared" si="31"/>
        <v>0</v>
      </c>
      <c r="R139" s="77"/>
      <c r="T139" s="45"/>
    </row>
    <row r="140" spans="1:20" ht="25.2" customHeight="1">
      <c r="A140" s="76">
        <v>20</v>
      </c>
      <c r="B140" s="187" t="s">
        <v>188</v>
      </c>
      <c r="C140" s="138"/>
      <c r="D140" s="138"/>
      <c r="E140" s="138"/>
      <c r="F140" s="35">
        <v>485627</v>
      </c>
      <c r="G140" s="35">
        <v>485627</v>
      </c>
      <c r="H140" s="35">
        <f t="shared" si="29"/>
        <v>0</v>
      </c>
      <c r="I140" s="33">
        <v>0</v>
      </c>
      <c r="J140" s="78">
        <f t="shared" si="30"/>
        <v>0</v>
      </c>
      <c r="K140" s="35">
        <v>485627</v>
      </c>
      <c r="L140" s="56">
        <f t="shared" si="32"/>
        <v>0</v>
      </c>
      <c r="M140" s="33">
        <v>0</v>
      </c>
      <c r="N140" s="28">
        <f t="shared" si="27"/>
        <v>0</v>
      </c>
      <c r="O140" s="84">
        <f t="shared" si="28"/>
        <v>0</v>
      </c>
      <c r="P140" s="79">
        <f t="shared" si="28"/>
        <v>0</v>
      </c>
      <c r="Q140" s="34">
        <f t="shared" si="31"/>
        <v>0</v>
      </c>
      <c r="R140" s="77"/>
      <c r="T140" s="45"/>
    </row>
    <row r="141" spans="1:20" ht="25.2" customHeight="1">
      <c r="A141" s="76">
        <v>21</v>
      </c>
      <c r="B141" s="187" t="s">
        <v>189</v>
      </c>
      <c r="C141" s="138"/>
      <c r="D141" s="138"/>
      <c r="E141" s="138"/>
      <c r="F141" s="35">
        <v>46458.2</v>
      </c>
      <c r="G141" s="35">
        <v>46458.2</v>
      </c>
      <c r="H141" s="35">
        <f t="shared" si="29"/>
        <v>0</v>
      </c>
      <c r="I141" s="33">
        <v>0</v>
      </c>
      <c r="J141" s="78">
        <f t="shared" si="30"/>
        <v>0</v>
      </c>
      <c r="K141" s="35">
        <v>46458.2</v>
      </c>
      <c r="L141" s="56">
        <f t="shared" si="32"/>
        <v>0</v>
      </c>
      <c r="M141" s="33">
        <v>0</v>
      </c>
      <c r="N141" s="28">
        <f t="shared" si="27"/>
        <v>0</v>
      </c>
      <c r="O141" s="84">
        <f t="shared" si="28"/>
        <v>0</v>
      </c>
      <c r="P141" s="79">
        <f t="shared" si="28"/>
        <v>0</v>
      </c>
      <c r="Q141" s="34">
        <f t="shared" si="31"/>
        <v>0</v>
      </c>
      <c r="R141" s="77"/>
      <c r="T141" s="45"/>
    </row>
    <row r="142" spans="1:20" ht="25.2" customHeight="1">
      <c r="A142" s="144">
        <v>22</v>
      </c>
      <c r="B142" s="187" t="s">
        <v>213</v>
      </c>
      <c r="C142" s="138"/>
      <c r="D142" s="138"/>
      <c r="E142" s="138"/>
      <c r="F142" s="35">
        <v>99823.4</v>
      </c>
      <c r="G142" s="35">
        <v>99823.4</v>
      </c>
      <c r="H142" s="35">
        <f t="shared" si="29"/>
        <v>0</v>
      </c>
      <c r="I142" s="33">
        <v>0</v>
      </c>
      <c r="J142" s="78">
        <f t="shared" si="30"/>
        <v>0</v>
      </c>
      <c r="K142" s="35">
        <v>99823.4</v>
      </c>
      <c r="L142" s="35">
        <v>99823.4</v>
      </c>
      <c r="M142" s="33">
        <v>0</v>
      </c>
      <c r="N142" s="28">
        <f t="shared" si="27"/>
        <v>0</v>
      </c>
      <c r="O142" s="84">
        <f t="shared" si="28"/>
        <v>99823.4</v>
      </c>
      <c r="P142" s="79">
        <f t="shared" si="28"/>
        <v>0</v>
      </c>
      <c r="Q142" s="34">
        <f t="shared" si="31"/>
        <v>0</v>
      </c>
      <c r="R142" s="77"/>
      <c r="T142" s="45"/>
    </row>
    <row r="143" spans="1:20" ht="18">
      <c r="A143" s="196" t="s">
        <v>28</v>
      </c>
      <c r="B143" s="197"/>
      <c r="C143" s="175"/>
      <c r="D143" s="175"/>
      <c r="E143" s="175"/>
      <c r="F143" s="123"/>
      <c r="G143" s="123"/>
      <c r="H143" s="40">
        <f>SUM(H121:H142)</f>
        <v>251</v>
      </c>
      <c r="I143" s="40">
        <f>SUM(I121:I142)</f>
        <v>44.99</v>
      </c>
      <c r="J143" s="39"/>
      <c r="K143" s="39"/>
      <c r="L143" s="40">
        <f>SUM(L121:L142)</f>
        <v>100601.09999999999</v>
      </c>
      <c r="M143" s="40">
        <f>SUM(M121:M142)</f>
        <v>368.88</v>
      </c>
      <c r="N143" s="145"/>
      <c r="O143" s="146">
        <f>SUM(O121:O142)</f>
        <v>100852.09999999999</v>
      </c>
      <c r="P143" s="147">
        <f>SUM(P121:P142)</f>
        <v>413.87</v>
      </c>
      <c r="Q143" s="34"/>
      <c r="R143" s="37"/>
      <c r="S143" s="72"/>
    </row>
    <row r="144" spans="1:20" ht="21.6" thickBot="1">
      <c r="A144" s="148"/>
      <c r="B144" s="149"/>
      <c r="C144" s="149"/>
      <c r="D144" s="149"/>
      <c r="E144" s="149"/>
      <c r="F144" s="149"/>
      <c r="G144" s="149"/>
      <c r="H144" s="149" t="s">
        <v>139</v>
      </c>
      <c r="I144" s="150">
        <f>I19+I25+I34+I40+I47+J117+I143</f>
        <v>9934.08</v>
      </c>
      <c r="J144" s="149"/>
      <c r="K144" s="149"/>
      <c r="L144" s="151" t="s">
        <v>140</v>
      </c>
      <c r="M144" s="150">
        <f>M19+M25+M34+M40+M47+P117+M143</f>
        <v>7802.6699999999992</v>
      </c>
      <c r="N144" s="198" t="s">
        <v>141</v>
      </c>
      <c r="O144" s="198"/>
      <c r="P144" s="198"/>
      <c r="Q144" s="198"/>
      <c r="R144" s="152"/>
    </row>
    <row r="145" spans="1:19" ht="15">
      <c r="B145" s="153"/>
      <c r="C145" s="153"/>
      <c r="D145" s="153"/>
      <c r="E145" s="153"/>
      <c r="F145" s="152"/>
      <c r="G145" s="152"/>
      <c r="H145" s="152"/>
      <c r="I145" s="152"/>
      <c r="J145" s="152"/>
      <c r="K145" s="152"/>
      <c r="L145" s="152"/>
      <c r="M145" s="154"/>
      <c r="N145" s="155" t="s">
        <v>142</v>
      </c>
      <c r="O145" s="199">
        <f>Q2</f>
        <v>46227</v>
      </c>
      <c r="P145" s="200"/>
      <c r="Q145" s="156"/>
      <c r="R145" s="157">
        <f>P143-Q151</f>
        <v>276.87</v>
      </c>
    </row>
    <row r="146" spans="1:19" ht="18">
      <c r="B146" s="158" t="s">
        <v>143</v>
      </c>
      <c r="C146" s="158"/>
      <c r="D146" s="158"/>
      <c r="E146" s="158"/>
      <c r="F146" s="159">
        <f>I144</f>
        <v>9934.08</v>
      </c>
      <c r="G146" s="160"/>
      <c r="H146" s="160"/>
      <c r="I146" s="159"/>
      <c r="J146" s="160"/>
      <c r="K146" s="160"/>
      <c r="L146" s="160"/>
      <c r="M146" s="45"/>
      <c r="N146" s="188" t="s">
        <v>144</v>
      </c>
      <c r="O146" s="189"/>
      <c r="P146" s="190"/>
      <c r="Q146" s="161">
        <f>S117</f>
        <v>8448.1299999999992</v>
      </c>
      <c r="R146" s="152"/>
    </row>
    <row r="147" spans="1:19" ht="18">
      <c r="B147" s="158" t="s">
        <v>145</v>
      </c>
      <c r="C147" s="158"/>
      <c r="D147" s="158"/>
      <c r="E147" s="158"/>
      <c r="F147" s="159">
        <f>M144</f>
        <v>7802.6699999999992</v>
      </c>
      <c r="G147" s="160"/>
      <c r="H147" s="160"/>
      <c r="I147" s="159"/>
      <c r="J147" s="159"/>
      <c r="K147" s="160"/>
      <c r="L147" s="160"/>
      <c r="M147" s="45"/>
      <c r="N147" s="188" t="s">
        <v>146</v>
      </c>
      <c r="O147" s="189"/>
      <c r="P147" s="190"/>
      <c r="Q147" s="161">
        <f>P19</f>
        <v>5278.12</v>
      </c>
      <c r="R147" s="152"/>
    </row>
    <row r="148" spans="1:19" ht="18">
      <c r="B148" s="158" t="s">
        <v>28</v>
      </c>
      <c r="C148" s="158"/>
      <c r="D148" s="158"/>
      <c r="E148" s="158"/>
      <c r="F148" s="159">
        <f>F146+F147</f>
        <v>17736.75</v>
      </c>
      <c r="G148" s="160"/>
      <c r="H148" s="160"/>
      <c r="I148" s="160"/>
      <c r="J148" s="159"/>
      <c r="K148" s="160"/>
      <c r="L148" s="160"/>
      <c r="N148" s="188" t="s">
        <v>147</v>
      </c>
      <c r="O148" s="189"/>
      <c r="P148" s="190"/>
      <c r="Q148" s="161">
        <f>P34</f>
        <v>1784.22</v>
      </c>
    </row>
    <row r="149" spans="1:19" ht="18">
      <c r="F149" s="45"/>
      <c r="G149" s="45"/>
      <c r="H149" s="45"/>
      <c r="I149" s="45"/>
      <c r="J149" s="45"/>
      <c r="K149" s="160" t="s">
        <v>94</v>
      </c>
      <c r="L149" s="45"/>
      <c r="N149" s="188" t="s">
        <v>148</v>
      </c>
      <c r="O149" s="189"/>
      <c r="P149" s="190"/>
      <c r="Q149" s="161">
        <f>P40</f>
        <v>578.53</v>
      </c>
    </row>
    <row r="150" spans="1:19" ht="25.2" customHeight="1">
      <c r="B150" s="162" t="s">
        <v>149</v>
      </c>
      <c r="C150" s="162"/>
      <c r="D150" s="162"/>
      <c r="E150" s="162"/>
      <c r="F150" s="193"/>
      <c r="G150" s="193"/>
      <c r="H150" s="193"/>
      <c r="I150" s="193"/>
      <c r="J150" s="193"/>
      <c r="K150" s="193"/>
      <c r="L150" s="193"/>
      <c r="M150" s="193"/>
      <c r="N150" s="188" t="s">
        <v>150</v>
      </c>
      <c r="O150" s="189"/>
      <c r="P150" s="190"/>
      <c r="Q150" s="161">
        <f>P47</f>
        <v>794.78</v>
      </c>
    </row>
    <row r="151" spans="1:19" ht="18">
      <c r="F151" s="45"/>
      <c r="G151" s="45"/>
      <c r="H151" s="26"/>
      <c r="I151" s="26"/>
      <c r="J151" s="45"/>
      <c r="K151" s="160"/>
      <c r="L151" s="45"/>
      <c r="N151" s="188" t="s">
        <v>151</v>
      </c>
      <c r="O151" s="189"/>
      <c r="P151" s="190"/>
      <c r="Q151" s="161">
        <f>P125+P126+P127+P128</f>
        <v>137</v>
      </c>
    </row>
    <row r="152" spans="1:19" ht="18">
      <c r="H152" s="38"/>
      <c r="I152" s="45"/>
      <c r="J152" s="45"/>
      <c r="K152" s="160"/>
      <c r="L152" s="45"/>
      <c r="N152" s="188" t="s">
        <v>152</v>
      </c>
      <c r="O152" s="189"/>
      <c r="P152" s="190"/>
      <c r="Q152" s="161">
        <f>R145</f>
        <v>276.87</v>
      </c>
    </row>
    <row r="153" spans="1:19" ht="18.600000000000001" thickBot="1">
      <c r="F153" s="38"/>
      <c r="G153" s="38"/>
      <c r="J153" s="163"/>
      <c r="K153" s="160"/>
      <c r="N153" s="188" t="s">
        <v>153</v>
      </c>
      <c r="O153" s="189"/>
      <c r="P153" s="190"/>
      <c r="Q153" s="164">
        <f>P25</f>
        <v>439.1</v>
      </c>
      <c r="S153" s="38"/>
    </row>
    <row r="154" spans="1:19" ht="16.8" thickBot="1">
      <c r="F154" s="38"/>
      <c r="G154" s="38"/>
      <c r="H154" s="38"/>
      <c r="I154" s="38"/>
      <c r="K154" s="38"/>
      <c r="N154" s="191" t="s">
        <v>154</v>
      </c>
      <c r="O154" s="192"/>
      <c r="P154" s="192"/>
      <c r="Q154" s="165">
        <f>SUM(Q146:Q153)</f>
        <v>17736.749999999996</v>
      </c>
    </row>
    <row r="155" spans="1:19">
      <c r="F155" s="38"/>
      <c r="G155" s="38"/>
      <c r="H155" s="159"/>
      <c r="I155" s="159"/>
      <c r="K155" s="38"/>
      <c r="L155" s="38"/>
    </row>
    <row r="156" spans="1:19">
      <c r="F156" s="38"/>
      <c r="G156" s="38"/>
      <c r="H156" s="38"/>
      <c r="I156" s="38"/>
      <c r="K156" s="160"/>
    </row>
    <row r="157" spans="1:19">
      <c r="A157" s="159"/>
      <c r="B157" s="159"/>
      <c r="C157" s="159"/>
      <c r="D157" s="159"/>
      <c r="E157" s="159"/>
      <c r="F157" s="159"/>
      <c r="G157" s="159"/>
      <c r="H157" s="159"/>
      <c r="I157" s="159"/>
      <c r="J157" s="38"/>
      <c r="K157" s="38"/>
      <c r="Q157" s="45"/>
    </row>
    <row r="158" spans="1:19">
      <c r="A158" s="159"/>
    </row>
  </sheetData>
  <mergeCells count="72">
    <mergeCell ref="N153:P153"/>
    <mergeCell ref="N154:P154"/>
    <mergeCell ref="N148:P148"/>
    <mergeCell ref="N149:P149"/>
    <mergeCell ref="F150:M150"/>
    <mergeCell ref="N150:P150"/>
    <mergeCell ref="N151:P151"/>
    <mergeCell ref="N152:P152"/>
    <mergeCell ref="N147:P147"/>
    <mergeCell ref="R49:R50"/>
    <mergeCell ref="S49:S50"/>
    <mergeCell ref="T49:T50"/>
    <mergeCell ref="U49:U50"/>
    <mergeCell ref="A118:O118"/>
    <mergeCell ref="A119:A120"/>
    <mergeCell ref="B119:B120"/>
    <mergeCell ref="F119:J119"/>
    <mergeCell ref="K119:N119"/>
    <mergeCell ref="P119:P120"/>
    <mergeCell ref="Q119:Q120"/>
    <mergeCell ref="A143:B143"/>
    <mergeCell ref="N144:Q144"/>
    <mergeCell ref="O145:P145"/>
    <mergeCell ref="N146:P146"/>
    <mergeCell ref="P42:P43"/>
    <mergeCell ref="Q42:Q43"/>
    <mergeCell ref="A47:B47"/>
    <mergeCell ref="A48:O48"/>
    <mergeCell ref="A49:A50"/>
    <mergeCell ref="B49:B50"/>
    <mergeCell ref="F49:K49"/>
    <mergeCell ref="L49:Q49"/>
    <mergeCell ref="A40:B40"/>
    <mergeCell ref="A41:O41"/>
    <mergeCell ref="A42:A43"/>
    <mergeCell ref="B42:B43"/>
    <mergeCell ref="F42:J42"/>
    <mergeCell ref="K42:N42"/>
    <mergeCell ref="P27:P28"/>
    <mergeCell ref="Q27:Q28"/>
    <mergeCell ref="A34:B34"/>
    <mergeCell ref="A35:O35"/>
    <mergeCell ref="A36:A37"/>
    <mergeCell ref="B36:B37"/>
    <mergeCell ref="F36:J36"/>
    <mergeCell ref="K36:N36"/>
    <mergeCell ref="P36:P37"/>
    <mergeCell ref="Q36:Q37"/>
    <mergeCell ref="A25:B25"/>
    <mergeCell ref="A26:O26"/>
    <mergeCell ref="A27:A28"/>
    <mergeCell ref="B27:B28"/>
    <mergeCell ref="F27:J27"/>
    <mergeCell ref="K27:N27"/>
    <mergeCell ref="R3:R4"/>
    <mergeCell ref="S3:S4"/>
    <mergeCell ref="A19:B19"/>
    <mergeCell ref="A20:O20"/>
    <mergeCell ref="A21:A22"/>
    <mergeCell ref="B21:B22"/>
    <mergeCell ref="F21:J21"/>
    <mergeCell ref="K21:N21"/>
    <mergeCell ref="P21:P22"/>
    <mergeCell ref="Q21:Q22"/>
    <mergeCell ref="A1:Q1"/>
    <mergeCell ref="A2:O2"/>
    <mergeCell ref="A3:A4"/>
    <mergeCell ref="B3:B4"/>
    <mergeCell ref="F3:J3"/>
    <mergeCell ref="K3:O3"/>
    <mergeCell ref="P3:P4"/>
    <mergeCell ref="Q3:Q4"/>
  </mergeCells>
  <conditionalFormatting sqref="Q7:Q20 Q23:Q24 Q29:Q33 Q38:Q39 Q44:Q46">
    <cfRule type="cellIs" dxfId="5" priority="2" operator="greaterThan">
      <formula>40</formula>
    </cfRule>
  </conditionalFormatting>
  <conditionalFormatting sqref="T51:T117">
    <cfRule type="cellIs" dxfId="4" priority="1" operator="lessThan">
      <formula>0.5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21DDA-296D-4403-A3AD-1222861660D3}">
  <dimension ref="A1:AD158"/>
  <sheetViews>
    <sheetView zoomScale="74" zoomScaleNormal="74" workbookViewId="0">
      <pane ySplit="1" topLeftCell="A2" activePane="bottomLeft" state="frozen"/>
      <selection pane="bottomLeft" activeCell="I13" sqref="I13"/>
    </sheetView>
  </sheetViews>
  <sheetFormatPr defaultColWidth="9" defaultRowHeight="14.4"/>
  <cols>
    <col min="1" max="1" width="8.5546875" customWidth="1"/>
    <col min="2" max="2" width="29.44140625" bestFit="1" customWidth="1"/>
    <col min="3" max="3" width="18.88671875" customWidth="1"/>
    <col min="4" max="4" width="17.109375" customWidth="1"/>
    <col min="5" max="5" width="18.88671875" customWidth="1"/>
    <col min="6" max="6" width="11.6640625" customWidth="1"/>
    <col min="7" max="7" width="11.21875" customWidth="1"/>
    <col min="8" max="8" width="9.77734375" customWidth="1"/>
    <col min="9" max="9" width="13.6640625" customWidth="1"/>
    <col min="10" max="10" width="10" customWidth="1"/>
    <col min="11" max="11" width="9.77734375" customWidth="1"/>
    <col min="12" max="12" width="12.77734375" bestFit="1" customWidth="1"/>
    <col min="13" max="13" width="10.6640625" bestFit="1" customWidth="1"/>
    <col min="14" max="14" width="15.77734375" customWidth="1"/>
    <col min="15" max="15" width="10.77734375" customWidth="1"/>
    <col min="16" max="16" width="12.5546875" customWidth="1"/>
    <col min="17" max="17" width="17.88671875" customWidth="1"/>
    <col min="18" max="18" width="13.44140625" customWidth="1"/>
    <col min="19" max="19" width="17" customWidth="1"/>
    <col min="20" max="20" width="11.109375" bestFit="1" customWidth="1"/>
    <col min="22" max="22" width="9.21875" bestFit="1" customWidth="1"/>
    <col min="23" max="23" width="8.21875" bestFit="1" customWidth="1"/>
    <col min="24" max="25" width="11.21875" customWidth="1"/>
  </cols>
  <sheetData>
    <row r="1" spans="1:25" ht="18.600000000000001" thickBot="1">
      <c r="A1" s="249" t="s">
        <v>0</v>
      </c>
      <c r="B1" s="249"/>
      <c r="C1" s="249"/>
      <c r="D1" s="249"/>
      <c r="E1" s="249"/>
      <c r="F1" s="249"/>
      <c r="G1" s="249"/>
      <c r="H1" s="249"/>
      <c r="I1" s="249"/>
      <c r="J1" s="249"/>
      <c r="K1" s="249"/>
      <c r="L1" s="249"/>
      <c r="M1" s="249"/>
      <c r="N1" s="249"/>
      <c r="O1" s="249"/>
      <c r="P1" s="249"/>
      <c r="Q1" s="249"/>
      <c r="R1" s="1"/>
      <c r="Y1" s="2"/>
    </row>
    <row r="2" spans="1:25" ht="19.8" customHeight="1" thickBot="1">
      <c r="A2" s="250" t="s">
        <v>1</v>
      </c>
      <c r="B2" s="251"/>
      <c r="C2" s="252"/>
      <c r="D2" s="252"/>
      <c r="E2" s="252"/>
      <c r="F2" s="252"/>
      <c r="G2" s="252"/>
      <c r="H2" s="252"/>
      <c r="I2" s="252"/>
      <c r="J2" s="252"/>
      <c r="K2" s="252"/>
      <c r="L2" s="252"/>
      <c r="M2" s="252"/>
      <c r="N2" s="252"/>
      <c r="O2" s="251"/>
      <c r="P2" s="3" t="s">
        <v>2</v>
      </c>
      <c r="Q2" s="4">
        <v>46228</v>
      </c>
      <c r="R2" s="1"/>
    </row>
    <row r="3" spans="1:25" ht="18" customHeight="1">
      <c r="A3" s="209" t="s">
        <v>3</v>
      </c>
      <c r="B3" s="211" t="s">
        <v>4</v>
      </c>
      <c r="C3" s="174"/>
      <c r="D3" s="174"/>
      <c r="E3" s="174"/>
      <c r="F3" s="213" t="s">
        <v>5</v>
      </c>
      <c r="G3" s="214"/>
      <c r="H3" s="214"/>
      <c r="I3" s="214"/>
      <c r="J3" s="215"/>
      <c r="K3" s="253" t="s">
        <v>6</v>
      </c>
      <c r="L3" s="254"/>
      <c r="M3" s="254"/>
      <c r="N3" s="254"/>
      <c r="O3" s="255"/>
      <c r="P3" s="219" t="s">
        <v>7</v>
      </c>
      <c r="Q3" s="194" t="s">
        <v>8</v>
      </c>
      <c r="R3" s="243" t="s">
        <v>9</v>
      </c>
      <c r="S3" s="222" t="s">
        <v>10</v>
      </c>
    </row>
    <row r="4" spans="1:25" ht="22.8" customHeight="1">
      <c r="A4" s="247"/>
      <c r="B4" s="248"/>
      <c r="C4" s="183" t="s">
        <v>190</v>
      </c>
      <c r="D4" s="183" t="s">
        <v>191</v>
      </c>
      <c r="E4" s="183" t="s">
        <v>192</v>
      </c>
      <c r="F4" s="6" t="s">
        <v>11</v>
      </c>
      <c r="G4" s="6" t="s">
        <v>12</v>
      </c>
      <c r="H4" s="6" t="s">
        <v>13</v>
      </c>
      <c r="I4" s="6" t="s">
        <v>14</v>
      </c>
      <c r="J4" s="6" t="s">
        <v>8</v>
      </c>
      <c r="K4" s="6" t="s">
        <v>12</v>
      </c>
      <c r="L4" s="6" t="s">
        <v>13</v>
      </c>
      <c r="M4" s="6" t="s">
        <v>14</v>
      </c>
      <c r="N4" s="7" t="s">
        <v>8</v>
      </c>
      <c r="O4" s="8" t="s">
        <v>15</v>
      </c>
      <c r="P4" s="236"/>
      <c r="Q4" s="237"/>
      <c r="R4" s="248"/>
      <c r="S4" s="243"/>
    </row>
    <row r="5" spans="1:25" ht="22.8" customHeight="1">
      <c r="A5" s="5">
        <v>1</v>
      </c>
      <c r="B5" s="9" t="s">
        <v>175</v>
      </c>
      <c r="C5" s="9" t="s">
        <v>193</v>
      </c>
      <c r="D5" s="9" t="s">
        <v>194</v>
      </c>
      <c r="E5" s="9" t="s">
        <v>214</v>
      </c>
      <c r="F5" s="2">
        <v>32140.799999999999</v>
      </c>
      <c r="G5" s="2">
        <v>32140.799999999999</v>
      </c>
      <c r="H5" s="2">
        <f>G5-F5</f>
        <v>0</v>
      </c>
      <c r="I5" s="2">
        <v>0</v>
      </c>
      <c r="J5" s="10">
        <f>IFERROR(I5/H5,0)</f>
        <v>0</v>
      </c>
      <c r="K5" s="2">
        <v>32140.799999999999</v>
      </c>
      <c r="L5" s="167">
        <f>K5-G5</f>
        <v>0</v>
      </c>
      <c r="M5" s="2">
        <v>0</v>
      </c>
      <c r="N5" s="11">
        <f>IFERROR(M5/L5,0)</f>
        <v>0</v>
      </c>
      <c r="O5" s="12">
        <f t="shared" ref="O5:P17" si="0">H5+L5</f>
        <v>0</v>
      </c>
      <c r="P5" s="13">
        <f t="shared" si="0"/>
        <v>0</v>
      </c>
      <c r="Q5" s="14">
        <f>IFERROR(P5/O5,0)</f>
        <v>0</v>
      </c>
      <c r="R5" s="2">
        <v>0</v>
      </c>
      <c r="S5" s="5"/>
    </row>
    <row r="6" spans="1:25" ht="22.8" customHeight="1">
      <c r="A6" s="81">
        <v>2</v>
      </c>
      <c r="B6" s="16" t="s">
        <v>170</v>
      </c>
      <c r="C6" s="9" t="s">
        <v>193</v>
      </c>
      <c r="D6" s="9" t="s">
        <v>194</v>
      </c>
      <c r="E6" s="9" t="s">
        <v>214</v>
      </c>
      <c r="F6" s="49">
        <v>33944.300000000003</v>
      </c>
      <c r="G6" s="49">
        <v>33944.300000000003</v>
      </c>
      <c r="H6" s="2">
        <f>G6-F6</f>
        <v>0</v>
      </c>
      <c r="I6" s="49">
        <v>0</v>
      </c>
      <c r="J6" s="10">
        <f>IFERROR(I6/H6,0)</f>
        <v>0</v>
      </c>
      <c r="K6" s="49">
        <v>33953.300000000003</v>
      </c>
      <c r="L6" s="167">
        <f>K6-G6</f>
        <v>9</v>
      </c>
      <c r="M6" s="49">
        <v>300.29000000000002</v>
      </c>
      <c r="N6" s="11">
        <f>IFERROR(M6/L6,0)</f>
        <v>33.365555555555559</v>
      </c>
      <c r="O6" s="12">
        <f t="shared" si="0"/>
        <v>9</v>
      </c>
      <c r="P6" s="13">
        <f t="shared" si="0"/>
        <v>300.29000000000002</v>
      </c>
      <c r="Q6" s="14">
        <f>IFERROR(P6/O6,0)</f>
        <v>33.365555555555559</v>
      </c>
      <c r="R6" s="49">
        <v>117</v>
      </c>
      <c r="S6" s="81"/>
    </row>
    <row r="7" spans="1:25" ht="24" customHeight="1">
      <c r="A7" s="5">
        <v>3</v>
      </c>
      <c r="B7" s="16" t="s">
        <v>17</v>
      </c>
      <c r="C7" s="9" t="s">
        <v>193</v>
      </c>
      <c r="D7" s="9" t="s">
        <v>194</v>
      </c>
      <c r="E7" s="9" t="s">
        <v>214</v>
      </c>
      <c r="F7" s="17">
        <v>32493.3</v>
      </c>
      <c r="G7" s="17">
        <v>32493.3</v>
      </c>
      <c r="H7" s="17">
        <f t="shared" ref="H7:H18" si="1">G7-F7</f>
        <v>0</v>
      </c>
      <c r="I7" s="18">
        <v>0</v>
      </c>
      <c r="J7" s="10">
        <f>IFERROR(I7/H7,0)</f>
        <v>0</v>
      </c>
      <c r="K7" s="17">
        <v>32493.3</v>
      </c>
      <c r="L7" s="19">
        <f t="shared" ref="L7:L14" si="2">K7-G7</f>
        <v>0</v>
      </c>
      <c r="M7" s="20">
        <v>0</v>
      </c>
      <c r="N7" s="21">
        <f>IFERROR(M7/L7,0)</f>
        <v>0</v>
      </c>
      <c r="O7" s="18">
        <f t="shared" si="0"/>
        <v>0</v>
      </c>
      <c r="P7" s="22">
        <f t="shared" si="0"/>
        <v>0</v>
      </c>
      <c r="Q7" s="23">
        <f>IFERROR(P7/O7,0)</f>
        <v>0</v>
      </c>
      <c r="R7" s="24">
        <v>0</v>
      </c>
      <c r="S7" s="25"/>
      <c r="T7" s="26"/>
    </row>
    <row r="8" spans="1:25" ht="25.8" customHeight="1">
      <c r="A8" s="81">
        <v>4</v>
      </c>
      <c r="B8" s="16" t="s">
        <v>18</v>
      </c>
      <c r="C8" s="9" t="s">
        <v>193</v>
      </c>
      <c r="D8" s="9" t="s">
        <v>194</v>
      </c>
      <c r="E8" s="9" t="s">
        <v>214</v>
      </c>
      <c r="F8" s="17">
        <v>24821.5</v>
      </c>
      <c r="G8" s="17">
        <v>24821.5</v>
      </c>
      <c r="H8" s="17">
        <f t="shared" si="1"/>
        <v>0</v>
      </c>
      <c r="I8" s="18">
        <v>0</v>
      </c>
      <c r="J8" s="10">
        <f t="shared" ref="J8:J13" si="3">IFERROR(I8/H8,0)</f>
        <v>0</v>
      </c>
      <c r="K8" s="17">
        <v>24821.5</v>
      </c>
      <c r="L8" s="19">
        <f t="shared" si="2"/>
        <v>0</v>
      </c>
      <c r="M8" s="20">
        <v>0</v>
      </c>
      <c r="N8" s="28">
        <f t="shared" ref="N8:N14" si="4">IFERROR(M8/L8,0)</f>
        <v>0</v>
      </c>
      <c r="O8" s="18">
        <f t="shared" si="0"/>
        <v>0</v>
      </c>
      <c r="P8" s="22">
        <f t="shared" si="0"/>
        <v>0</v>
      </c>
      <c r="Q8" s="23">
        <f t="shared" ref="Q8:Q18" si="5">IFERROR(P8/O8,0)</f>
        <v>0</v>
      </c>
      <c r="R8" s="29">
        <v>0</v>
      </c>
      <c r="S8" s="30"/>
      <c r="T8" s="26"/>
      <c r="V8" s="26"/>
    </row>
    <row r="9" spans="1:25" ht="25.8" customHeight="1">
      <c r="A9" s="5">
        <v>5</v>
      </c>
      <c r="B9" s="31" t="s">
        <v>19</v>
      </c>
      <c r="C9" s="9" t="s">
        <v>193</v>
      </c>
      <c r="D9" s="9" t="s">
        <v>194</v>
      </c>
      <c r="E9" s="9" t="s">
        <v>214</v>
      </c>
      <c r="F9" s="17">
        <v>32740.5</v>
      </c>
      <c r="G9" s="17">
        <v>32740.5</v>
      </c>
      <c r="H9" s="17">
        <f t="shared" si="1"/>
        <v>0</v>
      </c>
      <c r="I9" s="32">
        <v>0</v>
      </c>
      <c r="J9" s="10">
        <f t="shared" si="3"/>
        <v>0</v>
      </c>
      <c r="K9" s="17">
        <v>32748.3</v>
      </c>
      <c r="L9" s="19">
        <f t="shared" si="2"/>
        <v>7.7999999999992724</v>
      </c>
      <c r="M9" s="33">
        <v>272.05</v>
      </c>
      <c r="N9" s="28">
        <f t="shared" si="4"/>
        <v>34.878205128208386</v>
      </c>
      <c r="O9" s="18">
        <f t="shared" si="0"/>
        <v>7.7999999999992724</v>
      </c>
      <c r="P9" s="22">
        <f t="shared" si="0"/>
        <v>272.05</v>
      </c>
      <c r="Q9" s="23">
        <f t="shared" si="5"/>
        <v>34.878205128208386</v>
      </c>
      <c r="R9" s="29">
        <v>141</v>
      </c>
      <c r="S9" s="30"/>
      <c r="T9" s="26"/>
      <c r="V9" s="26"/>
    </row>
    <row r="10" spans="1:25" ht="25.8" customHeight="1">
      <c r="A10" s="81">
        <v>6</v>
      </c>
      <c r="B10" s="16" t="s">
        <v>20</v>
      </c>
      <c r="C10" s="9" t="s">
        <v>193</v>
      </c>
      <c r="D10" s="9" t="s">
        <v>195</v>
      </c>
      <c r="E10" s="184" t="s">
        <v>215</v>
      </c>
      <c r="F10" s="17">
        <v>33650.699999999997</v>
      </c>
      <c r="G10" s="17">
        <v>33650.699999999997</v>
      </c>
      <c r="H10" s="17">
        <f>G10-F10</f>
        <v>0</v>
      </c>
      <c r="I10" s="34">
        <v>0</v>
      </c>
      <c r="J10" s="10">
        <f>IFERROR(I10/H10,0)</f>
        <v>0</v>
      </c>
      <c r="K10" s="17">
        <v>33650.699999999997</v>
      </c>
      <c r="L10" s="19">
        <f>K10-G10</f>
        <v>0</v>
      </c>
      <c r="M10" s="33">
        <v>0</v>
      </c>
      <c r="N10" s="28">
        <f>IFERROR(M10/L10,0)</f>
        <v>0</v>
      </c>
      <c r="O10" s="18">
        <f>H10+L10</f>
        <v>0</v>
      </c>
      <c r="P10" s="22">
        <f>I10+M10</f>
        <v>0</v>
      </c>
      <c r="Q10" s="23">
        <f>IFERROR(P10/O10,0)</f>
        <v>0</v>
      </c>
      <c r="R10" s="29">
        <v>0</v>
      </c>
      <c r="S10" s="30"/>
      <c r="T10" s="26"/>
      <c r="V10" s="26"/>
    </row>
    <row r="11" spans="1:25" ht="22.8" customHeight="1">
      <c r="A11" s="5">
        <v>7</v>
      </c>
      <c r="B11" s="16" t="s">
        <v>21</v>
      </c>
      <c r="C11" s="9" t="s">
        <v>193</v>
      </c>
      <c r="D11" s="16" t="s">
        <v>194</v>
      </c>
      <c r="E11" s="16" t="s">
        <v>214</v>
      </c>
      <c r="F11" s="17">
        <v>28235.3</v>
      </c>
      <c r="G11" s="17">
        <v>28235.3</v>
      </c>
      <c r="H11" s="17">
        <f t="shared" si="1"/>
        <v>0</v>
      </c>
      <c r="I11" s="32">
        <v>0</v>
      </c>
      <c r="J11" s="10">
        <f t="shared" si="3"/>
        <v>0</v>
      </c>
      <c r="K11" s="17">
        <v>28264.3</v>
      </c>
      <c r="L11" s="19">
        <f t="shared" si="2"/>
        <v>29</v>
      </c>
      <c r="M11" s="20">
        <v>314.91000000000003</v>
      </c>
      <c r="N11" s="28">
        <f t="shared" si="4"/>
        <v>10.85896551724138</v>
      </c>
      <c r="O11" s="18">
        <f t="shared" si="0"/>
        <v>29</v>
      </c>
      <c r="P11" s="22">
        <f t="shared" si="0"/>
        <v>314.91000000000003</v>
      </c>
      <c r="Q11" s="23">
        <f t="shared" si="5"/>
        <v>10.85896551724138</v>
      </c>
      <c r="R11" s="29">
        <v>111</v>
      </c>
      <c r="S11" s="30"/>
      <c r="T11" s="26"/>
      <c r="V11" s="26"/>
    </row>
    <row r="12" spans="1:25" ht="22.8" customHeight="1">
      <c r="A12" s="81">
        <v>8</v>
      </c>
      <c r="B12" s="31" t="s">
        <v>22</v>
      </c>
      <c r="C12" s="9" t="s">
        <v>193</v>
      </c>
      <c r="D12" s="31" t="s">
        <v>194</v>
      </c>
      <c r="E12" s="31" t="s">
        <v>214</v>
      </c>
      <c r="F12" s="35">
        <v>27588.9</v>
      </c>
      <c r="G12" s="35">
        <v>27588.9</v>
      </c>
      <c r="H12" s="17">
        <f t="shared" si="1"/>
        <v>0</v>
      </c>
      <c r="I12" s="32">
        <v>0</v>
      </c>
      <c r="J12" s="10">
        <f t="shared" si="3"/>
        <v>0</v>
      </c>
      <c r="K12" s="35">
        <v>27588.9</v>
      </c>
      <c r="L12" s="19">
        <f t="shared" si="2"/>
        <v>0</v>
      </c>
      <c r="M12" s="33">
        <v>0</v>
      </c>
      <c r="N12" s="28">
        <f t="shared" si="4"/>
        <v>0</v>
      </c>
      <c r="O12" s="18">
        <f t="shared" si="0"/>
        <v>0</v>
      </c>
      <c r="P12" s="22">
        <f t="shared" si="0"/>
        <v>0</v>
      </c>
      <c r="Q12" s="23">
        <f t="shared" si="5"/>
        <v>0</v>
      </c>
      <c r="R12" s="29">
        <v>0</v>
      </c>
      <c r="S12" s="30"/>
      <c r="T12" s="26"/>
      <c r="V12" s="26"/>
    </row>
    <row r="13" spans="1:25" ht="24" customHeight="1">
      <c r="A13" s="5">
        <v>9</v>
      </c>
      <c r="B13" s="31" t="s">
        <v>23</v>
      </c>
      <c r="C13" s="9" t="s">
        <v>193</v>
      </c>
      <c r="D13" s="16" t="s">
        <v>196</v>
      </c>
      <c r="E13" s="16" t="s">
        <v>216</v>
      </c>
      <c r="F13" s="17">
        <v>22739.55</v>
      </c>
      <c r="G13" s="17">
        <v>22739.55</v>
      </c>
      <c r="H13" s="17">
        <f t="shared" si="1"/>
        <v>0</v>
      </c>
      <c r="I13" s="34">
        <v>0</v>
      </c>
      <c r="J13" s="10">
        <f t="shared" si="3"/>
        <v>0</v>
      </c>
      <c r="K13" s="17">
        <v>22749.49</v>
      </c>
      <c r="L13" s="19">
        <f t="shared" si="2"/>
        <v>9.9400000000023283</v>
      </c>
      <c r="M13" s="20">
        <v>387.7</v>
      </c>
      <c r="N13" s="28">
        <f t="shared" si="4"/>
        <v>39.004024144860075</v>
      </c>
      <c r="O13" s="18">
        <f t="shared" si="0"/>
        <v>9.9400000000023283</v>
      </c>
      <c r="P13" s="22">
        <f t="shared" si="0"/>
        <v>387.7</v>
      </c>
      <c r="Q13" s="23">
        <f t="shared" si="5"/>
        <v>39.004024144860075</v>
      </c>
      <c r="R13" s="29">
        <v>208</v>
      </c>
      <c r="S13" s="36"/>
      <c r="T13" s="26"/>
      <c r="V13" s="26"/>
    </row>
    <row r="14" spans="1:25" ht="24" customHeight="1">
      <c r="A14" s="81">
        <v>10</v>
      </c>
      <c r="B14" s="31" t="s">
        <v>24</v>
      </c>
      <c r="C14" s="9" t="s">
        <v>193</v>
      </c>
      <c r="D14" s="16" t="s">
        <v>196</v>
      </c>
      <c r="E14" s="16" t="s">
        <v>216</v>
      </c>
      <c r="F14" s="17">
        <v>22676.42</v>
      </c>
      <c r="G14" s="17">
        <v>22676.42</v>
      </c>
      <c r="H14" s="17">
        <f t="shared" si="1"/>
        <v>0</v>
      </c>
      <c r="I14" s="32">
        <v>0</v>
      </c>
      <c r="J14" s="10">
        <f>IFERROR(I14/H14,0)</f>
        <v>0</v>
      </c>
      <c r="K14" s="17">
        <v>22686.02</v>
      </c>
      <c r="L14" s="19">
        <f t="shared" si="2"/>
        <v>9.6000000000021828</v>
      </c>
      <c r="M14" s="20">
        <v>298.97000000000003</v>
      </c>
      <c r="N14" s="28">
        <f t="shared" si="4"/>
        <v>31.142708333326254</v>
      </c>
      <c r="O14" s="18">
        <f t="shared" si="0"/>
        <v>9.6000000000021828</v>
      </c>
      <c r="P14" s="22">
        <f t="shared" si="0"/>
        <v>298.97000000000003</v>
      </c>
      <c r="Q14" s="23">
        <f t="shared" si="5"/>
        <v>31.142708333326254</v>
      </c>
      <c r="R14" s="29">
        <v>167</v>
      </c>
      <c r="S14" s="37"/>
      <c r="T14" s="26"/>
      <c r="V14" s="26"/>
    </row>
    <row r="15" spans="1:25" ht="24" customHeight="1">
      <c r="A15" s="5">
        <v>11</v>
      </c>
      <c r="B15" s="31" t="s">
        <v>25</v>
      </c>
      <c r="C15" s="9" t="s">
        <v>193</v>
      </c>
      <c r="D15" s="16" t="s">
        <v>196</v>
      </c>
      <c r="E15" s="16" t="s">
        <v>216</v>
      </c>
      <c r="F15" s="17">
        <v>20181.5</v>
      </c>
      <c r="G15" s="17">
        <v>20181.5</v>
      </c>
      <c r="H15" s="17">
        <f t="shared" si="1"/>
        <v>0</v>
      </c>
      <c r="I15" s="32">
        <v>0</v>
      </c>
      <c r="J15" s="10">
        <f>IFERROR(I15/H15,0)</f>
        <v>0</v>
      </c>
      <c r="K15" s="17">
        <v>20184.759999999998</v>
      </c>
      <c r="L15" s="19">
        <f>K15-G15</f>
        <v>3.2599999999983993</v>
      </c>
      <c r="M15" s="20">
        <v>152.82</v>
      </c>
      <c r="N15" s="28">
        <f>IFERROR(M15/L15,0)</f>
        <v>46.877300613519949</v>
      </c>
      <c r="O15" s="18">
        <f>H15+L15</f>
        <v>3.2599999999983993</v>
      </c>
      <c r="P15" s="22">
        <f t="shared" si="0"/>
        <v>152.82</v>
      </c>
      <c r="Q15" s="23">
        <f t="shared" si="5"/>
        <v>46.877300613519949</v>
      </c>
      <c r="R15" s="29">
        <v>0</v>
      </c>
      <c r="S15" s="37"/>
      <c r="T15" s="26"/>
      <c r="V15" s="26"/>
      <c r="W15" s="38"/>
    </row>
    <row r="16" spans="1:25" ht="24" customHeight="1">
      <c r="A16" s="81">
        <v>12</v>
      </c>
      <c r="B16" s="31" t="s">
        <v>181</v>
      </c>
      <c r="C16" s="9" t="s">
        <v>193</v>
      </c>
      <c r="D16" s="16" t="s">
        <v>196</v>
      </c>
      <c r="E16" s="16" t="s">
        <v>217</v>
      </c>
      <c r="F16" s="17">
        <v>10199.68</v>
      </c>
      <c r="G16" s="17">
        <v>10199.68</v>
      </c>
      <c r="H16" s="17">
        <f t="shared" si="1"/>
        <v>0</v>
      </c>
      <c r="I16" s="32">
        <v>0</v>
      </c>
      <c r="J16" s="10">
        <f>IFERROR(I16/H16,0)</f>
        <v>0</v>
      </c>
      <c r="K16" s="17">
        <v>10199.68</v>
      </c>
      <c r="L16" s="19">
        <f>K16-G16</f>
        <v>0</v>
      </c>
      <c r="M16" s="20">
        <v>0</v>
      </c>
      <c r="N16" s="28">
        <f>IFERROR(M16/L16,0)</f>
        <v>0</v>
      </c>
      <c r="O16" s="18">
        <f>H16+L16</f>
        <v>0</v>
      </c>
      <c r="P16" s="22">
        <f t="shared" si="0"/>
        <v>0</v>
      </c>
      <c r="Q16" s="23">
        <f t="shared" si="5"/>
        <v>0</v>
      </c>
      <c r="R16" s="29">
        <v>0</v>
      </c>
      <c r="S16" s="37"/>
      <c r="T16" s="26"/>
      <c r="V16" s="26"/>
      <c r="W16" s="38"/>
    </row>
    <row r="17" spans="1:23" ht="24" customHeight="1">
      <c r="A17" s="5">
        <v>13</v>
      </c>
      <c r="B17" s="31" t="s">
        <v>27</v>
      </c>
      <c r="C17" s="9" t="s">
        <v>193</v>
      </c>
      <c r="D17" s="16" t="s">
        <v>197</v>
      </c>
      <c r="E17" s="16" t="s">
        <v>218</v>
      </c>
      <c r="F17" s="17">
        <v>18353.3</v>
      </c>
      <c r="G17" s="17">
        <v>18353.3</v>
      </c>
      <c r="H17" s="17">
        <f t="shared" si="1"/>
        <v>0</v>
      </c>
      <c r="I17" s="18">
        <v>0</v>
      </c>
      <c r="J17" s="10">
        <f>IFERROR(I17/H17,0)</f>
        <v>0</v>
      </c>
      <c r="K17" s="17">
        <v>18365.7</v>
      </c>
      <c r="L17" s="19">
        <f t="shared" ref="L17" si="6">K17-G17</f>
        <v>12.400000000001455</v>
      </c>
      <c r="M17" s="20">
        <v>238.67</v>
      </c>
      <c r="N17" s="28">
        <f t="shared" ref="N17" si="7">IFERROR(M17/L17,0)</f>
        <v>19.247580645159029</v>
      </c>
      <c r="O17" s="18">
        <f t="shared" ref="O17" si="8">H17+L17</f>
        <v>12.400000000001455</v>
      </c>
      <c r="P17" s="22">
        <f t="shared" si="0"/>
        <v>238.67</v>
      </c>
      <c r="Q17" s="23">
        <f t="shared" si="5"/>
        <v>19.247580645159029</v>
      </c>
      <c r="R17" s="29">
        <v>0</v>
      </c>
      <c r="S17" s="172"/>
      <c r="T17" s="26"/>
      <c r="V17" s="26"/>
      <c r="W17" s="38"/>
    </row>
    <row r="18" spans="1:23" ht="24" customHeight="1">
      <c r="A18" s="81">
        <v>14</v>
      </c>
      <c r="B18" s="31" t="s">
        <v>26</v>
      </c>
      <c r="C18" s="9" t="s">
        <v>193</v>
      </c>
      <c r="D18" s="185" t="s">
        <v>198</v>
      </c>
      <c r="E18" s="178" t="s">
        <v>199</v>
      </c>
      <c r="F18" s="17">
        <v>15234.3</v>
      </c>
      <c r="G18" s="17">
        <v>15234.3</v>
      </c>
      <c r="H18" s="17">
        <f t="shared" si="1"/>
        <v>0</v>
      </c>
      <c r="I18" s="32">
        <v>0</v>
      </c>
      <c r="J18" s="10">
        <f>IFERROR(I18/H18,0)</f>
        <v>0</v>
      </c>
      <c r="K18" s="17">
        <v>15234.3</v>
      </c>
      <c r="L18" s="19">
        <f>K18-G18</f>
        <v>0</v>
      </c>
      <c r="M18" s="20">
        <v>0</v>
      </c>
      <c r="N18" s="28">
        <f>IFERROR(M18/L18,0)</f>
        <v>0</v>
      </c>
      <c r="O18" s="18">
        <f>H18+L18</f>
        <v>0</v>
      </c>
      <c r="P18" s="22">
        <f>I18+M18</f>
        <v>0</v>
      </c>
      <c r="Q18" s="23">
        <f t="shared" si="5"/>
        <v>0</v>
      </c>
      <c r="R18" s="29">
        <v>0</v>
      </c>
      <c r="S18" s="37"/>
      <c r="T18" s="26"/>
      <c r="V18" s="26"/>
      <c r="W18" s="38"/>
    </row>
    <row r="19" spans="1:23" ht="24" customHeight="1">
      <c r="A19" s="196" t="s">
        <v>28</v>
      </c>
      <c r="B19" s="197"/>
      <c r="C19" s="175"/>
      <c r="D19" s="175"/>
      <c r="E19" s="175"/>
      <c r="F19" s="39"/>
      <c r="G19" s="39"/>
      <c r="H19" s="40">
        <f>SUM(H7:H18)</f>
        <v>0</v>
      </c>
      <c r="I19" s="41">
        <f>SUM(I5:I18)</f>
        <v>0</v>
      </c>
      <c r="J19" s="39"/>
      <c r="K19" s="39"/>
      <c r="L19" s="40">
        <f>SUM(L7:L18)</f>
        <v>72.000000000003638</v>
      </c>
      <c r="M19" s="41">
        <f>SUM(M5:M18)</f>
        <v>1965.41</v>
      </c>
      <c r="N19" s="28">
        <f>IFERROR(M19/L19,0)</f>
        <v>27.297361111109733</v>
      </c>
      <c r="O19" s="42">
        <f>SUM(O7:O18)</f>
        <v>72.000000000003638</v>
      </c>
      <c r="P19" s="43">
        <f>SUM(P5:P18)</f>
        <v>1965.41</v>
      </c>
      <c r="Q19" s="23">
        <f>IFERROR(P19/O19,0)</f>
        <v>27.297361111109733</v>
      </c>
      <c r="R19" s="44">
        <f>SUM(R5:R18)</f>
        <v>744</v>
      </c>
      <c r="S19" s="45"/>
      <c r="V19" s="26"/>
    </row>
    <row r="20" spans="1:23" ht="18" customHeight="1" thickBot="1">
      <c r="A20" s="206" t="s">
        <v>29</v>
      </c>
      <c r="B20" s="207"/>
      <c r="C20" s="207"/>
      <c r="D20" s="207"/>
      <c r="E20" s="207"/>
      <c r="F20" s="207"/>
      <c r="G20" s="207"/>
      <c r="H20" s="207"/>
      <c r="I20" s="207"/>
      <c r="J20" s="207"/>
      <c r="K20" s="207"/>
      <c r="L20" s="207"/>
      <c r="M20" s="207"/>
      <c r="N20" s="207"/>
      <c r="O20" s="208"/>
      <c r="P20" s="46"/>
      <c r="Q20" s="47"/>
      <c r="R20" s="37"/>
    </row>
    <row r="21" spans="1:23" ht="22.8" customHeight="1">
      <c r="A21" s="209" t="s">
        <v>3</v>
      </c>
      <c r="B21" s="211" t="s">
        <v>4</v>
      </c>
      <c r="C21" s="173"/>
      <c r="D21" s="173"/>
      <c r="E21" s="173"/>
      <c r="F21" s="234" t="s">
        <v>5</v>
      </c>
      <c r="G21" s="234"/>
      <c r="H21" s="234"/>
      <c r="I21" s="234"/>
      <c r="J21" s="234"/>
      <c r="K21" s="235" t="s">
        <v>6</v>
      </c>
      <c r="L21" s="235"/>
      <c r="M21" s="235"/>
      <c r="N21" s="235"/>
      <c r="O21" s="48"/>
      <c r="P21" s="219" t="s">
        <v>7</v>
      </c>
      <c r="Q21" s="194" t="s">
        <v>8</v>
      </c>
      <c r="R21" s="37"/>
    </row>
    <row r="22" spans="1:23" s="51" customFormat="1" ht="24" customHeight="1" thickBot="1">
      <c r="A22" s="210"/>
      <c r="B22" s="212"/>
      <c r="C22" s="183" t="s">
        <v>190</v>
      </c>
      <c r="D22" s="183" t="s">
        <v>191</v>
      </c>
      <c r="E22" s="183" t="s">
        <v>192</v>
      </c>
      <c r="F22" s="49" t="s">
        <v>11</v>
      </c>
      <c r="G22" s="49" t="s">
        <v>12</v>
      </c>
      <c r="H22" s="49" t="s">
        <v>13</v>
      </c>
      <c r="I22" s="2" t="s">
        <v>14</v>
      </c>
      <c r="J22" s="2" t="s">
        <v>8</v>
      </c>
      <c r="K22" s="49" t="s">
        <v>12</v>
      </c>
      <c r="L22" s="49" t="s">
        <v>13</v>
      </c>
      <c r="M22" s="49" t="s">
        <v>14</v>
      </c>
      <c r="N22" s="7" t="s">
        <v>8</v>
      </c>
      <c r="O22" s="50" t="s">
        <v>15</v>
      </c>
      <c r="P22" s="220"/>
      <c r="Q22" s="195"/>
      <c r="R22" s="37"/>
      <c r="T22"/>
      <c r="U22"/>
      <c r="V22"/>
      <c r="W22"/>
    </row>
    <row r="23" spans="1:23" s="51" customFormat="1" ht="24" customHeight="1">
      <c r="A23" s="27">
        <v>1</v>
      </c>
      <c r="B23" s="52" t="s">
        <v>30</v>
      </c>
      <c r="C23" s="179" t="s">
        <v>200</v>
      </c>
      <c r="D23" s="179" t="s">
        <v>197</v>
      </c>
      <c r="E23" s="179" t="s">
        <v>201</v>
      </c>
      <c r="F23" s="6">
        <v>18973.2</v>
      </c>
      <c r="G23" s="6">
        <v>18973.2</v>
      </c>
      <c r="H23" s="53">
        <f>G23-F23</f>
        <v>0</v>
      </c>
      <c r="I23" s="54">
        <v>0</v>
      </c>
      <c r="J23" s="55">
        <f>IFERROR(I23/H23,0)</f>
        <v>0</v>
      </c>
      <c r="K23" s="6">
        <v>18983.3</v>
      </c>
      <c r="L23" s="56">
        <f>K23-G23</f>
        <v>10.099999999998545</v>
      </c>
      <c r="M23" s="54">
        <v>109.72</v>
      </c>
      <c r="N23" s="57">
        <f>IFERROR(M23/L23,0)</f>
        <v>10.863366336635229</v>
      </c>
      <c r="O23" s="58">
        <f>H23+L23</f>
        <v>10.099999999998545</v>
      </c>
      <c r="P23" s="59">
        <f t="shared" ref="P23:P24" si="9">I23+M23</f>
        <v>109.72</v>
      </c>
      <c r="Q23" s="60">
        <f>IFERROR(P23/O23,0)</f>
        <v>10.863366336635229</v>
      </c>
      <c r="R23" s="61"/>
      <c r="T23"/>
      <c r="U23"/>
      <c r="V23"/>
      <c r="W23"/>
    </row>
    <row r="24" spans="1:23" ht="24" customHeight="1">
      <c r="A24" s="62">
        <v>2</v>
      </c>
      <c r="B24" s="52" t="s">
        <v>31</v>
      </c>
      <c r="C24" s="52" t="s">
        <v>200</v>
      </c>
      <c r="D24" s="52" t="s">
        <v>197</v>
      </c>
      <c r="E24" s="52" t="s">
        <v>201</v>
      </c>
      <c r="F24" s="63">
        <v>11341.4</v>
      </c>
      <c r="G24" s="63">
        <v>11341.4</v>
      </c>
      <c r="H24" s="53">
        <f>G24-F24</f>
        <v>0</v>
      </c>
      <c r="I24" s="54">
        <v>0</v>
      </c>
      <c r="J24" s="55">
        <f>IFERROR(I24/H24,0)</f>
        <v>0</v>
      </c>
      <c r="K24" s="63">
        <v>11350.5</v>
      </c>
      <c r="L24" s="64">
        <f>K24-G24</f>
        <v>9.1000000000003638</v>
      </c>
      <c r="M24" s="54">
        <v>143.78</v>
      </c>
      <c r="N24" s="57">
        <f>IFERROR(M24/L24,0)</f>
        <v>15.799999999999368</v>
      </c>
      <c r="O24" s="58">
        <f>H24+L24</f>
        <v>9.1000000000003638</v>
      </c>
      <c r="P24" s="59">
        <f t="shared" si="9"/>
        <v>143.78</v>
      </c>
      <c r="Q24" s="60">
        <f>IFERROR(P24/O24,0)</f>
        <v>15.799999999999368</v>
      </c>
      <c r="R24" s="65"/>
    </row>
    <row r="25" spans="1:23" ht="24" customHeight="1" thickBot="1">
      <c r="A25" s="238" t="s">
        <v>28</v>
      </c>
      <c r="B25" s="239"/>
      <c r="C25" s="180"/>
      <c r="D25" s="180"/>
      <c r="E25" s="180"/>
      <c r="F25" s="66"/>
      <c r="G25" s="66"/>
      <c r="H25" s="67">
        <f>SUM(H23:H24)</f>
        <v>0</v>
      </c>
      <c r="I25" s="67">
        <f>SUM(I23:I24)</f>
        <v>0</v>
      </c>
      <c r="J25" s="68"/>
      <c r="K25" s="68"/>
      <c r="L25" s="67">
        <f>SUM(L23:L24)</f>
        <v>19.199999999998909</v>
      </c>
      <c r="M25" s="67">
        <f>SUM(M23:M24)</f>
        <v>253.5</v>
      </c>
      <c r="N25" s="69">
        <f>SUM(N23:N24)</f>
        <v>26.663366336634596</v>
      </c>
      <c r="O25" s="70">
        <f>SUM(O23:O24)</f>
        <v>19.199999999998909</v>
      </c>
      <c r="P25" s="43">
        <f>SUM(P23:P24)</f>
        <v>253.5</v>
      </c>
      <c r="Q25" s="71"/>
      <c r="R25" s="37"/>
      <c r="S25" s="72"/>
    </row>
    <row r="26" spans="1:23" ht="18" customHeight="1" thickBot="1">
      <c r="A26" s="245" t="s">
        <v>32</v>
      </c>
      <c r="B26" s="246"/>
      <c r="C26" s="226"/>
      <c r="D26" s="226"/>
      <c r="E26" s="226"/>
      <c r="F26" s="226"/>
      <c r="G26" s="226"/>
      <c r="H26" s="226"/>
      <c r="I26" s="226"/>
      <c r="J26" s="226"/>
      <c r="K26" s="226"/>
      <c r="L26" s="226"/>
      <c r="M26" s="226"/>
      <c r="N26" s="226"/>
      <c r="O26" s="246"/>
      <c r="P26" s="46"/>
      <c r="Q26" s="47"/>
      <c r="R26" s="37"/>
    </row>
    <row r="27" spans="1:23" ht="22.8" customHeight="1">
      <c r="A27" s="209" t="s">
        <v>3</v>
      </c>
      <c r="B27" s="211" t="s">
        <v>4</v>
      </c>
      <c r="C27" s="173"/>
      <c r="D27" s="173"/>
      <c r="E27" s="173"/>
      <c r="F27" s="234" t="s">
        <v>5</v>
      </c>
      <c r="G27" s="234"/>
      <c r="H27" s="234"/>
      <c r="I27" s="234"/>
      <c r="J27" s="234"/>
      <c r="K27" s="235" t="s">
        <v>6</v>
      </c>
      <c r="L27" s="235"/>
      <c r="M27" s="235"/>
      <c r="N27" s="235"/>
      <c r="O27" s="48"/>
      <c r="P27" s="219" t="s">
        <v>7</v>
      </c>
      <c r="Q27" s="194" t="s">
        <v>8</v>
      </c>
      <c r="R27" s="37"/>
      <c r="V27" s="51"/>
    </row>
    <row r="28" spans="1:23" ht="24" customHeight="1">
      <c r="A28" s="247"/>
      <c r="B28" s="248"/>
      <c r="C28" s="183" t="s">
        <v>190</v>
      </c>
      <c r="D28" s="183" t="s">
        <v>191</v>
      </c>
      <c r="E28" s="183" t="s">
        <v>192</v>
      </c>
      <c r="F28" s="6" t="s">
        <v>11</v>
      </c>
      <c r="G28" s="6" t="s">
        <v>12</v>
      </c>
      <c r="H28" s="6" t="s">
        <v>13</v>
      </c>
      <c r="I28" s="6" t="s">
        <v>14</v>
      </c>
      <c r="J28" s="6" t="s">
        <v>8</v>
      </c>
      <c r="K28" s="6" t="s">
        <v>12</v>
      </c>
      <c r="L28" s="6" t="s">
        <v>13</v>
      </c>
      <c r="M28" s="6" t="s">
        <v>14</v>
      </c>
      <c r="N28" s="7" t="s">
        <v>8</v>
      </c>
      <c r="O28" s="73" t="s">
        <v>15</v>
      </c>
      <c r="P28" s="236"/>
      <c r="Q28" s="237"/>
      <c r="R28" s="61"/>
      <c r="S28" s="74"/>
      <c r="V28" s="51"/>
      <c r="W28" s="75"/>
    </row>
    <row r="29" spans="1:23" ht="24" customHeight="1">
      <c r="A29" s="76">
        <v>1</v>
      </c>
      <c r="B29" s="31" t="s">
        <v>33</v>
      </c>
      <c r="C29" s="31" t="s">
        <v>202</v>
      </c>
      <c r="D29" s="31" t="s">
        <v>203</v>
      </c>
      <c r="E29" s="31" t="s">
        <v>219</v>
      </c>
      <c r="F29" s="35">
        <v>21863.1</v>
      </c>
      <c r="G29" s="35">
        <v>21863.1</v>
      </c>
      <c r="H29" s="35">
        <f>G29-F29</f>
        <v>0</v>
      </c>
      <c r="I29" s="33">
        <v>0</v>
      </c>
      <c r="J29" s="10">
        <f t="shared" ref="J29:J33" si="10">IFERROR(I29/H29,0)</f>
        <v>0</v>
      </c>
      <c r="K29" s="35">
        <v>21863.1</v>
      </c>
      <c r="L29" s="56">
        <f>K29-G29</f>
        <v>0</v>
      </c>
      <c r="M29" s="33">
        <v>0</v>
      </c>
      <c r="N29" s="28">
        <f t="shared" ref="N29:N33" si="11">IFERROR(M29/L29,0)</f>
        <v>0</v>
      </c>
      <c r="O29" s="84">
        <f t="shared" ref="O29:P33" si="12">H29+L29</f>
        <v>0</v>
      </c>
      <c r="P29" s="79">
        <f t="shared" si="12"/>
        <v>0</v>
      </c>
      <c r="Q29" s="34">
        <f>IFERROR(P29/O29,0)</f>
        <v>0</v>
      </c>
      <c r="R29" s="37"/>
    </row>
    <row r="30" spans="1:23" ht="24" customHeight="1">
      <c r="A30" s="76">
        <v>2</v>
      </c>
      <c r="B30" s="31" t="s">
        <v>34</v>
      </c>
      <c r="C30" s="31" t="s">
        <v>202</v>
      </c>
      <c r="D30" s="31" t="s">
        <v>203</v>
      </c>
      <c r="E30" s="31" t="s">
        <v>219</v>
      </c>
      <c r="F30" s="35">
        <v>21240.799999999999</v>
      </c>
      <c r="G30" s="35">
        <v>21240.799999999999</v>
      </c>
      <c r="H30" s="35">
        <f>G30-F30</f>
        <v>0</v>
      </c>
      <c r="I30" s="33">
        <v>0</v>
      </c>
      <c r="J30" s="10">
        <f t="shared" si="10"/>
        <v>0</v>
      </c>
      <c r="K30" s="35">
        <v>21249.1</v>
      </c>
      <c r="L30" s="56">
        <f>K30-G30</f>
        <v>8.2999999999992724</v>
      </c>
      <c r="M30" s="33">
        <v>148.05000000000001</v>
      </c>
      <c r="N30" s="28">
        <f>IFERROR(M30/L30,0)</f>
        <v>17.837349397591925</v>
      </c>
      <c r="O30" s="18">
        <f t="shared" si="12"/>
        <v>8.2999999999992724</v>
      </c>
      <c r="P30" s="22">
        <f t="shared" si="12"/>
        <v>148.05000000000001</v>
      </c>
      <c r="Q30" s="23">
        <f>IFERROR(P30/O30,0)</f>
        <v>17.837349397591925</v>
      </c>
      <c r="R30" s="37"/>
    </row>
    <row r="31" spans="1:23" ht="24" customHeight="1">
      <c r="A31" s="76">
        <v>3</v>
      </c>
      <c r="B31" s="31" t="s">
        <v>35</v>
      </c>
      <c r="C31" s="31" t="s">
        <v>202</v>
      </c>
      <c r="D31" s="31" t="s">
        <v>197</v>
      </c>
      <c r="E31" s="31" t="s">
        <v>220</v>
      </c>
      <c r="F31" s="35">
        <v>9000.6</v>
      </c>
      <c r="G31" s="35">
        <v>9000.6</v>
      </c>
      <c r="H31" s="17">
        <f t="shared" ref="H31:H33" si="13">G31-F31</f>
        <v>0</v>
      </c>
      <c r="I31" s="33">
        <v>0</v>
      </c>
      <c r="J31" s="10">
        <f t="shared" si="10"/>
        <v>0</v>
      </c>
      <c r="K31" s="35">
        <v>9009.9</v>
      </c>
      <c r="L31" s="19">
        <f>K31-G31</f>
        <v>9.2999999999992724</v>
      </c>
      <c r="M31" s="33">
        <v>175</v>
      </c>
      <c r="N31" s="28">
        <f t="shared" si="11"/>
        <v>18.817204301076742</v>
      </c>
      <c r="O31" s="18">
        <f t="shared" si="12"/>
        <v>9.2999999999992724</v>
      </c>
      <c r="P31" s="22">
        <f t="shared" si="12"/>
        <v>175</v>
      </c>
      <c r="Q31" s="23">
        <f>IFERROR(P31/O31,0)</f>
        <v>18.817204301076742</v>
      </c>
      <c r="R31" s="77"/>
    </row>
    <row r="32" spans="1:23" ht="24.6" customHeight="1">
      <c r="A32" s="76">
        <v>4</v>
      </c>
      <c r="B32" s="31" t="s">
        <v>36</v>
      </c>
      <c r="C32" s="31" t="s">
        <v>202</v>
      </c>
      <c r="D32" s="31" t="s">
        <v>203</v>
      </c>
      <c r="E32" s="31" t="s">
        <v>219</v>
      </c>
      <c r="F32" s="35">
        <v>3517.9</v>
      </c>
      <c r="G32" s="35">
        <v>3517.9</v>
      </c>
      <c r="H32" s="17">
        <f t="shared" si="13"/>
        <v>0</v>
      </c>
      <c r="I32" s="33">
        <v>0</v>
      </c>
      <c r="J32" s="78">
        <f t="shared" si="10"/>
        <v>0</v>
      </c>
      <c r="K32" s="35">
        <v>3517.9</v>
      </c>
      <c r="L32" s="19">
        <f t="shared" ref="L32:L33" si="14">K32-G32</f>
        <v>0</v>
      </c>
      <c r="M32" s="33">
        <v>0</v>
      </c>
      <c r="N32" s="28">
        <f t="shared" si="11"/>
        <v>0</v>
      </c>
      <c r="O32" s="18">
        <f t="shared" si="12"/>
        <v>0</v>
      </c>
      <c r="P32" s="79">
        <f t="shared" si="12"/>
        <v>0</v>
      </c>
      <c r="Q32" s="23">
        <f>IFERROR(P32/O32,0)</f>
        <v>0</v>
      </c>
      <c r="R32" s="80"/>
    </row>
    <row r="33" spans="1:22" ht="24.6" customHeight="1">
      <c r="A33" s="76">
        <v>5</v>
      </c>
      <c r="B33" s="31" t="s">
        <v>37</v>
      </c>
      <c r="C33" s="31" t="s">
        <v>202</v>
      </c>
      <c r="D33" s="31" t="s">
        <v>203</v>
      </c>
      <c r="E33" s="31" t="s">
        <v>221</v>
      </c>
      <c r="F33" s="35">
        <v>865.1</v>
      </c>
      <c r="G33" s="35">
        <v>865.1</v>
      </c>
      <c r="H33" s="17">
        <f t="shared" si="13"/>
        <v>0</v>
      </c>
      <c r="I33" s="33">
        <v>0</v>
      </c>
      <c r="J33" s="78">
        <f t="shared" si="10"/>
        <v>0</v>
      </c>
      <c r="K33" s="35">
        <v>876.8</v>
      </c>
      <c r="L33" s="19">
        <f t="shared" si="14"/>
        <v>11.699999999999932</v>
      </c>
      <c r="M33" s="33">
        <v>312.86</v>
      </c>
      <c r="N33" s="28">
        <f t="shared" si="11"/>
        <v>26.740170940171097</v>
      </c>
      <c r="O33" s="18">
        <f t="shared" si="12"/>
        <v>11.699999999999932</v>
      </c>
      <c r="P33" s="79">
        <f t="shared" si="12"/>
        <v>312.86</v>
      </c>
      <c r="Q33" s="23">
        <f>IFERROR(P33/O33,0)</f>
        <v>26.740170940171097</v>
      </c>
      <c r="R33" s="80"/>
    </row>
    <row r="34" spans="1:22" ht="22.8" customHeight="1" thickBot="1">
      <c r="A34" s="238" t="s">
        <v>28</v>
      </c>
      <c r="B34" s="239"/>
      <c r="C34" s="180"/>
      <c r="D34" s="180"/>
      <c r="E34" s="180"/>
      <c r="F34" s="66"/>
      <c r="G34" s="66"/>
      <c r="H34" s="67">
        <f>SUM(H29:H33)</f>
        <v>0</v>
      </c>
      <c r="I34" s="67">
        <f>SUM(I29:I33)</f>
        <v>0</v>
      </c>
      <c r="J34" s="68"/>
      <c r="K34" s="68"/>
      <c r="L34" s="67">
        <f>SUM(L29:L33)</f>
        <v>29.299999999998477</v>
      </c>
      <c r="M34" s="67">
        <f>SUM(M29:M33)</f>
        <v>635.91000000000008</v>
      </c>
      <c r="N34" s="69">
        <f>SUM(N29:N33)</f>
        <v>63.394724638839762</v>
      </c>
      <c r="O34" s="70">
        <f>SUM(O29:O33)</f>
        <v>29.299999999998477</v>
      </c>
      <c r="P34" s="43">
        <f>SUM(P29:P33)</f>
        <v>635.91000000000008</v>
      </c>
      <c r="Q34" s="71">
        <f>IFERROR(P34/N34,0)</f>
        <v>10.030960835034529</v>
      </c>
      <c r="R34" s="37"/>
      <c r="S34" s="72"/>
      <c r="V34" s="51"/>
    </row>
    <row r="35" spans="1:22" ht="24" customHeight="1">
      <c r="A35" s="240" t="s">
        <v>38</v>
      </c>
      <c r="B35" s="241"/>
      <c r="C35" s="241"/>
      <c r="D35" s="241"/>
      <c r="E35" s="241"/>
      <c r="F35" s="241"/>
      <c r="G35" s="241"/>
      <c r="H35" s="241"/>
      <c r="I35" s="241"/>
      <c r="J35" s="241"/>
      <c r="K35" s="241"/>
      <c r="L35" s="241"/>
      <c r="M35" s="241"/>
      <c r="N35" s="241"/>
      <c r="O35" s="242"/>
      <c r="P35" s="46"/>
      <c r="Q35" s="47"/>
      <c r="R35" s="61"/>
      <c r="V35" s="51"/>
    </row>
    <row r="36" spans="1:22" ht="24" customHeight="1">
      <c r="A36" s="243" t="s">
        <v>3</v>
      </c>
      <c r="B36" s="243" t="s">
        <v>4</v>
      </c>
      <c r="C36" s="181"/>
      <c r="D36" s="181"/>
      <c r="E36" s="181"/>
      <c r="F36" s="213" t="s">
        <v>5</v>
      </c>
      <c r="G36" s="214"/>
      <c r="H36" s="214"/>
      <c r="I36" s="214"/>
      <c r="J36" s="215"/>
      <c r="K36" s="216" t="s">
        <v>6</v>
      </c>
      <c r="L36" s="217"/>
      <c r="M36" s="217"/>
      <c r="N36" s="218"/>
      <c r="O36" s="5"/>
      <c r="P36" s="221" t="s">
        <v>7</v>
      </c>
      <c r="Q36" s="222" t="s">
        <v>8</v>
      </c>
      <c r="R36" s="37"/>
    </row>
    <row r="37" spans="1:22" ht="24" customHeight="1">
      <c r="A37" s="244"/>
      <c r="B37" s="244"/>
      <c r="C37" s="183" t="s">
        <v>190</v>
      </c>
      <c r="D37" s="183" t="s">
        <v>191</v>
      </c>
      <c r="E37" s="183" t="s">
        <v>192</v>
      </c>
      <c r="F37" s="2" t="s">
        <v>11</v>
      </c>
      <c r="G37" s="2" t="s">
        <v>12</v>
      </c>
      <c r="H37" s="2" t="s">
        <v>13</v>
      </c>
      <c r="I37" s="2" t="s">
        <v>14</v>
      </c>
      <c r="J37" s="2" t="s">
        <v>8</v>
      </c>
      <c r="K37" s="2" t="s">
        <v>12</v>
      </c>
      <c r="L37" s="2" t="s">
        <v>13</v>
      </c>
      <c r="M37" s="2" t="s">
        <v>14</v>
      </c>
      <c r="N37" s="82" t="s">
        <v>8</v>
      </c>
      <c r="O37" s="12" t="s">
        <v>15</v>
      </c>
      <c r="P37" s="221"/>
      <c r="Q37" s="222"/>
      <c r="R37" s="37"/>
    </row>
    <row r="38" spans="1:22" ht="24" customHeight="1">
      <c r="A38" s="76">
        <v>1</v>
      </c>
      <c r="B38" s="31" t="s">
        <v>39</v>
      </c>
      <c r="C38" s="31" t="s">
        <v>204</v>
      </c>
      <c r="D38" s="31" t="s">
        <v>205</v>
      </c>
      <c r="E38" s="31" t="s">
        <v>206</v>
      </c>
      <c r="F38" s="83">
        <v>16675</v>
      </c>
      <c r="G38" s="83">
        <v>16675</v>
      </c>
      <c r="H38" s="35">
        <f>G38-F38</f>
        <v>0</v>
      </c>
      <c r="I38" s="33">
        <v>0</v>
      </c>
      <c r="J38" s="78">
        <f t="shared" ref="J38:J39" si="15">IFERROR(I38/H38,0)</f>
        <v>0</v>
      </c>
      <c r="K38" s="83">
        <v>16675</v>
      </c>
      <c r="L38" s="56">
        <f>K38-G38</f>
        <v>0</v>
      </c>
      <c r="M38" s="33">
        <v>0</v>
      </c>
      <c r="N38" s="28">
        <f>IFERROR(M38/L38,0)</f>
        <v>0</v>
      </c>
      <c r="O38" s="84">
        <f t="shared" ref="O38:O39" si="16">H38+L38</f>
        <v>0</v>
      </c>
      <c r="P38" s="79">
        <f>I38+M38</f>
        <v>0</v>
      </c>
      <c r="Q38" s="34">
        <f>IFERROR(P38/O38,0)</f>
        <v>0</v>
      </c>
      <c r="R38" s="37"/>
    </row>
    <row r="39" spans="1:22" ht="27" customHeight="1">
      <c r="A39" s="76">
        <v>2</v>
      </c>
      <c r="B39" s="31" t="s">
        <v>40</v>
      </c>
      <c r="C39" s="31" t="s">
        <v>204</v>
      </c>
      <c r="D39" s="31" t="s">
        <v>197</v>
      </c>
      <c r="E39" s="31" t="s">
        <v>207</v>
      </c>
      <c r="F39" s="35">
        <v>4576.3999999999996</v>
      </c>
      <c r="G39" s="35">
        <v>4576.3999999999996</v>
      </c>
      <c r="H39" s="17">
        <f>G39-F39</f>
        <v>0</v>
      </c>
      <c r="I39" s="33">
        <v>0</v>
      </c>
      <c r="J39" s="10">
        <f t="shared" si="15"/>
        <v>0</v>
      </c>
      <c r="K39" s="35">
        <v>4586.8</v>
      </c>
      <c r="L39" s="19">
        <f>K39-G39</f>
        <v>10.400000000000546</v>
      </c>
      <c r="M39" s="33">
        <v>193.76</v>
      </c>
      <c r="N39" s="28">
        <f>IFERROR(M39/L39,0)</f>
        <v>18.630769230768252</v>
      </c>
      <c r="O39" s="18">
        <f t="shared" si="16"/>
        <v>10.400000000000546</v>
      </c>
      <c r="P39" s="22">
        <f>I39+M39</f>
        <v>193.76</v>
      </c>
      <c r="Q39" s="23">
        <f>IFERROR(P39/O39,0)</f>
        <v>18.630769230768252</v>
      </c>
      <c r="R39" s="37"/>
      <c r="V39" s="51"/>
    </row>
    <row r="40" spans="1:22" ht="22.8" customHeight="1" thickBot="1">
      <c r="A40" s="196" t="s">
        <v>28</v>
      </c>
      <c r="B40" s="233"/>
      <c r="C40" s="176"/>
      <c r="D40" s="176"/>
      <c r="E40" s="176"/>
      <c r="F40" s="68"/>
      <c r="G40" s="66"/>
      <c r="H40" s="67">
        <f>SUM(H38:H39)</f>
        <v>0</v>
      </c>
      <c r="I40" s="67">
        <f>SUM(I38:I39:I39)</f>
        <v>0</v>
      </c>
      <c r="J40" s="68"/>
      <c r="K40" s="68"/>
      <c r="L40" s="67">
        <f>SUM(L38:L39)</f>
        <v>10.400000000000546</v>
      </c>
      <c r="M40" s="67">
        <f>SUM(M38:M39)</f>
        <v>193.76</v>
      </c>
      <c r="N40" s="69">
        <f>SUM(N38:N39)</f>
        <v>18.630769230768252</v>
      </c>
      <c r="O40" s="70">
        <f>SUM(O38:O39)</f>
        <v>10.400000000000546</v>
      </c>
      <c r="P40" s="43">
        <f>SUM(P38:P39)</f>
        <v>193.76</v>
      </c>
      <c r="Q40" s="71">
        <f>IFERROR(P40/N40,0)</f>
        <v>10.400000000000546</v>
      </c>
      <c r="R40" s="37"/>
      <c r="S40" s="72"/>
      <c r="V40" s="51"/>
    </row>
    <row r="41" spans="1:22" ht="24" customHeight="1">
      <c r="A41" s="225" t="s">
        <v>41</v>
      </c>
      <c r="B41" s="226"/>
      <c r="C41" s="226"/>
      <c r="D41" s="226"/>
      <c r="E41" s="226"/>
      <c r="F41" s="226"/>
      <c r="G41" s="226"/>
      <c r="H41" s="226"/>
      <c r="I41" s="226"/>
      <c r="J41" s="226"/>
      <c r="K41" s="226"/>
      <c r="L41" s="226"/>
      <c r="M41" s="226"/>
      <c r="N41" s="226"/>
      <c r="O41" s="226"/>
      <c r="P41" s="46"/>
      <c r="Q41" s="47"/>
      <c r="R41" s="61"/>
    </row>
    <row r="42" spans="1:22" ht="24" customHeight="1">
      <c r="A42" s="222" t="s">
        <v>3</v>
      </c>
      <c r="B42" s="222" t="s">
        <v>4</v>
      </c>
      <c r="C42" s="5"/>
      <c r="D42" s="5"/>
      <c r="E42" s="5"/>
      <c r="F42" s="234" t="s">
        <v>5</v>
      </c>
      <c r="G42" s="234"/>
      <c r="H42" s="234"/>
      <c r="I42" s="234"/>
      <c r="J42" s="234"/>
      <c r="K42" s="235" t="s">
        <v>6</v>
      </c>
      <c r="L42" s="235"/>
      <c r="M42" s="235"/>
      <c r="N42" s="235"/>
      <c r="O42" s="5"/>
      <c r="P42" s="221" t="s">
        <v>7</v>
      </c>
      <c r="Q42" s="222" t="s">
        <v>8</v>
      </c>
      <c r="R42" s="37"/>
    </row>
    <row r="43" spans="1:22" ht="25.8" customHeight="1">
      <c r="A43" s="222"/>
      <c r="B43" s="222"/>
      <c r="C43" s="183" t="s">
        <v>190</v>
      </c>
      <c r="D43" s="183" t="s">
        <v>191</v>
      </c>
      <c r="E43" s="183" t="s">
        <v>192</v>
      </c>
      <c r="F43" s="2" t="s">
        <v>11</v>
      </c>
      <c r="G43" s="2" t="s">
        <v>12</v>
      </c>
      <c r="H43" s="2" t="s">
        <v>13</v>
      </c>
      <c r="I43" s="2" t="s">
        <v>14</v>
      </c>
      <c r="J43" s="2" t="s">
        <v>8</v>
      </c>
      <c r="K43" s="2" t="s">
        <v>12</v>
      </c>
      <c r="L43" s="2" t="s">
        <v>13</v>
      </c>
      <c r="M43" s="2" t="s">
        <v>14</v>
      </c>
      <c r="N43" s="82" t="s">
        <v>8</v>
      </c>
      <c r="O43" s="12" t="s">
        <v>15</v>
      </c>
      <c r="P43" s="221"/>
      <c r="Q43" s="222"/>
      <c r="R43" s="37"/>
    </row>
    <row r="44" spans="1:22" ht="25.8" customHeight="1">
      <c r="A44" s="5">
        <v>1</v>
      </c>
      <c r="B44" s="85" t="s">
        <v>186</v>
      </c>
      <c r="C44" s="85" t="s">
        <v>208</v>
      </c>
      <c r="D44" s="85" t="s">
        <v>197</v>
      </c>
      <c r="E44" s="178" t="s">
        <v>209</v>
      </c>
      <c r="F44" s="2">
        <v>0</v>
      </c>
      <c r="G44" s="2">
        <v>0</v>
      </c>
      <c r="H44" s="20">
        <f>G44-F44</f>
        <v>0</v>
      </c>
      <c r="I44" s="2">
        <v>0</v>
      </c>
      <c r="J44" s="10">
        <f t="shared" ref="J44:J46" si="17">IFERROR(I44/H44,0)</f>
        <v>0</v>
      </c>
      <c r="K44" s="2">
        <v>0</v>
      </c>
      <c r="L44" s="86">
        <f>K44-G44</f>
        <v>0</v>
      </c>
      <c r="M44" s="2">
        <v>0</v>
      </c>
      <c r="N44" s="28">
        <f>IFERROR(M44/L44,0)</f>
        <v>0</v>
      </c>
      <c r="O44" s="18">
        <f>H44+L44</f>
        <v>0</v>
      </c>
      <c r="P44" s="22">
        <f>I44+M44</f>
        <v>0</v>
      </c>
      <c r="Q44" s="23">
        <f>IFERROR(P44/O44,0)</f>
        <v>0</v>
      </c>
      <c r="R44" s="37"/>
    </row>
    <row r="45" spans="1:22" ht="24.6" customHeight="1">
      <c r="A45" s="76">
        <v>2</v>
      </c>
      <c r="B45" s="85" t="s">
        <v>42</v>
      </c>
      <c r="C45" s="85" t="s">
        <v>208</v>
      </c>
      <c r="D45" s="85" t="s">
        <v>197</v>
      </c>
      <c r="E45" s="178" t="s">
        <v>209</v>
      </c>
      <c r="F45" s="33">
        <v>8726.9</v>
      </c>
      <c r="G45" s="33">
        <v>8726.9</v>
      </c>
      <c r="H45" s="20">
        <f>G45-F45</f>
        <v>0</v>
      </c>
      <c r="I45" s="33">
        <v>0</v>
      </c>
      <c r="J45" s="10">
        <f t="shared" si="17"/>
        <v>0</v>
      </c>
      <c r="K45" s="33">
        <v>8726.9</v>
      </c>
      <c r="L45" s="86">
        <f>K45-G45</f>
        <v>0</v>
      </c>
      <c r="M45" s="2">
        <v>0</v>
      </c>
      <c r="N45" s="28">
        <f>IFERROR(M45/L45,0)</f>
        <v>0</v>
      </c>
      <c r="O45" s="18">
        <f>H45+L45</f>
        <v>0</v>
      </c>
      <c r="P45" s="22">
        <f>I45+M45</f>
        <v>0</v>
      </c>
      <c r="Q45" s="23">
        <f>IFERROR(P45/O45,0)</f>
        <v>0</v>
      </c>
      <c r="R45" s="87"/>
      <c r="V45" s="51"/>
    </row>
    <row r="46" spans="1:22" ht="22.8" customHeight="1">
      <c r="A46" s="76">
        <v>3</v>
      </c>
      <c r="B46" s="85" t="s">
        <v>43</v>
      </c>
      <c r="C46" s="85" t="s">
        <v>208</v>
      </c>
      <c r="D46" s="85" t="s">
        <v>197</v>
      </c>
      <c r="E46" s="178" t="s">
        <v>209</v>
      </c>
      <c r="F46" s="33">
        <v>1701.5</v>
      </c>
      <c r="G46" s="33">
        <v>1701.5</v>
      </c>
      <c r="H46" s="20">
        <f>G46-F46</f>
        <v>0</v>
      </c>
      <c r="I46" s="33">
        <v>0</v>
      </c>
      <c r="J46" s="10">
        <f t="shared" si="17"/>
        <v>0</v>
      </c>
      <c r="K46" s="33">
        <v>1708</v>
      </c>
      <c r="L46" s="86">
        <f>K46-G46</f>
        <v>6.5</v>
      </c>
      <c r="M46" s="2">
        <f>57.89+181.23</f>
        <v>239.12</v>
      </c>
      <c r="N46" s="28">
        <f>IFERROR(M46/L46,0)</f>
        <v>36.787692307692311</v>
      </c>
      <c r="O46" s="18">
        <f>H46+L46</f>
        <v>6.5</v>
      </c>
      <c r="P46" s="22">
        <f t="shared" ref="P46" si="18">I46+M46</f>
        <v>239.12</v>
      </c>
      <c r="Q46" s="23">
        <f>IFERROR(P46/O46,0)</f>
        <v>36.787692307692311</v>
      </c>
      <c r="R46" s="87"/>
      <c r="S46" s="88"/>
      <c r="T46" s="89"/>
    </row>
    <row r="47" spans="1:22" ht="24" customHeight="1" thickBot="1">
      <c r="A47" s="223" t="s">
        <v>28</v>
      </c>
      <c r="B47" s="224"/>
      <c r="C47" s="177"/>
      <c r="D47" s="177"/>
      <c r="E47" s="177"/>
      <c r="F47" s="90"/>
      <c r="G47" s="90"/>
      <c r="H47" s="91">
        <f>SUM(H45:H46)</f>
        <v>0</v>
      </c>
      <c r="I47" s="91">
        <f>SUM(I45:I46)</f>
        <v>0</v>
      </c>
      <c r="J47" s="92"/>
      <c r="K47" s="92"/>
      <c r="L47" s="91">
        <f>SUM(L44:L46)</f>
        <v>6.5</v>
      </c>
      <c r="M47" s="91">
        <f>SUM(M44:M46)</f>
        <v>239.12</v>
      </c>
      <c r="N47" s="93">
        <f>SUM(N44:N46)</f>
        <v>36.787692307692311</v>
      </c>
      <c r="O47" s="94">
        <f>SUM(O44:O46)</f>
        <v>6.5</v>
      </c>
      <c r="P47" s="95">
        <f>SUM(P44:P46)</f>
        <v>239.12</v>
      </c>
      <c r="Q47" s="96">
        <f>P47/O47</f>
        <v>36.787692307692311</v>
      </c>
      <c r="R47" s="37"/>
      <c r="S47" s="97"/>
      <c r="T47" s="89"/>
    </row>
    <row r="48" spans="1:22" ht="24" customHeight="1">
      <c r="A48" s="225" t="s">
        <v>44</v>
      </c>
      <c r="B48" s="226"/>
      <c r="C48" s="226"/>
      <c r="D48" s="226"/>
      <c r="E48" s="226"/>
      <c r="F48" s="226"/>
      <c r="G48" s="226"/>
      <c r="H48" s="226"/>
      <c r="I48" s="226"/>
      <c r="J48" s="226"/>
      <c r="K48" s="226"/>
      <c r="L48" s="226"/>
      <c r="M48" s="226"/>
      <c r="N48" s="226"/>
      <c r="O48" s="226"/>
      <c r="P48" s="98"/>
      <c r="Q48" s="99"/>
      <c r="R48" s="37"/>
      <c r="S48" s="100"/>
      <c r="T48" s="100"/>
    </row>
    <row r="49" spans="1:30" ht="24" customHeight="1">
      <c r="A49" s="222" t="s">
        <v>3</v>
      </c>
      <c r="B49" s="222" t="s">
        <v>4</v>
      </c>
      <c r="C49" s="182"/>
      <c r="D49" s="182"/>
      <c r="E49" s="182"/>
      <c r="F49" s="227" t="s">
        <v>5</v>
      </c>
      <c r="G49" s="228"/>
      <c r="H49" s="228"/>
      <c r="I49" s="228"/>
      <c r="J49" s="228"/>
      <c r="K49" s="229"/>
      <c r="L49" s="230" t="s">
        <v>6</v>
      </c>
      <c r="M49" s="231"/>
      <c r="N49" s="231"/>
      <c r="O49" s="231"/>
      <c r="P49" s="231"/>
      <c r="Q49" s="232"/>
      <c r="R49" s="201" t="s">
        <v>45</v>
      </c>
      <c r="S49" s="203" t="s">
        <v>46</v>
      </c>
      <c r="T49" s="203" t="s">
        <v>47</v>
      </c>
      <c r="U49" s="205" t="s">
        <v>48</v>
      </c>
      <c r="AC49" s="101"/>
    </row>
    <row r="50" spans="1:30" ht="33" customHeight="1">
      <c r="A50" s="222"/>
      <c r="B50" s="222"/>
      <c r="C50" s="183" t="s">
        <v>190</v>
      </c>
      <c r="D50" s="183" t="s">
        <v>191</v>
      </c>
      <c r="E50" s="183" t="s">
        <v>192</v>
      </c>
      <c r="F50" s="2" t="s">
        <v>49</v>
      </c>
      <c r="G50" s="2" t="s">
        <v>50</v>
      </c>
      <c r="H50" s="2" t="s">
        <v>51</v>
      </c>
      <c r="I50" s="102" t="s">
        <v>11</v>
      </c>
      <c r="J50" s="2" t="s">
        <v>14</v>
      </c>
      <c r="K50" s="2" t="s">
        <v>8</v>
      </c>
      <c r="L50" s="2" t="s">
        <v>50</v>
      </c>
      <c r="M50" s="2" t="s">
        <v>45</v>
      </c>
      <c r="N50" s="102" t="s">
        <v>12</v>
      </c>
      <c r="O50" s="102" t="s">
        <v>15</v>
      </c>
      <c r="P50" s="2" t="s">
        <v>14</v>
      </c>
      <c r="Q50" s="82" t="s">
        <v>8</v>
      </c>
      <c r="R50" s="202"/>
      <c r="S50" s="204"/>
      <c r="T50" s="204"/>
      <c r="U50" s="205"/>
    </row>
    <row r="51" spans="1:30" ht="21" customHeight="1">
      <c r="A51" s="81">
        <v>1</v>
      </c>
      <c r="B51" s="103" t="s">
        <v>52</v>
      </c>
      <c r="C51" s="103" t="s">
        <v>210</v>
      </c>
      <c r="D51" s="103" t="s">
        <v>194</v>
      </c>
      <c r="E51" s="178" t="s">
        <v>211</v>
      </c>
      <c r="F51" s="2">
        <v>279975.59999999998</v>
      </c>
      <c r="G51" s="2">
        <v>279975.59999999998</v>
      </c>
      <c r="H51" s="104">
        <f t="shared" ref="H51:H116" si="19">G51-F51</f>
        <v>0</v>
      </c>
      <c r="I51" s="105">
        <v>22177.02</v>
      </c>
      <c r="J51" s="49">
        <v>0</v>
      </c>
      <c r="K51" s="10">
        <f t="shared" ref="K51:K116" si="20">IFERROR(H51/J51,0)</f>
        <v>0</v>
      </c>
      <c r="L51" s="2">
        <v>279975.59999999998</v>
      </c>
      <c r="M51" s="106">
        <f t="shared" ref="M51:M116" si="21">L51-G51</f>
        <v>0</v>
      </c>
      <c r="N51" s="105">
        <v>22177.02</v>
      </c>
      <c r="O51" s="107">
        <f t="shared" ref="O51:O116" si="22">N51-I51</f>
        <v>0</v>
      </c>
      <c r="P51" s="2">
        <v>0</v>
      </c>
      <c r="Q51" s="28">
        <f t="shared" ref="Q51:Q116" si="23">IFERROR(M51/P51,0)</f>
        <v>0</v>
      </c>
      <c r="R51" s="84">
        <f t="shared" ref="R51:R116" si="24">M51+H51</f>
        <v>0</v>
      </c>
      <c r="S51" s="79">
        <f t="shared" ref="S51:S116" si="25">J51+P51</f>
        <v>0</v>
      </c>
      <c r="T51" s="34">
        <f t="shared" ref="T51:T116" si="26">IFERROR(R51/S51,0)</f>
        <v>0</v>
      </c>
      <c r="U51" s="108">
        <v>28</v>
      </c>
    </row>
    <row r="52" spans="1:30" ht="21" customHeight="1">
      <c r="A52" s="81">
        <v>2</v>
      </c>
      <c r="B52" s="103" t="s">
        <v>155</v>
      </c>
      <c r="C52" s="103" t="s">
        <v>210</v>
      </c>
      <c r="D52" s="103" t="s">
        <v>194</v>
      </c>
      <c r="E52" s="178" t="s">
        <v>223</v>
      </c>
      <c r="F52" s="2">
        <v>303038</v>
      </c>
      <c r="G52" s="2">
        <v>303038</v>
      </c>
      <c r="H52" s="104">
        <f t="shared" si="19"/>
        <v>0</v>
      </c>
      <c r="I52" s="105">
        <v>30635</v>
      </c>
      <c r="J52" s="49">
        <v>0</v>
      </c>
      <c r="K52" s="10">
        <f t="shared" si="20"/>
        <v>0</v>
      </c>
      <c r="L52" s="2">
        <v>303038</v>
      </c>
      <c r="M52" s="106">
        <f t="shared" si="21"/>
        <v>0</v>
      </c>
      <c r="N52" s="105">
        <v>30635</v>
      </c>
      <c r="O52" s="107">
        <f t="shared" si="22"/>
        <v>0</v>
      </c>
      <c r="P52" s="2">
        <v>0</v>
      </c>
      <c r="Q52" s="28">
        <f t="shared" si="23"/>
        <v>0</v>
      </c>
      <c r="R52" s="84">
        <f t="shared" si="24"/>
        <v>0</v>
      </c>
      <c r="S52" s="79">
        <f t="shared" si="25"/>
        <v>0</v>
      </c>
      <c r="T52" s="34">
        <f t="shared" si="26"/>
        <v>0</v>
      </c>
      <c r="U52" s="108">
        <v>44</v>
      </c>
    </row>
    <row r="53" spans="1:30" ht="21" customHeight="1">
      <c r="A53" s="81">
        <v>3</v>
      </c>
      <c r="B53" s="103" t="s">
        <v>171</v>
      </c>
      <c r="C53" s="103" t="s">
        <v>210</v>
      </c>
      <c r="D53" s="103" t="s">
        <v>194</v>
      </c>
      <c r="E53" s="178" t="s">
        <v>223</v>
      </c>
      <c r="F53" s="2">
        <v>312059</v>
      </c>
      <c r="G53" s="2">
        <v>312059</v>
      </c>
      <c r="H53" s="104">
        <f t="shared" si="19"/>
        <v>0</v>
      </c>
      <c r="I53" s="105">
        <v>31170</v>
      </c>
      <c r="J53" s="49">
        <v>0</v>
      </c>
      <c r="K53" s="10">
        <f t="shared" si="20"/>
        <v>0</v>
      </c>
      <c r="L53" s="2">
        <v>312059</v>
      </c>
      <c r="M53" s="106">
        <f t="shared" si="21"/>
        <v>0</v>
      </c>
      <c r="N53" s="105">
        <v>31170</v>
      </c>
      <c r="O53" s="107">
        <f t="shared" si="22"/>
        <v>0</v>
      </c>
      <c r="P53" s="2">
        <v>0</v>
      </c>
      <c r="Q53" s="28">
        <f t="shared" si="23"/>
        <v>0</v>
      </c>
      <c r="R53" s="84">
        <f t="shared" si="24"/>
        <v>0</v>
      </c>
      <c r="S53" s="79">
        <f t="shared" si="25"/>
        <v>0</v>
      </c>
      <c r="T53" s="34">
        <f t="shared" si="26"/>
        <v>0</v>
      </c>
      <c r="U53" s="108">
        <v>31</v>
      </c>
    </row>
    <row r="54" spans="1:30" ht="21" customHeight="1">
      <c r="A54" s="81">
        <v>4</v>
      </c>
      <c r="B54" s="103" t="s">
        <v>156</v>
      </c>
      <c r="C54" s="103" t="s">
        <v>210</v>
      </c>
      <c r="D54" s="103" t="s">
        <v>194</v>
      </c>
      <c r="E54" s="178" t="s">
        <v>223</v>
      </c>
      <c r="F54" s="2">
        <v>263094</v>
      </c>
      <c r="G54" s="2">
        <v>263094</v>
      </c>
      <c r="H54" s="104">
        <f t="shared" si="19"/>
        <v>0</v>
      </c>
      <c r="I54" s="105">
        <v>27871</v>
      </c>
      <c r="J54" s="49">
        <v>0</v>
      </c>
      <c r="K54" s="10">
        <f t="shared" si="20"/>
        <v>0</v>
      </c>
      <c r="L54" s="2">
        <v>263094</v>
      </c>
      <c r="M54" s="106">
        <f t="shared" si="21"/>
        <v>0</v>
      </c>
      <c r="N54" s="105">
        <v>27871</v>
      </c>
      <c r="O54" s="107">
        <f t="shared" si="22"/>
        <v>0</v>
      </c>
      <c r="P54" s="2">
        <v>0</v>
      </c>
      <c r="Q54" s="28">
        <f t="shared" si="23"/>
        <v>0</v>
      </c>
      <c r="R54" s="84">
        <f t="shared" si="24"/>
        <v>0</v>
      </c>
      <c r="S54" s="79">
        <f t="shared" si="25"/>
        <v>0</v>
      </c>
      <c r="T54" s="34">
        <f t="shared" si="26"/>
        <v>0</v>
      </c>
      <c r="U54" s="108">
        <v>35</v>
      </c>
    </row>
    <row r="55" spans="1:30" ht="21" customHeight="1">
      <c r="A55" s="81">
        <v>5</v>
      </c>
      <c r="B55" s="103" t="s">
        <v>157</v>
      </c>
      <c r="C55" s="103" t="s">
        <v>210</v>
      </c>
      <c r="D55" s="103" t="s">
        <v>194</v>
      </c>
      <c r="E55" s="178" t="s">
        <v>223</v>
      </c>
      <c r="F55" s="2">
        <v>278156</v>
      </c>
      <c r="G55" s="2">
        <v>278156</v>
      </c>
      <c r="H55" s="104">
        <f t="shared" si="19"/>
        <v>0</v>
      </c>
      <c r="I55" s="105">
        <v>28202</v>
      </c>
      <c r="J55" s="49">
        <v>0</v>
      </c>
      <c r="K55" s="10">
        <f t="shared" si="20"/>
        <v>0</v>
      </c>
      <c r="L55" s="2">
        <v>278156</v>
      </c>
      <c r="M55" s="106">
        <f t="shared" si="21"/>
        <v>0</v>
      </c>
      <c r="N55" s="105">
        <v>28202</v>
      </c>
      <c r="O55" s="107">
        <f t="shared" si="22"/>
        <v>0</v>
      </c>
      <c r="P55" s="2">
        <v>0</v>
      </c>
      <c r="Q55" s="28">
        <f t="shared" si="23"/>
        <v>0</v>
      </c>
      <c r="R55" s="84">
        <f t="shared" si="24"/>
        <v>0</v>
      </c>
      <c r="S55" s="79">
        <f t="shared" si="25"/>
        <v>0</v>
      </c>
      <c r="T55" s="34">
        <f t="shared" si="26"/>
        <v>0</v>
      </c>
      <c r="U55" s="108">
        <v>29</v>
      </c>
    </row>
    <row r="56" spans="1:30" ht="21" customHeight="1">
      <c r="A56" s="81">
        <v>6</v>
      </c>
      <c r="B56" s="103" t="s">
        <v>172</v>
      </c>
      <c r="C56" s="103" t="s">
        <v>210</v>
      </c>
      <c r="D56" s="103" t="s">
        <v>194</v>
      </c>
      <c r="E56" s="178" t="s">
        <v>223</v>
      </c>
      <c r="F56" s="2">
        <v>267403</v>
      </c>
      <c r="G56" s="2">
        <v>267403</v>
      </c>
      <c r="H56" s="104">
        <f t="shared" si="19"/>
        <v>0</v>
      </c>
      <c r="I56" s="105">
        <v>26463</v>
      </c>
      <c r="J56" s="49">
        <v>0</v>
      </c>
      <c r="K56" s="10">
        <f t="shared" si="20"/>
        <v>0</v>
      </c>
      <c r="L56" s="2">
        <v>267403</v>
      </c>
      <c r="M56" s="106">
        <f t="shared" si="21"/>
        <v>0</v>
      </c>
      <c r="N56" s="105">
        <v>26463</v>
      </c>
      <c r="O56" s="107">
        <f t="shared" si="22"/>
        <v>0</v>
      </c>
      <c r="P56" s="2">
        <v>0</v>
      </c>
      <c r="Q56" s="28">
        <f t="shared" si="23"/>
        <v>0</v>
      </c>
      <c r="R56" s="84">
        <f t="shared" si="24"/>
        <v>0</v>
      </c>
      <c r="S56" s="79">
        <f t="shared" si="25"/>
        <v>0</v>
      </c>
      <c r="T56" s="34">
        <f t="shared" si="26"/>
        <v>0</v>
      </c>
      <c r="U56" s="108">
        <v>11</v>
      </c>
    </row>
    <row r="57" spans="1:30" ht="21" customHeight="1">
      <c r="A57" s="81">
        <v>7</v>
      </c>
      <c r="B57" s="103" t="s">
        <v>173</v>
      </c>
      <c r="C57" s="103" t="s">
        <v>210</v>
      </c>
      <c r="D57" s="103" t="s">
        <v>194</v>
      </c>
      <c r="E57" s="178" t="s">
        <v>223</v>
      </c>
      <c r="F57" s="2">
        <v>296005</v>
      </c>
      <c r="G57" s="2">
        <v>296005</v>
      </c>
      <c r="H57" s="104">
        <f t="shared" si="19"/>
        <v>0</v>
      </c>
      <c r="I57" s="105">
        <v>28807</v>
      </c>
      <c r="J57" s="49">
        <v>0</v>
      </c>
      <c r="K57" s="10">
        <f t="shared" si="20"/>
        <v>0</v>
      </c>
      <c r="L57" s="2">
        <v>296005</v>
      </c>
      <c r="M57" s="106">
        <f t="shared" si="21"/>
        <v>0</v>
      </c>
      <c r="N57" s="105">
        <v>28807</v>
      </c>
      <c r="O57" s="107">
        <f t="shared" si="22"/>
        <v>0</v>
      </c>
      <c r="P57" s="2">
        <v>0</v>
      </c>
      <c r="Q57" s="28">
        <f t="shared" si="23"/>
        <v>0</v>
      </c>
      <c r="R57" s="84">
        <f t="shared" si="24"/>
        <v>0</v>
      </c>
      <c r="S57" s="79">
        <f t="shared" si="25"/>
        <v>0</v>
      </c>
      <c r="T57" s="34">
        <f t="shared" si="26"/>
        <v>0</v>
      </c>
      <c r="U57" s="108">
        <v>0</v>
      </c>
    </row>
    <row r="58" spans="1:30" ht="24" customHeight="1">
      <c r="A58" s="81">
        <v>8</v>
      </c>
      <c r="B58" s="31" t="s">
        <v>53</v>
      </c>
      <c r="C58" s="103" t="s">
        <v>210</v>
      </c>
      <c r="D58" s="103" t="s">
        <v>194</v>
      </c>
      <c r="E58" s="178" t="s">
        <v>211</v>
      </c>
      <c r="F58" s="35">
        <v>335550.4</v>
      </c>
      <c r="G58" s="35">
        <v>335550.4</v>
      </c>
      <c r="H58" s="104">
        <f t="shared" si="19"/>
        <v>0</v>
      </c>
      <c r="I58" s="110">
        <v>29982.36</v>
      </c>
      <c r="J58" s="111">
        <v>0</v>
      </c>
      <c r="K58" s="10">
        <f t="shared" si="20"/>
        <v>0</v>
      </c>
      <c r="L58" s="35">
        <v>335581.1</v>
      </c>
      <c r="M58" s="106">
        <f t="shared" si="21"/>
        <v>30.699999999953434</v>
      </c>
      <c r="N58" s="110">
        <v>29987.35</v>
      </c>
      <c r="O58" s="107">
        <f t="shared" si="22"/>
        <v>4.9899999999979627</v>
      </c>
      <c r="P58" s="112">
        <v>60</v>
      </c>
      <c r="Q58" s="28">
        <f t="shared" si="23"/>
        <v>0.51166666666589056</v>
      </c>
      <c r="R58" s="84">
        <f t="shared" si="24"/>
        <v>30.699999999953434</v>
      </c>
      <c r="S58" s="79">
        <f t="shared" si="25"/>
        <v>60</v>
      </c>
      <c r="T58" s="34">
        <f t="shared" si="26"/>
        <v>0.51166666666589056</v>
      </c>
      <c r="U58" s="1">
        <v>38</v>
      </c>
    </row>
    <row r="59" spans="1:30" ht="24" customHeight="1">
      <c r="A59" s="81">
        <v>9</v>
      </c>
      <c r="B59" s="31" t="s">
        <v>54</v>
      </c>
      <c r="C59" s="103" t="s">
        <v>210</v>
      </c>
      <c r="D59" s="103" t="s">
        <v>194</v>
      </c>
      <c r="E59" s="178" t="s">
        <v>211</v>
      </c>
      <c r="F59" s="104">
        <v>294295</v>
      </c>
      <c r="G59" s="104">
        <v>294295</v>
      </c>
      <c r="H59" s="104">
        <f t="shared" si="19"/>
        <v>0</v>
      </c>
      <c r="I59" s="110">
        <v>28202.11</v>
      </c>
      <c r="J59" s="111">
        <v>0</v>
      </c>
      <c r="K59" s="10">
        <f t="shared" si="20"/>
        <v>0</v>
      </c>
      <c r="L59" s="104">
        <v>294295</v>
      </c>
      <c r="M59" s="106">
        <f>L59-G59</f>
        <v>0</v>
      </c>
      <c r="N59" s="110">
        <v>28202.11</v>
      </c>
      <c r="O59" s="107">
        <f t="shared" si="22"/>
        <v>0</v>
      </c>
      <c r="P59" s="111">
        <v>0</v>
      </c>
      <c r="Q59" s="28">
        <f t="shared" si="23"/>
        <v>0</v>
      </c>
      <c r="R59" s="84">
        <f t="shared" si="24"/>
        <v>0</v>
      </c>
      <c r="S59" s="79">
        <f t="shared" si="25"/>
        <v>0</v>
      </c>
      <c r="T59" s="34">
        <f t="shared" si="26"/>
        <v>0</v>
      </c>
      <c r="U59" s="1">
        <v>39</v>
      </c>
      <c r="AD59" s="101"/>
    </row>
    <row r="60" spans="1:30" ht="24" customHeight="1">
      <c r="A60" s="81">
        <v>10</v>
      </c>
      <c r="B60" s="31" t="s">
        <v>55</v>
      </c>
      <c r="C60" s="103" t="s">
        <v>210</v>
      </c>
      <c r="D60" s="103" t="s">
        <v>194</v>
      </c>
      <c r="E60" s="178" t="s">
        <v>211</v>
      </c>
      <c r="F60" s="104">
        <v>298966.09999999998</v>
      </c>
      <c r="G60" s="104">
        <v>298966.09999999998</v>
      </c>
      <c r="H60" s="104">
        <f t="shared" si="19"/>
        <v>0</v>
      </c>
      <c r="I60" s="110">
        <v>27108.58</v>
      </c>
      <c r="J60" s="111">
        <v>0</v>
      </c>
      <c r="K60" s="10">
        <f t="shared" si="20"/>
        <v>0</v>
      </c>
      <c r="L60" s="104">
        <v>298966.09999999998</v>
      </c>
      <c r="M60" s="106">
        <f>L60-G60</f>
        <v>0</v>
      </c>
      <c r="N60" s="110">
        <v>27108.58</v>
      </c>
      <c r="O60" s="107">
        <f t="shared" si="22"/>
        <v>0</v>
      </c>
      <c r="P60" s="111">
        <v>0</v>
      </c>
      <c r="Q60" s="28">
        <f t="shared" si="23"/>
        <v>0</v>
      </c>
      <c r="R60" s="84">
        <f t="shared" si="24"/>
        <v>0</v>
      </c>
      <c r="S60" s="79">
        <f t="shared" si="25"/>
        <v>0</v>
      </c>
      <c r="T60" s="34">
        <f t="shared" si="26"/>
        <v>0</v>
      </c>
      <c r="U60" s="1">
        <v>0</v>
      </c>
      <c r="AD60" s="101"/>
    </row>
    <row r="61" spans="1:30" ht="24" customHeight="1">
      <c r="A61" s="81">
        <v>11</v>
      </c>
      <c r="B61" s="31" t="s">
        <v>56</v>
      </c>
      <c r="C61" s="103" t="s">
        <v>210</v>
      </c>
      <c r="D61" s="103" t="s">
        <v>194</v>
      </c>
      <c r="E61" s="178" t="s">
        <v>211</v>
      </c>
      <c r="F61" s="104">
        <v>341845</v>
      </c>
      <c r="G61" s="104">
        <v>341845</v>
      </c>
      <c r="H61" s="104">
        <f t="shared" si="19"/>
        <v>0</v>
      </c>
      <c r="I61" s="110">
        <v>27024.46</v>
      </c>
      <c r="J61" s="111">
        <v>0</v>
      </c>
      <c r="K61" s="10">
        <f t="shared" si="20"/>
        <v>0</v>
      </c>
      <c r="L61" s="104">
        <v>341845</v>
      </c>
      <c r="M61" s="106">
        <f>L61-G61</f>
        <v>0</v>
      </c>
      <c r="N61" s="110">
        <v>27024.46</v>
      </c>
      <c r="O61" s="107">
        <f t="shared" si="22"/>
        <v>0</v>
      </c>
      <c r="P61" s="111">
        <v>0</v>
      </c>
      <c r="Q61" s="28">
        <f t="shared" si="23"/>
        <v>0</v>
      </c>
      <c r="R61" s="84">
        <f t="shared" si="24"/>
        <v>0</v>
      </c>
      <c r="S61" s="79">
        <f t="shared" si="25"/>
        <v>0</v>
      </c>
      <c r="T61" s="34">
        <f t="shared" si="26"/>
        <v>0</v>
      </c>
      <c r="U61" s="1">
        <v>17</v>
      </c>
      <c r="AD61" s="101"/>
    </row>
    <row r="62" spans="1:30" ht="24" customHeight="1">
      <c r="A62" s="81">
        <v>12</v>
      </c>
      <c r="B62" s="31" t="s">
        <v>57</v>
      </c>
      <c r="C62" s="103" t="s">
        <v>210</v>
      </c>
      <c r="D62" s="103" t="s">
        <v>194</v>
      </c>
      <c r="E62" s="178" t="s">
        <v>211</v>
      </c>
      <c r="F62" s="104">
        <v>344876.4</v>
      </c>
      <c r="G62" s="104">
        <v>344876.4</v>
      </c>
      <c r="H62" s="104">
        <f t="shared" si="19"/>
        <v>0</v>
      </c>
      <c r="I62" s="110">
        <v>26835.33</v>
      </c>
      <c r="J62" s="111">
        <v>0</v>
      </c>
      <c r="K62" s="10">
        <f t="shared" si="20"/>
        <v>0</v>
      </c>
      <c r="L62" s="104">
        <v>344876.4</v>
      </c>
      <c r="M62" s="106">
        <f>L62-G62</f>
        <v>0</v>
      </c>
      <c r="N62" s="110">
        <v>26835.33</v>
      </c>
      <c r="O62" s="107">
        <f t="shared" si="22"/>
        <v>0</v>
      </c>
      <c r="P62" s="111">
        <v>0</v>
      </c>
      <c r="Q62" s="28">
        <f t="shared" si="23"/>
        <v>0</v>
      </c>
      <c r="R62" s="84">
        <f t="shared" si="24"/>
        <v>0</v>
      </c>
      <c r="S62" s="79">
        <f t="shared" si="25"/>
        <v>0</v>
      </c>
      <c r="T62" s="34">
        <f t="shared" si="26"/>
        <v>0</v>
      </c>
      <c r="U62" s="1">
        <v>8</v>
      </c>
      <c r="AD62" s="101"/>
    </row>
    <row r="63" spans="1:30" ht="24" customHeight="1">
      <c r="A63" s="81">
        <v>13</v>
      </c>
      <c r="B63" s="31" t="s">
        <v>58</v>
      </c>
      <c r="C63" s="103" t="s">
        <v>210</v>
      </c>
      <c r="D63" s="103" t="s">
        <v>194</v>
      </c>
      <c r="E63" s="178" t="s">
        <v>211</v>
      </c>
      <c r="F63" s="35">
        <v>301656.7</v>
      </c>
      <c r="G63" s="35">
        <v>301656.7</v>
      </c>
      <c r="H63" s="104">
        <f t="shared" si="19"/>
        <v>0</v>
      </c>
      <c r="I63" s="110">
        <v>26829.040000000001</v>
      </c>
      <c r="J63" s="111">
        <v>0</v>
      </c>
      <c r="K63" s="10">
        <f t="shared" si="20"/>
        <v>0</v>
      </c>
      <c r="L63" s="35">
        <v>301736.7</v>
      </c>
      <c r="M63" s="106">
        <f t="shared" si="21"/>
        <v>80</v>
      </c>
      <c r="N63" s="110">
        <v>26838.12</v>
      </c>
      <c r="O63" s="107">
        <f t="shared" si="22"/>
        <v>9.0799999999981083</v>
      </c>
      <c r="P63" s="112">
        <v>160</v>
      </c>
      <c r="Q63" s="28">
        <f>IFERROR(M63/P63,0)</f>
        <v>0.5</v>
      </c>
      <c r="R63" s="84">
        <f t="shared" si="24"/>
        <v>80</v>
      </c>
      <c r="S63" s="79">
        <f t="shared" si="25"/>
        <v>160</v>
      </c>
      <c r="T63" s="34">
        <f t="shared" si="26"/>
        <v>0.5</v>
      </c>
      <c r="U63" s="1">
        <v>30</v>
      </c>
      <c r="X63" s="113"/>
    </row>
    <row r="64" spans="1:30" ht="24" customHeight="1">
      <c r="A64" s="81">
        <v>14</v>
      </c>
      <c r="B64" s="31" t="s">
        <v>59</v>
      </c>
      <c r="C64" s="103" t="s">
        <v>210</v>
      </c>
      <c r="D64" s="103" t="s">
        <v>194</v>
      </c>
      <c r="E64" s="178" t="s">
        <v>211</v>
      </c>
      <c r="F64" s="35">
        <v>273665.59999999998</v>
      </c>
      <c r="G64" s="35">
        <v>273665.59999999998</v>
      </c>
      <c r="H64" s="104">
        <f t="shared" si="19"/>
        <v>0</v>
      </c>
      <c r="I64" s="110">
        <v>25593.43</v>
      </c>
      <c r="J64" s="111">
        <v>0</v>
      </c>
      <c r="K64" s="10">
        <f t="shared" si="20"/>
        <v>0</v>
      </c>
      <c r="L64" s="35">
        <v>273665.59999999998</v>
      </c>
      <c r="M64" s="106">
        <f>L64-G64</f>
        <v>0</v>
      </c>
      <c r="N64" s="110">
        <v>25593.43</v>
      </c>
      <c r="O64" s="107">
        <f t="shared" si="22"/>
        <v>0</v>
      </c>
      <c r="P64" s="111">
        <v>0</v>
      </c>
      <c r="Q64" s="28">
        <f>IFERROR(M64/P64,0)</f>
        <v>0</v>
      </c>
      <c r="R64" s="84">
        <f t="shared" si="24"/>
        <v>0</v>
      </c>
      <c r="S64" s="79">
        <f t="shared" si="25"/>
        <v>0</v>
      </c>
      <c r="T64" s="34">
        <f t="shared" si="26"/>
        <v>0</v>
      </c>
      <c r="U64" s="1">
        <v>11</v>
      </c>
      <c r="AA64" t="s">
        <v>60</v>
      </c>
    </row>
    <row r="65" spans="1:21" ht="24" customHeight="1">
      <c r="A65" s="81">
        <v>15</v>
      </c>
      <c r="B65" s="31" t="s">
        <v>61</v>
      </c>
      <c r="C65" s="103" t="s">
        <v>210</v>
      </c>
      <c r="D65" s="103" t="s">
        <v>194</v>
      </c>
      <c r="E65" s="178" t="s">
        <v>211</v>
      </c>
      <c r="F65" s="104">
        <v>286761.59999999998</v>
      </c>
      <c r="G65" s="104">
        <v>286761.59999999998</v>
      </c>
      <c r="H65" s="104">
        <f t="shared" si="19"/>
        <v>0</v>
      </c>
      <c r="I65" s="110">
        <v>26775.52</v>
      </c>
      <c r="J65" s="111">
        <v>0</v>
      </c>
      <c r="K65" s="10">
        <f t="shared" si="20"/>
        <v>0</v>
      </c>
      <c r="L65" s="104">
        <v>286761.59999999998</v>
      </c>
      <c r="M65" s="106">
        <f>L65-G65</f>
        <v>0</v>
      </c>
      <c r="N65" s="110">
        <v>26775.52</v>
      </c>
      <c r="O65" s="107">
        <f t="shared" si="22"/>
        <v>0</v>
      </c>
      <c r="P65" s="112">
        <v>0</v>
      </c>
      <c r="Q65" s="28">
        <f t="shared" si="23"/>
        <v>0</v>
      </c>
      <c r="R65" s="84">
        <f t="shared" si="24"/>
        <v>0</v>
      </c>
      <c r="S65" s="79">
        <f t="shared" si="25"/>
        <v>0</v>
      </c>
      <c r="T65" s="34">
        <f t="shared" si="26"/>
        <v>0</v>
      </c>
      <c r="U65" s="1">
        <v>10</v>
      </c>
    </row>
    <row r="66" spans="1:21" ht="24" customHeight="1">
      <c r="A66" s="81">
        <v>16</v>
      </c>
      <c r="B66" s="31" t="s">
        <v>62</v>
      </c>
      <c r="C66" s="103" t="s">
        <v>210</v>
      </c>
      <c r="D66" s="103" t="s">
        <v>194</v>
      </c>
      <c r="E66" s="178" t="s">
        <v>211</v>
      </c>
      <c r="F66" s="35">
        <v>304622</v>
      </c>
      <c r="G66" s="35">
        <v>304622</v>
      </c>
      <c r="H66" s="104">
        <f t="shared" si="19"/>
        <v>0</v>
      </c>
      <c r="I66" s="110">
        <v>27412.22</v>
      </c>
      <c r="J66" s="111">
        <v>0</v>
      </c>
      <c r="K66" s="10">
        <f t="shared" si="20"/>
        <v>0</v>
      </c>
      <c r="L66" s="35">
        <v>304622</v>
      </c>
      <c r="M66" s="106">
        <f t="shared" si="21"/>
        <v>0</v>
      </c>
      <c r="N66" s="110">
        <v>27412.22</v>
      </c>
      <c r="O66" s="107">
        <f t="shared" si="22"/>
        <v>0</v>
      </c>
      <c r="P66" s="112">
        <v>0</v>
      </c>
      <c r="Q66" s="28">
        <f t="shared" si="23"/>
        <v>0</v>
      </c>
      <c r="R66" s="84">
        <f t="shared" si="24"/>
        <v>0</v>
      </c>
      <c r="S66" s="79">
        <f t="shared" si="25"/>
        <v>0</v>
      </c>
      <c r="T66" s="34">
        <f t="shared" si="26"/>
        <v>0</v>
      </c>
      <c r="U66" s="1">
        <v>0</v>
      </c>
    </row>
    <row r="67" spans="1:21" ht="24" customHeight="1">
      <c r="A67" s="81">
        <v>17</v>
      </c>
      <c r="B67" s="31" t="s">
        <v>158</v>
      </c>
      <c r="C67" s="103" t="s">
        <v>210</v>
      </c>
      <c r="D67" s="103" t="s">
        <v>194</v>
      </c>
      <c r="E67" s="178" t="s">
        <v>222</v>
      </c>
      <c r="F67" s="17">
        <v>276563</v>
      </c>
      <c r="G67" s="17">
        <v>276563</v>
      </c>
      <c r="H67" s="104">
        <f t="shared" si="19"/>
        <v>0</v>
      </c>
      <c r="I67" s="110">
        <v>25223</v>
      </c>
      <c r="J67" s="111">
        <v>0</v>
      </c>
      <c r="K67" s="10">
        <f t="shared" si="20"/>
        <v>0</v>
      </c>
      <c r="L67" s="17">
        <v>276563</v>
      </c>
      <c r="M67" s="106">
        <f t="shared" si="21"/>
        <v>0</v>
      </c>
      <c r="N67" s="110">
        <v>25223</v>
      </c>
      <c r="O67" s="107">
        <f t="shared" si="22"/>
        <v>0</v>
      </c>
      <c r="P67" s="111">
        <v>0</v>
      </c>
      <c r="Q67" s="28">
        <f t="shared" si="23"/>
        <v>0</v>
      </c>
      <c r="R67" s="84">
        <f t="shared" si="24"/>
        <v>0</v>
      </c>
      <c r="S67" s="79">
        <f t="shared" si="25"/>
        <v>0</v>
      </c>
      <c r="T67" s="34">
        <f t="shared" si="26"/>
        <v>0</v>
      </c>
      <c r="U67" s="1">
        <v>33</v>
      </c>
    </row>
    <row r="68" spans="1:21" ht="24" customHeight="1">
      <c r="A68" s="81">
        <v>18</v>
      </c>
      <c r="B68" s="31" t="s">
        <v>159</v>
      </c>
      <c r="C68" s="103" t="s">
        <v>210</v>
      </c>
      <c r="D68" s="103" t="s">
        <v>194</v>
      </c>
      <c r="E68" s="178" t="s">
        <v>222</v>
      </c>
      <c r="F68" s="17">
        <v>279927</v>
      </c>
      <c r="G68" s="17">
        <v>279927</v>
      </c>
      <c r="H68" s="104">
        <f t="shared" si="19"/>
        <v>0</v>
      </c>
      <c r="I68" s="110">
        <v>26079</v>
      </c>
      <c r="J68" s="111">
        <v>0</v>
      </c>
      <c r="K68" s="10">
        <f t="shared" si="20"/>
        <v>0</v>
      </c>
      <c r="L68" s="17">
        <v>279927</v>
      </c>
      <c r="M68" s="106">
        <f t="shared" si="21"/>
        <v>0</v>
      </c>
      <c r="N68" s="110">
        <v>26079</v>
      </c>
      <c r="O68" s="107">
        <f t="shared" si="22"/>
        <v>0</v>
      </c>
      <c r="P68" s="111">
        <v>0</v>
      </c>
      <c r="Q68" s="28">
        <f t="shared" si="23"/>
        <v>0</v>
      </c>
      <c r="R68" s="84">
        <f t="shared" si="24"/>
        <v>0</v>
      </c>
      <c r="S68" s="79">
        <f t="shared" si="25"/>
        <v>0</v>
      </c>
      <c r="T68" s="34">
        <f t="shared" si="26"/>
        <v>0</v>
      </c>
      <c r="U68" s="1">
        <v>17</v>
      </c>
    </row>
    <row r="69" spans="1:21" ht="24" customHeight="1">
      <c r="A69" s="81">
        <v>19</v>
      </c>
      <c r="B69" s="31" t="s">
        <v>160</v>
      </c>
      <c r="C69" s="103" t="s">
        <v>210</v>
      </c>
      <c r="D69" s="103" t="s">
        <v>194</v>
      </c>
      <c r="E69" s="178" t="s">
        <v>222</v>
      </c>
      <c r="F69" s="17">
        <v>306717</v>
      </c>
      <c r="G69" s="17">
        <v>306717</v>
      </c>
      <c r="H69" s="104">
        <f t="shared" si="19"/>
        <v>0</v>
      </c>
      <c r="I69" s="110">
        <v>25242</v>
      </c>
      <c r="J69" s="111">
        <v>0</v>
      </c>
      <c r="K69" s="10">
        <f t="shared" si="20"/>
        <v>0</v>
      </c>
      <c r="L69" s="17">
        <v>306717</v>
      </c>
      <c r="M69" s="106">
        <f t="shared" si="21"/>
        <v>0</v>
      </c>
      <c r="N69" s="110">
        <v>25242</v>
      </c>
      <c r="O69" s="107">
        <f t="shared" si="22"/>
        <v>0</v>
      </c>
      <c r="P69" s="111">
        <v>0</v>
      </c>
      <c r="Q69" s="28">
        <f t="shared" si="23"/>
        <v>0</v>
      </c>
      <c r="R69" s="84">
        <f t="shared" si="24"/>
        <v>0</v>
      </c>
      <c r="S69" s="79">
        <f t="shared" si="25"/>
        <v>0</v>
      </c>
      <c r="T69" s="34">
        <f t="shared" si="26"/>
        <v>0</v>
      </c>
      <c r="U69" s="1">
        <v>0</v>
      </c>
    </row>
    <row r="70" spans="1:21" ht="24" customHeight="1">
      <c r="A70" s="81">
        <v>20</v>
      </c>
      <c r="B70" s="31" t="s">
        <v>161</v>
      </c>
      <c r="C70" s="103" t="s">
        <v>210</v>
      </c>
      <c r="D70" s="103" t="s">
        <v>194</v>
      </c>
      <c r="E70" s="178" t="s">
        <v>222</v>
      </c>
      <c r="F70" s="17">
        <v>306411</v>
      </c>
      <c r="G70" s="17">
        <v>306411</v>
      </c>
      <c r="H70" s="104">
        <f t="shared" si="19"/>
        <v>0</v>
      </c>
      <c r="I70" s="110">
        <v>25606</v>
      </c>
      <c r="J70" s="116">
        <v>0</v>
      </c>
      <c r="K70" s="10">
        <f t="shared" si="20"/>
        <v>0</v>
      </c>
      <c r="L70" s="17">
        <v>306411</v>
      </c>
      <c r="M70" s="106">
        <f t="shared" si="21"/>
        <v>0</v>
      </c>
      <c r="N70" s="110">
        <v>25606</v>
      </c>
      <c r="O70" s="107">
        <f t="shared" si="22"/>
        <v>0</v>
      </c>
      <c r="P70" s="111">
        <v>0</v>
      </c>
      <c r="Q70" s="28">
        <f t="shared" si="23"/>
        <v>0</v>
      </c>
      <c r="R70" s="84">
        <f t="shared" si="24"/>
        <v>0</v>
      </c>
      <c r="S70" s="79">
        <f t="shared" si="25"/>
        <v>0</v>
      </c>
      <c r="T70" s="34">
        <f t="shared" si="26"/>
        <v>0</v>
      </c>
      <c r="U70" s="1">
        <v>31</v>
      </c>
    </row>
    <row r="71" spans="1:21" ht="24" customHeight="1">
      <c r="A71" s="81">
        <v>21</v>
      </c>
      <c r="B71" s="31" t="s">
        <v>162</v>
      </c>
      <c r="C71" s="103" t="s">
        <v>210</v>
      </c>
      <c r="D71" s="103" t="s">
        <v>194</v>
      </c>
      <c r="E71" s="178" t="s">
        <v>222</v>
      </c>
      <c r="F71" s="17">
        <v>322496</v>
      </c>
      <c r="G71" s="17">
        <v>322496</v>
      </c>
      <c r="H71" s="104">
        <f t="shared" si="19"/>
        <v>0</v>
      </c>
      <c r="I71" s="110">
        <v>26760</v>
      </c>
      <c r="J71" s="111">
        <v>0</v>
      </c>
      <c r="K71" s="10">
        <f t="shared" si="20"/>
        <v>0</v>
      </c>
      <c r="L71" s="17">
        <v>322496</v>
      </c>
      <c r="M71" s="106">
        <f t="shared" si="21"/>
        <v>0</v>
      </c>
      <c r="N71" s="110">
        <v>26760</v>
      </c>
      <c r="O71" s="107">
        <f t="shared" si="22"/>
        <v>0</v>
      </c>
      <c r="P71" s="111">
        <v>0</v>
      </c>
      <c r="Q71" s="28">
        <f t="shared" si="23"/>
        <v>0</v>
      </c>
      <c r="R71" s="84">
        <f t="shared" si="24"/>
        <v>0</v>
      </c>
      <c r="S71" s="79">
        <f t="shared" si="25"/>
        <v>0</v>
      </c>
      <c r="T71" s="34">
        <f t="shared" si="26"/>
        <v>0</v>
      </c>
      <c r="U71" s="1">
        <v>0</v>
      </c>
    </row>
    <row r="72" spans="1:21" ht="24" customHeight="1">
      <c r="A72" s="81">
        <v>22</v>
      </c>
      <c r="B72" s="31" t="s">
        <v>68</v>
      </c>
      <c r="C72" s="103" t="s">
        <v>210</v>
      </c>
      <c r="D72" s="103" t="s">
        <v>194</v>
      </c>
      <c r="E72" s="178" t="s">
        <v>211</v>
      </c>
      <c r="F72" s="17">
        <v>278598.40000000002</v>
      </c>
      <c r="G72" s="17">
        <v>278598.40000000002</v>
      </c>
      <c r="H72" s="104">
        <f t="shared" si="19"/>
        <v>0</v>
      </c>
      <c r="I72" s="110">
        <v>22635</v>
      </c>
      <c r="J72" s="111">
        <v>0</v>
      </c>
      <c r="K72" s="10">
        <f t="shared" si="20"/>
        <v>0</v>
      </c>
      <c r="L72" s="17">
        <v>278646.59999999998</v>
      </c>
      <c r="M72" s="106">
        <f t="shared" si="21"/>
        <v>48.199999999953434</v>
      </c>
      <c r="N72" s="110">
        <v>22643</v>
      </c>
      <c r="O72" s="107">
        <f t="shared" si="22"/>
        <v>8</v>
      </c>
      <c r="P72" s="112">
        <v>100</v>
      </c>
      <c r="Q72" s="28">
        <f t="shared" si="23"/>
        <v>0.48199999999953436</v>
      </c>
      <c r="R72" s="84">
        <f t="shared" si="24"/>
        <v>48.199999999953434</v>
      </c>
      <c r="S72" s="79">
        <f t="shared" si="25"/>
        <v>100</v>
      </c>
      <c r="T72" s="34">
        <f t="shared" si="26"/>
        <v>0.48199999999953436</v>
      </c>
      <c r="U72" s="1">
        <v>23</v>
      </c>
    </row>
    <row r="73" spans="1:21" ht="24" customHeight="1">
      <c r="A73" s="81">
        <v>23</v>
      </c>
      <c r="B73" s="31" t="s">
        <v>69</v>
      </c>
      <c r="C73" s="103" t="s">
        <v>210</v>
      </c>
      <c r="D73" s="103" t="s">
        <v>194</v>
      </c>
      <c r="E73" s="178" t="s">
        <v>211</v>
      </c>
      <c r="F73" s="17">
        <v>260568.3</v>
      </c>
      <c r="G73" s="17">
        <v>260568.3</v>
      </c>
      <c r="H73" s="104">
        <f t="shared" si="19"/>
        <v>0</v>
      </c>
      <c r="I73" s="110">
        <v>19992</v>
      </c>
      <c r="J73" s="111">
        <v>0</v>
      </c>
      <c r="K73" s="10">
        <f t="shared" si="20"/>
        <v>0</v>
      </c>
      <c r="L73" s="17">
        <v>260588</v>
      </c>
      <c r="M73" s="106">
        <f t="shared" si="21"/>
        <v>19.700000000011642</v>
      </c>
      <c r="N73" s="110">
        <v>19995</v>
      </c>
      <c r="O73" s="107">
        <f t="shared" si="22"/>
        <v>3</v>
      </c>
      <c r="P73" s="112">
        <v>59</v>
      </c>
      <c r="Q73" s="28">
        <f t="shared" si="23"/>
        <v>0.33389830508494306</v>
      </c>
      <c r="R73" s="84">
        <f t="shared" si="24"/>
        <v>19.700000000011642</v>
      </c>
      <c r="S73" s="79">
        <f t="shared" si="25"/>
        <v>59</v>
      </c>
      <c r="T73" s="34">
        <f t="shared" si="26"/>
        <v>0.33389830508494306</v>
      </c>
      <c r="U73" s="1">
        <v>30</v>
      </c>
    </row>
    <row r="74" spans="1:21" ht="24" customHeight="1">
      <c r="A74" s="81">
        <v>24</v>
      </c>
      <c r="B74" s="31" t="s">
        <v>70</v>
      </c>
      <c r="C74" s="103" t="s">
        <v>210</v>
      </c>
      <c r="D74" s="103" t="s">
        <v>194</v>
      </c>
      <c r="E74" s="178" t="s">
        <v>211</v>
      </c>
      <c r="F74" s="104">
        <v>305110.2</v>
      </c>
      <c r="G74" s="104">
        <v>305110.2</v>
      </c>
      <c r="H74" s="104">
        <f t="shared" si="19"/>
        <v>0</v>
      </c>
      <c r="I74" s="110">
        <v>5193</v>
      </c>
      <c r="J74" s="111">
        <v>0</v>
      </c>
      <c r="K74" s="10">
        <f t="shared" si="20"/>
        <v>0</v>
      </c>
      <c r="L74" s="104">
        <v>305153.2</v>
      </c>
      <c r="M74" s="106">
        <f t="shared" si="21"/>
        <v>43</v>
      </c>
      <c r="N74" s="110">
        <v>5200</v>
      </c>
      <c r="O74" s="107">
        <f t="shared" si="22"/>
        <v>7</v>
      </c>
      <c r="P74" s="111">
        <v>72</v>
      </c>
      <c r="Q74" s="28">
        <f t="shared" si="23"/>
        <v>0.59722222222222221</v>
      </c>
      <c r="R74" s="84">
        <f t="shared" si="24"/>
        <v>43</v>
      </c>
      <c r="S74" s="79">
        <f t="shared" si="25"/>
        <v>72</v>
      </c>
      <c r="T74" s="34">
        <f t="shared" si="26"/>
        <v>0.59722222222222221</v>
      </c>
      <c r="U74" s="1">
        <v>24</v>
      </c>
    </row>
    <row r="75" spans="1:21" ht="24" customHeight="1">
      <c r="A75" s="81">
        <v>25</v>
      </c>
      <c r="B75" s="31" t="s">
        <v>71</v>
      </c>
      <c r="C75" s="103" t="s">
        <v>210</v>
      </c>
      <c r="D75" s="103" t="s">
        <v>194</v>
      </c>
      <c r="E75" s="178" t="s">
        <v>211</v>
      </c>
      <c r="F75" s="35">
        <v>314970.5</v>
      </c>
      <c r="G75" s="35">
        <v>314970.5</v>
      </c>
      <c r="H75" s="104">
        <f t="shared" si="19"/>
        <v>0</v>
      </c>
      <c r="I75" s="110">
        <v>23069</v>
      </c>
      <c r="J75" s="111">
        <v>0</v>
      </c>
      <c r="K75" s="10">
        <f t="shared" si="20"/>
        <v>0</v>
      </c>
      <c r="L75" s="35">
        <v>315041.09999999998</v>
      </c>
      <c r="M75" s="106">
        <f t="shared" si="21"/>
        <v>70.599999999976717</v>
      </c>
      <c r="N75" s="110">
        <v>23078</v>
      </c>
      <c r="O75" s="107">
        <f t="shared" si="22"/>
        <v>9</v>
      </c>
      <c r="P75" s="111">
        <v>118</v>
      </c>
      <c r="Q75" s="28">
        <f>IFERROR(M75/P75,0)</f>
        <v>0.59830508474556543</v>
      </c>
      <c r="R75" s="84">
        <f t="shared" si="24"/>
        <v>70.599999999976717</v>
      </c>
      <c r="S75" s="79">
        <f>J75+P75</f>
        <v>118</v>
      </c>
      <c r="T75" s="34">
        <f t="shared" si="26"/>
        <v>0.59830508474556543</v>
      </c>
      <c r="U75" s="1">
        <v>25</v>
      </c>
    </row>
    <row r="76" spans="1:21" ht="24" customHeight="1">
      <c r="A76" s="81">
        <v>26</v>
      </c>
      <c r="B76" s="31" t="s">
        <v>72</v>
      </c>
      <c r="C76" s="103" t="s">
        <v>210</v>
      </c>
      <c r="D76" s="103" t="s">
        <v>194</v>
      </c>
      <c r="E76" s="178" t="s">
        <v>211</v>
      </c>
      <c r="F76" s="35">
        <v>285737.8</v>
      </c>
      <c r="G76" s="35">
        <v>285737.8</v>
      </c>
      <c r="H76" s="104">
        <f t="shared" si="19"/>
        <v>0</v>
      </c>
      <c r="I76" s="110">
        <v>20709</v>
      </c>
      <c r="J76" s="111">
        <v>0</v>
      </c>
      <c r="K76" s="10">
        <f t="shared" si="20"/>
        <v>0</v>
      </c>
      <c r="L76" s="35">
        <v>285795.59999999998</v>
      </c>
      <c r="M76" s="106">
        <f t="shared" si="21"/>
        <v>57.799999999988358</v>
      </c>
      <c r="N76" s="110">
        <v>20716</v>
      </c>
      <c r="O76" s="107">
        <f t="shared" si="22"/>
        <v>7</v>
      </c>
      <c r="P76" s="112">
        <v>107</v>
      </c>
      <c r="Q76" s="28">
        <f t="shared" si="23"/>
        <v>0.5401869158877417</v>
      </c>
      <c r="R76" s="84">
        <f t="shared" si="24"/>
        <v>57.799999999988358</v>
      </c>
      <c r="S76" s="79">
        <f t="shared" si="25"/>
        <v>107</v>
      </c>
      <c r="T76" s="34">
        <f t="shared" si="26"/>
        <v>0.5401869158877417</v>
      </c>
      <c r="U76" s="1">
        <v>44</v>
      </c>
    </row>
    <row r="77" spans="1:21" ht="24" customHeight="1">
      <c r="A77" s="81">
        <v>27</v>
      </c>
      <c r="B77" s="31" t="s">
        <v>73</v>
      </c>
      <c r="C77" s="103" t="s">
        <v>210</v>
      </c>
      <c r="D77" s="103" t="s">
        <v>194</v>
      </c>
      <c r="E77" s="178" t="s">
        <v>211</v>
      </c>
      <c r="F77" s="104">
        <v>313989</v>
      </c>
      <c r="G77" s="104">
        <v>313989</v>
      </c>
      <c r="H77" s="104">
        <f t="shared" si="19"/>
        <v>0</v>
      </c>
      <c r="I77" s="110">
        <v>22839</v>
      </c>
      <c r="J77" s="111">
        <v>0</v>
      </c>
      <c r="K77" s="10">
        <f t="shared" si="20"/>
        <v>0</v>
      </c>
      <c r="L77" s="104">
        <v>314065.90000000002</v>
      </c>
      <c r="M77" s="106">
        <f t="shared" si="21"/>
        <v>76.900000000023283</v>
      </c>
      <c r="N77" s="110">
        <v>22848</v>
      </c>
      <c r="O77" s="107">
        <f t="shared" si="22"/>
        <v>9</v>
      </c>
      <c r="P77" s="112">
        <v>132</v>
      </c>
      <c r="Q77" s="28">
        <f t="shared" si="23"/>
        <v>0.58257575757593394</v>
      </c>
      <c r="R77" s="84">
        <f t="shared" si="24"/>
        <v>76.900000000023283</v>
      </c>
      <c r="S77" s="79">
        <f t="shared" si="25"/>
        <v>132</v>
      </c>
      <c r="T77" s="34">
        <f t="shared" si="26"/>
        <v>0.58257575757593394</v>
      </c>
      <c r="U77" s="1">
        <v>42</v>
      </c>
    </row>
    <row r="78" spans="1:21" ht="24" customHeight="1">
      <c r="A78" s="81">
        <v>28</v>
      </c>
      <c r="B78" s="31" t="s">
        <v>74</v>
      </c>
      <c r="C78" s="103" t="s">
        <v>210</v>
      </c>
      <c r="D78" s="103" t="s">
        <v>194</v>
      </c>
      <c r="E78" s="178" t="s">
        <v>211</v>
      </c>
      <c r="F78" s="35">
        <v>284316.3</v>
      </c>
      <c r="G78" s="35">
        <v>284316.3</v>
      </c>
      <c r="H78" s="104">
        <f t="shared" si="19"/>
        <v>0</v>
      </c>
      <c r="I78" s="110">
        <v>4368</v>
      </c>
      <c r="J78" s="111">
        <v>0</v>
      </c>
      <c r="K78" s="10">
        <f t="shared" si="20"/>
        <v>0</v>
      </c>
      <c r="L78" s="35">
        <v>284366.59999999998</v>
      </c>
      <c r="M78" s="106">
        <f t="shared" si="21"/>
        <v>50.299999999988358</v>
      </c>
      <c r="N78" s="110">
        <v>4378</v>
      </c>
      <c r="O78" s="107">
        <f>N78-I78</f>
        <v>10</v>
      </c>
      <c r="P78" s="111">
        <v>96</v>
      </c>
      <c r="Q78" s="28">
        <f t="shared" si="23"/>
        <v>0.52395833333321207</v>
      </c>
      <c r="R78" s="84">
        <f t="shared" si="24"/>
        <v>50.299999999988358</v>
      </c>
      <c r="S78" s="79">
        <f t="shared" si="25"/>
        <v>96</v>
      </c>
      <c r="T78" s="34">
        <f t="shared" si="26"/>
        <v>0.52395833333321207</v>
      </c>
      <c r="U78" s="1">
        <v>32</v>
      </c>
    </row>
    <row r="79" spans="1:21" ht="24" customHeight="1">
      <c r="A79" s="81">
        <v>29</v>
      </c>
      <c r="B79" s="31" t="s">
        <v>75</v>
      </c>
      <c r="C79" s="103" t="s">
        <v>210</v>
      </c>
      <c r="D79" s="103" t="s">
        <v>194</v>
      </c>
      <c r="E79" s="178" t="s">
        <v>211</v>
      </c>
      <c r="F79" s="104">
        <v>302050</v>
      </c>
      <c r="G79" s="104">
        <v>302050</v>
      </c>
      <c r="H79" s="104">
        <f t="shared" si="19"/>
        <v>0</v>
      </c>
      <c r="I79" s="110">
        <v>21787</v>
      </c>
      <c r="J79" s="111">
        <v>0</v>
      </c>
      <c r="K79" s="10">
        <f t="shared" si="20"/>
        <v>0</v>
      </c>
      <c r="L79" s="104">
        <v>302090.2</v>
      </c>
      <c r="M79" s="106">
        <f t="shared" si="21"/>
        <v>40.200000000011642</v>
      </c>
      <c r="N79" s="110">
        <v>21795</v>
      </c>
      <c r="O79" s="107">
        <f t="shared" si="22"/>
        <v>8</v>
      </c>
      <c r="P79" s="112">
        <v>75</v>
      </c>
      <c r="Q79" s="28">
        <f t="shared" si="23"/>
        <v>0.53600000000015524</v>
      </c>
      <c r="R79" s="84">
        <f t="shared" si="24"/>
        <v>40.200000000011642</v>
      </c>
      <c r="S79" s="79">
        <f t="shared" si="25"/>
        <v>75</v>
      </c>
      <c r="T79" s="34">
        <f t="shared" si="26"/>
        <v>0.53600000000015524</v>
      </c>
      <c r="U79" s="1">
        <v>30</v>
      </c>
    </row>
    <row r="80" spans="1:21" ht="24" customHeight="1">
      <c r="A80" s="81">
        <v>30</v>
      </c>
      <c r="B80" s="31" t="s">
        <v>76</v>
      </c>
      <c r="C80" s="103" t="s">
        <v>210</v>
      </c>
      <c r="D80" s="103" t="s">
        <v>194</v>
      </c>
      <c r="E80" s="178" t="s">
        <v>211</v>
      </c>
      <c r="F80" s="104">
        <v>266672.2</v>
      </c>
      <c r="G80" s="104">
        <v>266672.2</v>
      </c>
      <c r="H80" s="104">
        <f t="shared" si="19"/>
        <v>0</v>
      </c>
      <c r="I80" s="110">
        <v>19740</v>
      </c>
      <c r="J80" s="111">
        <v>0</v>
      </c>
      <c r="K80" s="10">
        <f t="shared" si="20"/>
        <v>0</v>
      </c>
      <c r="L80" s="104">
        <v>266728.59999999998</v>
      </c>
      <c r="M80" s="106">
        <f t="shared" si="21"/>
        <v>56.399999999965075</v>
      </c>
      <c r="N80" s="110">
        <v>19748</v>
      </c>
      <c r="O80" s="107">
        <f t="shared" si="22"/>
        <v>8</v>
      </c>
      <c r="P80" s="111">
        <v>100</v>
      </c>
      <c r="Q80" s="28">
        <f t="shared" si="23"/>
        <v>0.56399999999965078</v>
      </c>
      <c r="R80" s="84">
        <f t="shared" si="24"/>
        <v>56.399999999965075</v>
      </c>
      <c r="S80" s="79">
        <f t="shared" si="25"/>
        <v>100</v>
      </c>
      <c r="T80" s="34">
        <f t="shared" si="26"/>
        <v>0.56399999999965078</v>
      </c>
      <c r="U80" s="1">
        <v>30</v>
      </c>
    </row>
    <row r="81" spans="1:21" ht="24" customHeight="1">
      <c r="A81" s="81">
        <v>31</v>
      </c>
      <c r="B81" s="31" t="s">
        <v>77</v>
      </c>
      <c r="C81" s="103" t="s">
        <v>210</v>
      </c>
      <c r="D81" s="103" t="s">
        <v>194</v>
      </c>
      <c r="E81" s="178" t="s">
        <v>211</v>
      </c>
      <c r="F81" s="83">
        <v>264189.3</v>
      </c>
      <c r="G81" s="83">
        <v>264189.3</v>
      </c>
      <c r="H81" s="104">
        <f t="shared" si="19"/>
        <v>0</v>
      </c>
      <c r="I81" s="110">
        <v>19395</v>
      </c>
      <c r="J81" s="111">
        <v>0</v>
      </c>
      <c r="K81" s="10">
        <f t="shared" si="20"/>
        <v>0</v>
      </c>
      <c r="L81" s="83">
        <v>264209.90000000002</v>
      </c>
      <c r="M81" s="106">
        <f t="shared" si="21"/>
        <v>20.600000000034925</v>
      </c>
      <c r="N81" s="110">
        <v>19398</v>
      </c>
      <c r="O81" s="107">
        <f>N81-I81</f>
        <v>3</v>
      </c>
      <c r="P81" s="111">
        <v>45</v>
      </c>
      <c r="Q81" s="28">
        <f t="shared" si="23"/>
        <v>0.45777777777855388</v>
      </c>
      <c r="R81" s="84">
        <f t="shared" si="24"/>
        <v>20.600000000034925</v>
      </c>
      <c r="S81" s="79">
        <f t="shared" si="25"/>
        <v>45</v>
      </c>
      <c r="T81" s="34">
        <f t="shared" si="26"/>
        <v>0.45777777777855388</v>
      </c>
      <c r="U81" s="1">
        <v>31</v>
      </c>
    </row>
    <row r="82" spans="1:21" ht="24" customHeight="1">
      <c r="A82" s="81">
        <v>32</v>
      </c>
      <c r="B82" s="31" t="s">
        <v>78</v>
      </c>
      <c r="C82" s="103" t="s">
        <v>210</v>
      </c>
      <c r="D82" s="103" t="s">
        <v>194</v>
      </c>
      <c r="E82" s="178" t="s">
        <v>211</v>
      </c>
      <c r="F82" s="104">
        <v>290513.7</v>
      </c>
      <c r="G82" s="104">
        <v>290513.7</v>
      </c>
      <c r="H82" s="104">
        <f t="shared" si="19"/>
        <v>0</v>
      </c>
      <c r="I82" s="110">
        <v>21016</v>
      </c>
      <c r="J82" s="111">
        <v>0</v>
      </c>
      <c r="K82" s="10">
        <f t="shared" si="20"/>
        <v>0</v>
      </c>
      <c r="L82" s="104">
        <v>290552.7</v>
      </c>
      <c r="M82" s="106">
        <f t="shared" si="21"/>
        <v>39</v>
      </c>
      <c r="N82" s="110">
        <v>21023</v>
      </c>
      <c r="O82" s="107">
        <f t="shared" si="22"/>
        <v>7</v>
      </c>
      <c r="P82" s="111">
        <v>68</v>
      </c>
      <c r="Q82" s="28">
        <f t="shared" si="23"/>
        <v>0.57352941176470584</v>
      </c>
      <c r="R82" s="84">
        <f t="shared" si="24"/>
        <v>39</v>
      </c>
      <c r="S82" s="79">
        <f t="shared" si="25"/>
        <v>68</v>
      </c>
      <c r="T82" s="34">
        <f t="shared" si="26"/>
        <v>0.57352941176470584</v>
      </c>
      <c r="U82" s="1">
        <v>31</v>
      </c>
    </row>
    <row r="83" spans="1:21" ht="24" customHeight="1">
      <c r="A83" s="81">
        <v>33</v>
      </c>
      <c r="B83" s="31" t="s">
        <v>79</v>
      </c>
      <c r="C83" s="103" t="s">
        <v>210</v>
      </c>
      <c r="D83" s="103" t="s">
        <v>194</v>
      </c>
      <c r="E83" s="178" t="s">
        <v>211</v>
      </c>
      <c r="F83" s="104">
        <v>305196.40000000002</v>
      </c>
      <c r="G83" s="104">
        <v>305196.40000000002</v>
      </c>
      <c r="H83" s="104">
        <f t="shared" si="19"/>
        <v>0</v>
      </c>
      <c r="I83" s="110">
        <v>21750</v>
      </c>
      <c r="J83" s="111">
        <v>0</v>
      </c>
      <c r="K83" s="10">
        <f t="shared" si="20"/>
        <v>0</v>
      </c>
      <c r="L83" s="104">
        <v>305272</v>
      </c>
      <c r="M83" s="106">
        <f t="shared" si="21"/>
        <v>75.599999999976717</v>
      </c>
      <c r="N83" s="110">
        <v>21759</v>
      </c>
      <c r="O83" s="107">
        <f t="shared" si="22"/>
        <v>9</v>
      </c>
      <c r="P83" s="111">
        <v>141</v>
      </c>
      <c r="Q83" s="28">
        <f t="shared" si="23"/>
        <v>0.53617021276579235</v>
      </c>
      <c r="R83" s="84">
        <f t="shared" si="24"/>
        <v>75.599999999976717</v>
      </c>
      <c r="S83" s="79">
        <f t="shared" si="25"/>
        <v>141</v>
      </c>
      <c r="T83" s="34">
        <f t="shared" si="26"/>
        <v>0.53617021276579235</v>
      </c>
      <c r="U83" s="1">
        <v>44</v>
      </c>
    </row>
    <row r="84" spans="1:21" ht="24" customHeight="1">
      <c r="A84" s="81">
        <v>34</v>
      </c>
      <c r="B84" s="31" t="s">
        <v>163</v>
      </c>
      <c r="C84" s="103" t="s">
        <v>210</v>
      </c>
      <c r="D84" s="103" t="s">
        <v>194</v>
      </c>
      <c r="E84" s="178" t="s">
        <v>211</v>
      </c>
      <c r="F84" s="104">
        <v>246355.1</v>
      </c>
      <c r="G84" s="104">
        <v>246355.1</v>
      </c>
      <c r="H84" s="104">
        <f t="shared" si="19"/>
        <v>0</v>
      </c>
      <c r="I84" s="110">
        <v>18418</v>
      </c>
      <c r="J84" s="111">
        <v>0</v>
      </c>
      <c r="K84" s="10">
        <f t="shared" si="20"/>
        <v>0</v>
      </c>
      <c r="L84" s="104">
        <v>246355.1</v>
      </c>
      <c r="M84" s="106">
        <f t="shared" si="21"/>
        <v>0</v>
      </c>
      <c r="N84" s="110">
        <v>18418</v>
      </c>
      <c r="O84" s="107">
        <f t="shared" si="22"/>
        <v>0</v>
      </c>
      <c r="P84" s="111">
        <v>0</v>
      </c>
      <c r="Q84" s="28">
        <f t="shared" si="23"/>
        <v>0</v>
      </c>
      <c r="R84" s="84">
        <f t="shared" si="24"/>
        <v>0</v>
      </c>
      <c r="S84" s="79">
        <f t="shared" si="25"/>
        <v>0</v>
      </c>
      <c r="T84" s="34">
        <f t="shared" si="26"/>
        <v>0</v>
      </c>
      <c r="U84" s="1">
        <v>21</v>
      </c>
    </row>
    <row r="85" spans="1:21" ht="24" customHeight="1">
      <c r="A85" s="81">
        <v>35</v>
      </c>
      <c r="B85" s="31" t="s">
        <v>164</v>
      </c>
      <c r="C85" s="103" t="s">
        <v>210</v>
      </c>
      <c r="D85" s="103" t="s">
        <v>194</v>
      </c>
      <c r="E85" s="178" t="s">
        <v>211</v>
      </c>
      <c r="F85" s="104">
        <v>245901.1</v>
      </c>
      <c r="G85" s="104">
        <v>245901.1</v>
      </c>
      <c r="H85" s="104">
        <f t="shared" si="19"/>
        <v>0</v>
      </c>
      <c r="I85" s="110">
        <v>18397</v>
      </c>
      <c r="J85" s="111">
        <v>0</v>
      </c>
      <c r="K85" s="10">
        <f t="shared" si="20"/>
        <v>0</v>
      </c>
      <c r="L85" s="104">
        <v>245958.2</v>
      </c>
      <c r="M85" s="106">
        <f t="shared" si="21"/>
        <v>57.100000000005821</v>
      </c>
      <c r="N85" s="110">
        <v>18406</v>
      </c>
      <c r="O85" s="107">
        <f t="shared" si="22"/>
        <v>9</v>
      </c>
      <c r="P85" s="111">
        <v>104</v>
      </c>
      <c r="Q85" s="28">
        <f t="shared" si="23"/>
        <v>0.54903846153851754</v>
      </c>
      <c r="R85" s="84">
        <f t="shared" si="24"/>
        <v>57.100000000005821</v>
      </c>
      <c r="S85" s="79">
        <f t="shared" si="25"/>
        <v>104</v>
      </c>
      <c r="T85" s="34">
        <f t="shared" si="26"/>
        <v>0.54903846153851754</v>
      </c>
      <c r="U85" s="1">
        <v>30</v>
      </c>
    </row>
    <row r="86" spans="1:21" ht="24" customHeight="1">
      <c r="A86" s="81">
        <v>36</v>
      </c>
      <c r="B86" s="31" t="s">
        <v>165</v>
      </c>
      <c r="C86" s="103" t="s">
        <v>210</v>
      </c>
      <c r="D86" s="103" t="s">
        <v>194</v>
      </c>
      <c r="E86" s="178" t="s">
        <v>211</v>
      </c>
      <c r="F86" s="104">
        <v>252657.3</v>
      </c>
      <c r="G86" s="104">
        <v>252657.3</v>
      </c>
      <c r="H86" s="104">
        <f t="shared" si="19"/>
        <v>0</v>
      </c>
      <c r="I86" s="110">
        <v>18036</v>
      </c>
      <c r="J86" s="111">
        <v>0</v>
      </c>
      <c r="K86" s="10">
        <f t="shared" si="20"/>
        <v>0</v>
      </c>
      <c r="L86" s="104">
        <v>252708.3</v>
      </c>
      <c r="M86" s="106">
        <f t="shared" si="21"/>
        <v>51</v>
      </c>
      <c r="N86" s="110">
        <v>18046</v>
      </c>
      <c r="O86" s="107">
        <f t="shared" si="22"/>
        <v>10</v>
      </c>
      <c r="P86" s="112">
        <v>95</v>
      </c>
      <c r="Q86" s="28">
        <f t="shared" si="23"/>
        <v>0.5368421052631579</v>
      </c>
      <c r="R86" s="84">
        <f t="shared" si="24"/>
        <v>51</v>
      </c>
      <c r="S86" s="79">
        <f t="shared" si="25"/>
        <v>95</v>
      </c>
      <c r="T86" s="34">
        <f t="shared" si="26"/>
        <v>0.5368421052631579</v>
      </c>
      <c r="U86" s="1">
        <v>16</v>
      </c>
    </row>
    <row r="87" spans="1:21" ht="24" customHeight="1">
      <c r="A87" s="81">
        <v>37</v>
      </c>
      <c r="B87" s="31" t="s">
        <v>83</v>
      </c>
      <c r="C87" s="103" t="s">
        <v>210</v>
      </c>
      <c r="D87" s="103" t="s">
        <v>194</v>
      </c>
      <c r="E87" s="178" t="s">
        <v>211</v>
      </c>
      <c r="F87" s="104">
        <v>261262.2</v>
      </c>
      <c r="G87" s="104">
        <v>261262.2</v>
      </c>
      <c r="H87" s="104">
        <f t="shared" si="19"/>
        <v>0</v>
      </c>
      <c r="I87" s="110">
        <v>18568</v>
      </c>
      <c r="J87" s="111">
        <v>0</v>
      </c>
      <c r="K87" s="10">
        <f t="shared" si="20"/>
        <v>0</v>
      </c>
      <c r="L87" s="104">
        <v>261329.1</v>
      </c>
      <c r="M87" s="106">
        <f t="shared" si="21"/>
        <v>66.899999999994179</v>
      </c>
      <c r="N87" s="110">
        <v>18577</v>
      </c>
      <c r="O87" s="107">
        <f t="shared" si="22"/>
        <v>9</v>
      </c>
      <c r="P87" s="112">
        <v>106</v>
      </c>
      <c r="Q87" s="28">
        <f t="shared" si="23"/>
        <v>0.63113207547164318</v>
      </c>
      <c r="R87" s="84">
        <f t="shared" si="24"/>
        <v>66.899999999994179</v>
      </c>
      <c r="S87" s="79">
        <f t="shared" si="25"/>
        <v>106</v>
      </c>
      <c r="T87" s="34">
        <f t="shared" si="26"/>
        <v>0.63113207547164318</v>
      </c>
      <c r="U87" s="1">
        <v>29</v>
      </c>
    </row>
    <row r="88" spans="1:21" ht="24" customHeight="1">
      <c r="A88" s="81">
        <v>38</v>
      </c>
      <c r="B88" s="31" t="s">
        <v>84</v>
      </c>
      <c r="C88" s="103" t="s">
        <v>210</v>
      </c>
      <c r="D88" s="103" t="s">
        <v>194</v>
      </c>
      <c r="E88" s="178" t="s">
        <v>211</v>
      </c>
      <c r="F88" s="104">
        <v>272987.2</v>
      </c>
      <c r="G88" s="104">
        <v>272987.2</v>
      </c>
      <c r="H88" s="104">
        <f t="shared" si="19"/>
        <v>0</v>
      </c>
      <c r="I88" s="110">
        <v>17933</v>
      </c>
      <c r="J88" s="111">
        <v>0</v>
      </c>
      <c r="K88" s="10">
        <f t="shared" si="20"/>
        <v>0</v>
      </c>
      <c r="L88" s="104">
        <v>273056</v>
      </c>
      <c r="M88" s="106">
        <f t="shared" si="21"/>
        <v>68.799999999988358</v>
      </c>
      <c r="N88" s="110">
        <v>17941</v>
      </c>
      <c r="O88" s="107">
        <f t="shared" si="22"/>
        <v>8</v>
      </c>
      <c r="P88" s="112">
        <v>116</v>
      </c>
      <c r="Q88" s="28">
        <f t="shared" si="23"/>
        <v>0.59310344827576167</v>
      </c>
      <c r="R88" s="84">
        <f t="shared" si="24"/>
        <v>68.799999999988358</v>
      </c>
      <c r="S88" s="79">
        <f t="shared" si="25"/>
        <v>116</v>
      </c>
      <c r="T88" s="34">
        <f t="shared" si="26"/>
        <v>0.59310344827576167</v>
      </c>
      <c r="U88" s="1">
        <v>17</v>
      </c>
    </row>
    <row r="89" spans="1:21" ht="24" customHeight="1">
      <c r="A89" s="81">
        <v>39</v>
      </c>
      <c r="B89" s="31" t="s">
        <v>85</v>
      </c>
      <c r="C89" s="103" t="s">
        <v>210</v>
      </c>
      <c r="D89" s="103" t="s">
        <v>194</v>
      </c>
      <c r="E89" s="178" t="s">
        <v>211</v>
      </c>
      <c r="F89" s="35">
        <v>280879.5</v>
      </c>
      <c r="G89" s="35">
        <v>280879.5</v>
      </c>
      <c r="H89" s="104">
        <f t="shared" si="19"/>
        <v>0</v>
      </c>
      <c r="I89" s="110">
        <v>19865</v>
      </c>
      <c r="J89" s="111">
        <v>0</v>
      </c>
      <c r="K89" s="10">
        <f t="shared" si="20"/>
        <v>0</v>
      </c>
      <c r="L89" s="35">
        <v>280879.5</v>
      </c>
      <c r="M89" s="106">
        <f t="shared" si="21"/>
        <v>0</v>
      </c>
      <c r="N89" s="110">
        <v>19865</v>
      </c>
      <c r="O89" s="107">
        <f t="shared" si="22"/>
        <v>0</v>
      </c>
      <c r="P89" s="112">
        <v>0</v>
      </c>
      <c r="Q89" s="28">
        <f t="shared" si="23"/>
        <v>0</v>
      </c>
      <c r="R89" s="84">
        <f t="shared" si="24"/>
        <v>0</v>
      </c>
      <c r="S89" s="79">
        <f t="shared" si="25"/>
        <v>0</v>
      </c>
      <c r="T89" s="34">
        <f t="shared" si="26"/>
        <v>0</v>
      </c>
      <c r="U89" s="1">
        <v>23</v>
      </c>
    </row>
    <row r="90" spans="1:21" ht="24" customHeight="1">
      <c r="A90" s="81">
        <v>40</v>
      </c>
      <c r="B90" s="31" t="s">
        <v>86</v>
      </c>
      <c r="C90" s="103" t="s">
        <v>210</v>
      </c>
      <c r="D90" s="103" t="s">
        <v>194</v>
      </c>
      <c r="E90" s="178" t="s">
        <v>211</v>
      </c>
      <c r="F90" s="104">
        <v>251592.9</v>
      </c>
      <c r="G90" s="104">
        <v>251592.9</v>
      </c>
      <c r="H90" s="104">
        <f t="shared" si="19"/>
        <v>0</v>
      </c>
      <c r="I90" s="110">
        <v>17910</v>
      </c>
      <c r="J90" s="111">
        <v>0</v>
      </c>
      <c r="K90" s="10">
        <f t="shared" si="20"/>
        <v>0</v>
      </c>
      <c r="L90" s="104">
        <v>251655.1</v>
      </c>
      <c r="M90" s="106">
        <f t="shared" si="21"/>
        <v>62.200000000011642</v>
      </c>
      <c r="N90" s="110">
        <v>17919</v>
      </c>
      <c r="O90" s="107">
        <f t="shared" si="22"/>
        <v>9</v>
      </c>
      <c r="P90" s="112">
        <v>101</v>
      </c>
      <c r="Q90" s="28">
        <f t="shared" si="23"/>
        <v>0.61584158415853107</v>
      </c>
      <c r="R90" s="84">
        <f t="shared" si="24"/>
        <v>62.200000000011642</v>
      </c>
      <c r="S90" s="79">
        <f t="shared" si="25"/>
        <v>101</v>
      </c>
      <c r="T90" s="34">
        <f t="shared" si="26"/>
        <v>0.61584158415853107</v>
      </c>
      <c r="U90" s="1">
        <v>26</v>
      </c>
    </row>
    <row r="91" spans="1:21" ht="24" customHeight="1">
      <c r="A91" s="81">
        <v>41</v>
      </c>
      <c r="B91" s="31" t="s">
        <v>87</v>
      </c>
      <c r="C91" s="103" t="s">
        <v>210</v>
      </c>
      <c r="D91" s="103" t="s">
        <v>194</v>
      </c>
      <c r="E91" s="178" t="s">
        <v>211</v>
      </c>
      <c r="F91" s="104">
        <v>280409.09999999998</v>
      </c>
      <c r="G91" s="104">
        <v>280409.09999999998</v>
      </c>
      <c r="H91" s="104">
        <f t="shared" si="19"/>
        <v>0</v>
      </c>
      <c r="I91" s="110">
        <v>19393</v>
      </c>
      <c r="J91" s="111">
        <v>0</v>
      </c>
      <c r="K91" s="10">
        <f t="shared" si="20"/>
        <v>0</v>
      </c>
      <c r="L91" s="104">
        <v>280409.09999999998</v>
      </c>
      <c r="M91" s="106">
        <f t="shared" si="21"/>
        <v>0</v>
      </c>
      <c r="N91" s="110">
        <v>19393</v>
      </c>
      <c r="O91" s="107">
        <f t="shared" si="22"/>
        <v>0</v>
      </c>
      <c r="P91" s="111">
        <v>0</v>
      </c>
      <c r="Q91" s="28">
        <f t="shared" si="23"/>
        <v>0</v>
      </c>
      <c r="R91" s="84">
        <f t="shared" si="24"/>
        <v>0</v>
      </c>
      <c r="S91" s="79">
        <f t="shared" si="25"/>
        <v>0</v>
      </c>
      <c r="T91" s="34">
        <f t="shared" si="26"/>
        <v>0</v>
      </c>
      <c r="U91" s="1">
        <v>28</v>
      </c>
    </row>
    <row r="92" spans="1:21" ht="24" customHeight="1">
      <c r="A92" s="81">
        <v>42</v>
      </c>
      <c r="B92" s="31" t="s">
        <v>88</v>
      </c>
      <c r="C92" s="103" t="s">
        <v>210</v>
      </c>
      <c r="D92" s="103" t="s">
        <v>194</v>
      </c>
      <c r="E92" s="178" t="s">
        <v>211</v>
      </c>
      <c r="F92" s="104">
        <v>276264.8</v>
      </c>
      <c r="G92" s="104">
        <v>276264.8</v>
      </c>
      <c r="H92" s="104">
        <f t="shared" si="19"/>
        <v>0</v>
      </c>
      <c r="I92" s="110">
        <v>18782</v>
      </c>
      <c r="J92" s="111">
        <v>0</v>
      </c>
      <c r="K92" s="10">
        <f t="shared" si="20"/>
        <v>0</v>
      </c>
      <c r="L92" s="104">
        <v>276293.5</v>
      </c>
      <c r="M92" s="106">
        <f t="shared" si="21"/>
        <v>28.700000000011642</v>
      </c>
      <c r="N92" s="110">
        <v>18787</v>
      </c>
      <c r="O92" s="107">
        <f t="shared" si="22"/>
        <v>5</v>
      </c>
      <c r="P92" s="111">
        <v>64</v>
      </c>
      <c r="Q92" s="28">
        <f t="shared" si="23"/>
        <v>0.4484375000001819</v>
      </c>
      <c r="R92" s="84">
        <f t="shared" si="24"/>
        <v>28.700000000011642</v>
      </c>
      <c r="S92" s="79">
        <f t="shared" si="25"/>
        <v>64</v>
      </c>
      <c r="T92" s="34">
        <f t="shared" si="26"/>
        <v>0.4484375000001819</v>
      </c>
      <c r="U92" s="1">
        <v>34</v>
      </c>
    </row>
    <row r="93" spans="1:21" ht="24" customHeight="1">
      <c r="A93" s="81">
        <v>43</v>
      </c>
      <c r="B93" s="31" t="s">
        <v>89</v>
      </c>
      <c r="C93" s="103" t="s">
        <v>210</v>
      </c>
      <c r="D93" s="103" t="s">
        <v>194</v>
      </c>
      <c r="E93" s="178" t="s">
        <v>211</v>
      </c>
      <c r="F93" s="35">
        <v>268755.5</v>
      </c>
      <c r="G93" s="35">
        <v>268755.5</v>
      </c>
      <c r="H93" s="104">
        <f t="shared" si="19"/>
        <v>0</v>
      </c>
      <c r="I93" s="110">
        <v>18434</v>
      </c>
      <c r="J93" s="111">
        <v>0</v>
      </c>
      <c r="K93" s="10">
        <f t="shared" si="20"/>
        <v>0</v>
      </c>
      <c r="L93" s="35">
        <v>268812.40000000002</v>
      </c>
      <c r="M93" s="106">
        <f t="shared" si="21"/>
        <v>56.900000000023283</v>
      </c>
      <c r="N93" s="110">
        <v>18441</v>
      </c>
      <c r="O93" s="107">
        <f t="shared" si="22"/>
        <v>7</v>
      </c>
      <c r="P93" s="111">
        <v>75</v>
      </c>
      <c r="Q93" s="28">
        <f t="shared" si="23"/>
        <v>0.75866666666697713</v>
      </c>
      <c r="R93" s="84">
        <f t="shared" si="24"/>
        <v>56.900000000023283</v>
      </c>
      <c r="S93" s="79">
        <f t="shared" si="25"/>
        <v>75</v>
      </c>
      <c r="T93" s="34">
        <f t="shared" si="26"/>
        <v>0.75866666666697713</v>
      </c>
      <c r="U93" s="1">
        <v>31</v>
      </c>
    </row>
    <row r="94" spans="1:21" ht="24" customHeight="1">
      <c r="A94" s="81">
        <v>44</v>
      </c>
      <c r="B94" s="31" t="s">
        <v>90</v>
      </c>
      <c r="C94" s="103" t="s">
        <v>210</v>
      </c>
      <c r="D94" s="103" t="s">
        <v>194</v>
      </c>
      <c r="E94" s="178" t="s">
        <v>211</v>
      </c>
      <c r="F94" s="104">
        <v>245781.1</v>
      </c>
      <c r="G94" s="104">
        <v>245781.1</v>
      </c>
      <c r="H94" s="104">
        <f t="shared" si="19"/>
        <v>0</v>
      </c>
      <c r="I94" s="110">
        <v>17747</v>
      </c>
      <c r="J94" s="111">
        <v>0</v>
      </c>
      <c r="K94" s="10">
        <f>IFERROR(H94/J94,0)</f>
        <v>0</v>
      </c>
      <c r="L94" s="104">
        <v>245781.1</v>
      </c>
      <c r="M94" s="106">
        <f t="shared" si="21"/>
        <v>0</v>
      </c>
      <c r="N94" s="110">
        <v>17747</v>
      </c>
      <c r="O94" s="107">
        <f t="shared" si="22"/>
        <v>0</v>
      </c>
      <c r="P94" s="111">
        <v>0</v>
      </c>
      <c r="Q94" s="28">
        <f t="shared" si="23"/>
        <v>0</v>
      </c>
      <c r="R94" s="84">
        <f t="shared" si="24"/>
        <v>0</v>
      </c>
      <c r="S94" s="79">
        <f t="shared" si="25"/>
        <v>0</v>
      </c>
      <c r="T94" s="34">
        <f t="shared" si="26"/>
        <v>0</v>
      </c>
      <c r="U94" s="1">
        <v>23</v>
      </c>
    </row>
    <row r="95" spans="1:21" ht="24" customHeight="1">
      <c r="A95" s="81">
        <v>45</v>
      </c>
      <c r="B95" s="31" t="s">
        <v>91</v>
      </c>
      <c r="C95" s="103" t="s">
        <v>210</v>
      </c>
      <c r="D95" s="103" t="s">
        <v>194</v>
      </c>
      <c r="E95" s="178" t="s">
        <v>211</v>
      </c>
      <c r="F95" s="104">
        <v>254153.9</v>
      </c>
      <c r="G95" s="104">
        <v>254153.9</v>
      </c>
      <c r="H95" s="104">
        <f t="shared" si="19"/>
        <v>0</v>
      </c>
      <c r="I95" s="110">
        <v>17731</v>
      </c>
      <c r="J95" s="111">
        <v>0</v>
      </c>
      <c r="K95" s="10">
        <f t="shared" si="20"/>
        <v>0</v>
      </c>
      <c r="L95" s="104">
        <v>254153.9</v>
      </c>
      <c r="M95" s="106">
        <f t="shared" si="21"/>
        <v>0</v>
      </c>
      <c r="N95" s="110">
        <v>17731</v>
      </c>
      <c r="O95" s="107">
        <f t="shared" si="22"/>
        <v>0</v>
      </c>
      <c r="P95" s="111">
        <v>0</v>
      </c>
      <c r="Q95" s="28">
        <f t="shared" si="23"/>
        <v>0</v>
      </c>
      <c r="R95" s="84">
        <f t="shared" si="24"/>
        <v>0</v>
      </c>
      <c r="S95" s="79">
        <f t="shared" si="25"/>
        <v>0</v>
      </c>
      <c r="T95" s="34">
        <f t="shared" si="26"/>
        <v>0</v>
      </c>
      <c r="U95" s="1">
        <v>0</v>
      </c>
    </row>
    <row r="96" spans="1:21" ht="24" customHeight="1">
      <c r="A96" s="81">
        <v>46</v>
      </c>
      <c r="B96" s="31" t="s">
        <v>92</v>
      </c>
      <c r="C96" s="103" t="s">
        <v>210</v>
      </c>
      <c r="D96" s="103" t="s">
        <v>194</v>
      </c>
      <c r="E96" s="178" t="s">
        <v>211</v>
      </c>
      <c r="F96" s="35">
        <v>240450.2</v>
      </c>
      <c r="G96" s="35">
        <v>240450.2</v>
      </c>
      <c r="H96" s="104">
        <f>G96-F96</f>
        <v>0</v>
      </c>
      <c r="I96" s="110">
        <v>17453</v>
      </c>
      <c r="J96" s="111">
        <v>0</v>
      </c>
      <c r="K96" s="10">
        <f t="shared" si="20"/>
        <v>0</v>
      </c>
      <c r="L96" s="35">
        <v>240450.2</v>
      </c>
      <c r="M96" s="106">
        <f>L96-G96</f>
        <v>0</v>
      </c>
      <c r="N96" s="110">
        <v>17453</v>
      </c>
      <c r="O96" s="107">
        <f t="shared" si="22"/>
        <v>0</v>
      </c>
      <c r="P96" s="111">
        <v>0</v>
      </c>
      <c r="Q96" s="28">
        <f t="shared" si="23"/>
        <v>0</v>
      </c>
      <c r="R96" s="84">
        <f t="shared" si="24"/>
        <v>0</v>
      </c>
      <c r="S96" s="79">
        <f>J96+P96</f>
        <v>0</v>
      </c>
      <c r="T96" s="34">
        <f t="shared" si="26"/>
        <v>0</v>
      </c>
      <c r="U96" s="1">
        <v>28</v>
      </c>
    </row>
    <row r="97" spans="1:22" ht="24" customHeight="1">
      <c r="A97" s="81">
        <v>47</v>
      </c>
      <c r="B97" s="31" t="s">
        <v>93</v>
      </c>
      <c r="C97" s="103" t="s">
        <v>210</v>
      </c>
      <c r="D97" s="103" t="s">
        <v>194</v>
      </c>
      <c r="E97" s="178" t="s">
        <v>211</v>
      </c>
      <c r="F97" s="104">
        <v>248842</v>
      </c>
      <c r="G97" s="104">
        <v>248842</v>
      </c>
      <c r="H97" s="104">
        <f>G97-F97</f>
        <v>0</v>
      </c>
      <c r="I97" s="110">
        <v>16899</v>
      </c>
      <c r="J97" s="111">
        <v>0</v>
      </c>
      <c r="K97" s="10">
        <f t="shared" si="20"/>
        <v>0</v>
      </c>
      <c r="L97" s="104">
        <v>248842</v>
      </c>
      <c r="M97" s="106">
        <f>L97-G97</f>
        <v>0</v>
      </c>
      <c r="N97" s="110">
        <v>16899</v>
      </c>
      <c r="O97" s="107">
        <f t="shared" si="22"/>
        <v>0</v>
      </c>
      <c r="P97" s="111">
        <v>0</v>
      </c>
      <c r="Q97" s="28">
        <f t="shared" si="23"/>
        <v>0</v>
      </c>
      <c r="R97" s="84">
        <f t="shared" si="24"/>
        <v>0</v>
      </c>
      <c r="S97" s="79">
        <f t="shared" si="25"/>
        <v>0</v>
      </c>
      <c r="T97" s="34">
        <f t="shared" si="26"/>
        <v>0</v>
      </c>
      <c r="U97" s="1">
        <v>34</v>
      </c>
      <c r="V97" t="s">
        <v>94</v>
      </c>
    </row>
    <row r="98" spans="1:22" ht="24" customHeight="1">
      <c r="A98" s="81">
        <v>48</v>
      </c>
      <c r="B98" s="31" t="s">
        <v>95</v>
      </c>
      <c r="C98" s="103" t="s">
        <v>210</v>
      </c>
      <c r="D98" s="103" t="s">
        <v>194</v>
      </c>
      <c r="E98" s="178" t="s">
        <v>211</v>
      </c>
      <c r="F98" s="104">
        <v>245661</v>
      </c>
      <c r="G98" s="104">
        <v>245661</v>
      </c>
      <c r="H98" s="104">
        <f t="shared" si="19"/>
        <v>0</v>
      </c>
      <c r="I98" s="110">
        <v>18303</v>
      </c>
      <c r="J98" s="111">
        <v>0</v>
      </c>
      <c r="K98" s="10">
        <f t="shared" si="20"/>
        <v>0</v>
      </c>
      <c r="L98" s="104">
        <v>245702.3</v>
      </c>
      <c r="M98" s="106">
        <f t="shared" si="21"/>
        <v>41.299999999988358</v>
      </c>
      <c r="N98" s="110">
        <v>18318</v>
      </c>
      <c r="O98" s="107">
        <f t="shared" si="22"/>
        <v>15</v>
      </c>
      <c r="P98" s="111">
        <v>85</v>
      </c>
      <c r="Q98" s="28">
        <f t="shared" si="23"/>
        <v>0.48588235294103949</v>
      </c>
      <c r="R98" s="84">
        <f t="shared" si="24"/>
        <v>41.299999999988358</v>
      </c>
      <c r="S98" s="79">
        <f t="shared" si="25"/>
        <v>85</v>
      </c>
      <c r="T98" s="34">
        <f t="shared" si="26"/>
        <v>0.48588235294103949</v>
      </c>
      <c r="U98" s="1">
        <v>21</v>
      </c>
    </row>
    <row r="99" spans="1:22" ht="24" customHeight="1">
      <c r="A99" s="81">
        <v>49</v>
      </c>
      <c r="B99" s="31" t="s">
        <v>96</v>
      </c>
      <c r="C99" s="103" t="s">
        <v>210</v>
      </c>
      <c r="D99" s="103" t="s">
        <v>194</v>
      </c>
      <c r="E99" s="178" t="s">
        <v>211</v>
      </c>
      <c r="F99" s="35">
        <v>250392.8</v>
      </c>
      <c r="G99" s="35">
        <v>250392.8</v>
      </c>
      <c r="H99" s="104">
        <f t="shared" si="19"/>
        <v>0</v>
      </c>
      <c r="I99" s="110">
        <v>18022</v>
      </c>
      <c r="J99" s="111">
        <v>0</v>
      </c>
      <c r="K99" s="10">
        <f>IFERROR(H99/J99,0)</f>
        <v>0</v>
      </c>
      <c r="L99" s="35">
        <v>250459.5</v>
      </c>
      <c r="M99" s="106">
        <f t="shared" si="21"/>
        <v>66.700000000011642</v>
      </c>
      <c r="N99" s="110">
        <v>18029</v>
      </c>
      <c r="O99" s="107">
        <f t="shared" si="22"/>
        <v>7</v>
      </c>
      <c r="P99" s="111">
        <v>110</v>
      </c>
      <c r="Q99" s="28">
        <f t="shared" si="23"/>
        <v>0.60636363636374224</v>
      </c>
      <c r="R99" s="84">
        <f t="shared" si="24"/>
        <v>66.700000000011642</v>
      </c>
      <c r="S99" s="79">
        <f t="shared" si="25"/>
        <v>110</v>
      </c>
      <c r="T99" s="34">
        <f t="shared" si="26"/>
        <v>0.60636363636374224</v>
      </c>
      <c r="U99" s="1">
        <v>25</v>
      </c>
    </row>
    <row r="100" spans="1:22" ht="24" customHeight="1">
      <c r="A100" s="81">
        <v>50</v>
      </c>
      <c r="B100" s="31" t="s">
        <v>97</v>
      </c>
      <c r="C100" s="103" t="s">
        <v>210</v>
      </c>
      <c r="D100" s="103" t="s">
        <v>194</v>
      </c>
      <c r="E100" s="178" t="s">
        <v>211</v>
      </c>
      <c r="F100" s="104">
        <v>239125.3</v>
      </c>
      <c r="G100" s="104">
        <v>239125.3</v>
      </c>
      <c r="H100" s="104">
        <f t="shared" si="19"/>
        <v>0</v>
      </c>
      <c r="I100" s="110">
        <v>16533</v>
      </c>
      <c r="J100" s="111">
        <v>0</v>
      </c>
      <c r="K100" s="10">
        <f t="shared" si="20"/>
        <v>0</v>
      </c>
      <c r="L100" s="104">
        <v>239197.7</v>
      </c>
      <c r="M100" s="106">
        <f t="shared" si="21"/>
        <v>72.400000000023283</v>
      </c>
      <c r="N100" s="110">
        <v>16542</v>
      </c>
      <c r="O100" s="107">
        <f t="shared" si="22"/>
        <v>9</v>
      </c>
      <c r="P100" s="111">
        <v>116</v>
      </c>
      <c r="Q100" s="28">
        <f t="shared" si="23"/>
        <v>0.62413793103468351</v>
      </c>
      <c r="R100" s="84">
        <f t="shared" si="24"/>
        <v>72.400000000023283</v>
      </c>
      <c r="S100" s="79">
        <f t="shared" si="25"/>
        <v>116</v>
      </c>
      <c r="T100" s="34">
        <f t="shared" si="26"/>
        <v>0.62413793103468351</v>
      </c>
      <c r="U100" s="1">
        <v>32</v>
      </c>
    </row>
    <row r="101" spans="1:22" ht="24" customHeight="1">
      <c r="A101" s="81">
        <v>51</v>
      </c>
      <c r="B101" s="121" t="s">
        <v>166</v>
      </c>
      <c r="C101" s="103" t="s">
        <v>210</v>
      </c>
      <c r="D101" s="103" t="s">
        <v>194</v>
      </c>
      <c r="E101" s="178" t="s">
        <v>222</v>
      </c>
      <c r="F101" s="104">
        <v>206719</v>
      </c>
      <c r="G101" s="104">
        <v>206719</v>
      </c>
      <c r="H101" s="118">
        <f t="shared" si="19"/>
        <v>0</v>
      </c>
      <c r="I101" s="110">
        <v>17606</v>
      </c>
      <c r="J101" s="111">
        <v>0</v>
      </c>
      <c r="K101" s="55">
        <f t="shared" si="20"/>
        <v>0</v>
      </c>
      <c r="L101" s="104">
        <v>206719</v>
      </c>
      <c r="M101" s="119">
        <f t="shared" si="21"/>
        <v>0</v>
      </c>
      <c r="N101" s="110">
        <v>17606</v>
      </c>
      <c r="O101" s="120">
        <f t="shared" si="22"/>
        <v>0</v>
      </c>
      <c r="P101" s="111">
        <v>0</v>
      </c>
      <c r="Q101" s="28">
        <f t="shared" si="23"/>
        <v>0</v>
      </c>
      <c r="R101" s="58">
        <f t="shared" si="24"/>
        <v>0</v>
      </c>
      <c r="S101" s="79">
        <f t="shared" si="25"/>
        <v>0</v>
      </c>
      <c r="T101" s="34">
        <f t="shared" si="26"/>
        <v>0</v>
      </c>
      <c r="U101" s="1">
        <v>27</v>
      </c>
    </row>
    <row r="102" spans="1:22" ht="24" customHeight="1">
      <c r="A102" s="81">
        <v>52</v>
      </c>
      <c r="B102" s="121" t="s">
        <v>167</v>
      </c>
      <c r="C102" s="103" t="s">
        <v>210</v>
      </c>
      <c r="D102" s="103" t="s">
        <v>194</v>
      </c>
      <c r="E102" s="178" t="s">
        <v>222</v>
      </c>
      <c r="F102" s="104">
        <v>186406</v>
      </c>
      <c r="G102" s="104">
        <v>186406</v>
      </c>
      <c r="H102" s="118">
        <f t="shared" si="19"/>
        <v>0</v>
      </c>
      <c r="I102" s="110">
        <v>16317</v>
      </c>
      <c r="J102" s="111">
        <v>0</v>
      </c>
      <c r="K102" s="55">
        <f t="shared" si="20"/>
        <v>0</v>
      </c>
      <c r="L102" s="104">
        <v>186406</v>
      </c>
      <c r="M102" s="119">
        <f t="shared" si="21"/>
        <v>0</v>
      </c>
      <c r="N102" s="110">
        <v>16317</v>
      </c>
      <c r="O102" s="120">
        <f t="shared" si="22"/>
        <v>0</v>
      </c>
      <c r="P102" s="111">
        <v>0</v>
      </c>
      <c r="Q102" s="28">
        <f t="shared" si="23"/>
        <v>0</v>
      </c>
      <c r="R102" s="58">
        <f t="shared" si="24"/>
        <v>0</v>
      </c>
      <c r="S102" s="79">
        <f t="shared" si="25"/>
        <v>0</v>
      </c>
      <c r="T102" s="34">
        <f t="shared" si="26"/>
        <v>0</v>
      </c>
      <c r="U102" s="1">
        <v>0</v>
      </c>
    </row>
    <row r="103" spans="1:22" ht="24" customHeight="1">
      <c r="A103" s="81">
        <v>53</v>
      </c>
      <c r="B103" s="121" t="s">
        <v>168</v>
      </c>
      <c r="C103" s="103" t="s">
        <v>210</v>
      </c>
      <c r="D103" s="103" t="s">
        <v>194</v>
      </c>
      <c r="E103" s="178" t="s">
        <v>222</v>
      </c>
      <c r="F103" s="104">
        <v>193670</v>
      </c>
      <c r="G103" s="104">
        <v>193670</v>
      </c>
      <c r="H103" s="118">
        <f t="shared" si="19"/>
        <v>0</v>
      </c>
      <c r="I103" s="110">
        <v>17282</v>
      </c>
      <c r="J103" s="111">
        <v>0</v>
      </c>
      <c r="K103" s="55">
        <f t="shared" si="20"/>
        <v>0</v>
      </c>
      <c r="L103" s="104">
        <v>193670</v>
      </c>
      <c r="M103" s="119">
        <f t="shared" si="21"/>
        <v>0</v>
      </c>
      <c r="N103" s="110">
        <v>17282</v>
      </c>
      <c r="O103" s="120">
        <f t="shared" si="22"/>
        <v>0</v>
      </c>
      <c r="P103" s="111">
        <v>0</v>
      </c>
      <c r="Q103" s="28">
        <f t="shared" si="23"/>
        <v>0</v>
      </c>
      <c r="R103" s="58">
        <f t="shared" si="24"/>
        <v>0</v>
      </c>
      <c r="S103" s="79">
        <f t="shared" si="25"/>
        <v>0</v>
      </c>
      <c r="T103" s="34">
        <f t="shared" si="26"/>
        <v>0</v>
      </c>
      <c r="U103" s="1">
        <v>33</v>
      </c>
    </row>
    <row r="104" spans="1:22" ht="24" customHeight="1">
      <c r="A104" s="81">
        <v>54</v>
      </c>
      <c r="B104" s="121" t="s">
        <v>169</v>
      </c>
      <c r="C104" s="103" t="s">
        <v>210</v>
      </c>
      <c r="D104" s="103" t="s">
        <v>194</v>
      </c>
      <c r="E104" s="178" t="s">
        <v>222</v>
      </c>
      <c r="F104" s="104">
        <v>197762</v>
      </c>
      <c r="G104" s="104">
        <v>197762</v>
      </c>
      <c r="H104" s="118">
        <f t="shared" si="19"/>
        <v>0</v>
      </c>
      <c r="I104" s="110">
        <v>16765</v>
      </c>
      <c r="J104" s="111">
        <v>0</v>
      </c>
      <c r="K104" s="55">
        <f t="shared" si="20"/>
        <v>0</v>
      </c>
      <c r="L104" s="104">
        <v>197762</v>
      </c>
      <c r="M104" s="119">
        <f t="shared" si="21"/>
        <v>0</v>
      </c>
      <c r="N104" s="110">
        <v>16765</v>
      </c>
      <c r="O104" s="120">
        <f t="shared" si="22"/>
        <v>0</v>
      </c>
      <c r="P104" s="111">
        <v>0</v>
      </c>
      <c r="Q104" s="28">
        <f t="shared" si="23"/>
        <v>0</v>
      </c>
      <c r="R104" s="58">
        <f t="shared" si="24"/>
        <v>0</v>
      </c>
      <c r="S104" s="79">
        <f t="shared" si="25"/>
        <v>0</v>
      </c>
      <c r="T104" s="34">
        <f t="shared" si="26"/>
        <v>0</v>
      </c>
      <c r="U104" s="1">
        <v>26</v>
      </c>
    </row>
    <row r="105" spans="1:22" ht="24" customHeight="1">
      <c r="A105" s="81">
        <v>55</v>
      </c>
      <c r="B105" s="121" t="s">
        <v>104</v>
      </c>
      <c r="C105" s="103" t="s">
        <v>210</v>
      </c>
      <c r="D105" s="31" t="s">
        <v>194</v>
      </c>
      <c r="E105" s="31" t="s">
        <v>212</v>
      </c>
      <c r="F105" s="104">
        <v>72938.399999999994</v>
      </c>
      <c r="G105" s="104">
        <v>72938.399999999994</v>
      </c>
      <c r="H105" s="118">
        <f t="shared" si="19"/>
        <v>0</v>
      </c>
      <c r="I105" s="110">
        <v>4933</v>
      </c>
      <c r="J105" s="111">
        <v>0</v>
      </c>
      <c r="K105" s="78">
        <f t="shared" si="20"/>
        <v>0</v>
      </c>
      <c r="L105" s="104">
        <v>72938.399999999994</v>
      </c>
      <c r="M105" s="112">
        <f t="shared" si="21"/>
        <v>0</v>
      </c>
      <c r="N105" s="110">
        <v>4933</v>
      </c>
      <c r="O105" s="107">
        <f t="shared" si="22"/>
        <v>0</v>
      </c>
      <c r="P105" s="111">
        <v>0</v>
      </c>
      <c r="Q105" s="28">
        <f t="shared" si="23"/>
        <v>0</v>
      </c>
      <c r="R105" s="58">
        <f t="shared" si="24"/>
        <v>0</v>
      </c>
      <c r="S105" s="79">
        <f t="shared" si="25"/>
        <v>0</v>
      </c>
      <c r="T105" s="34">
        <f t="shared" si="26"/>
        <v>0</v>
      </c>
      <c r="U105" s="1">
        <v>34</v>
      </c>
    </row>
    <row r="106" spans="1:22" ht="24" customHeight="1">
      <c r="A106" s="81">
        <v>56</v>
      </c>
      <c r="B106" s="121" t="s">
        <v>105</v>
      </c>
      <c r="C106" s="103" t="s">
        <v>210</v>
      </c>
      <c r="D106" s="31" t="s">
        <v>194</v>
      </c>
      <c r="E106" s="31" t="s">
        <v>212</v>
      </c>
      <c r="F106" s="35">
        <v>71785.7</v>
      </c>
      <c r="G106" s="35">
        <v>71785.7</v>
      </c>
      <c r="H106" s="122">
        <f t="shared" si="19"/>
        <v>0</v>
      </c>
      <c r="I106" s="110">
        <v>4950</v>
      </c>
      <c r="J106" s="111">
        <v>0</v>
      </c>
      <c r="K106" s="78">
        <f t="shared" si="20"/>
        <v>0</v>
      </c>
      <c r="L106" s="35">
        <v>71785.7</v>
      </c>
      <c r="M106" s="112">
        <f t="shared" si="21"/>
        <v>0</v>
      </c>
      <c r="N106" s="110">
        <v>4950</v>
      </c>
      <c r="O106" s="107">
        <f t="shared" si="22"/>
        <v>0</v>
      </c>
      <c r="P106" s="111">
        <v>0</v>
      </c>
      <c r="Q106" s="28">
        <f t="shared" si="23"/>
        <v>0</v>
      </c>
      <c r="R106" s="58">
        <f t="shared" si="24"/>
        <v>0</v>
      </c>
      <c r="S106" s="79">
        <f t="shared" si="25"/>
        <v>0</v>
      </c>
      <c r="T106" s="34">
        <f t="shared" si="26"/>
        <v>0</v>
      </c>
      <c r="U106" s="1">
        <v>33</v>
      </c>
    </row>
    <row r="107" spans="1:22" ht="24" customHeight="1">
      <c r="A107" s="81">
        <v>57</v>
      </c>
      <c r="B107" s="121" t="s">
        <v>106</v>
      </c>
      <c r="C107" s="103" t="s">
        <v>210</v>
      </c>
      <c r="D107" s="31" t="s">
        <v>194</v>
      </c>
      <c r="E107" s="31" t="s">
        <v>212</v>
      </c>
      <c r="F107" s="104">
        <v>69639.600000000006</v>
      </c>
      <c r="G107" s="104">
        <v>69639.600000000006</v>
      </c>
      <c r="H107" s="122">
        <f t="shared" si="19"/>
        <v>0</v>
      </c>
      <c r="I107" s="110">
        <v>4972</v>
      </c>
      <c r="J107" s="111">
        <v>0</v>
      </c>
      <c r="K107" s="78">
        <f t="shared" si="20"/>
        <v>0</v>
      </c>
      <c r="L107" s="104">
        <v>69639.600000000006</v>
      </c>
      <c r="M107" s="112">
        <f t="shared" si="21"/>
        <v>0</v>
      </c>
      <c r="N107" s="110">
        <v>4972</v>
      </c>
      <c r="O107" s="107">
        <f t="shared" si="22"/>
        <v>0</v>
      </c>
      <c r="P107" s="111">
        <v>0</v>
      </c>
      <c r="Q107" s="28">
        <f t="shared" si="23"/>
        <v>0</v>
      </c>
      <c r="R107" s="58">
        <f t="shared" si="24"/>
        <v>0</v>
      </c>
      <c r="S107" s="79">
        <f t="shared" si="25"/>
        <v>0</v>
      </c>
      <c r="T107" s="34">
        <f t="shared" si="26"/>
        <v>0</v>
      </c>
      <c r="U107" s="1">
        <v>30</v>
      </c>
    </row>
    <row r="108" spans="1:22" ht="24" customHeight="1">
      <c r="A108" s="81">
        <v>58</v>
      </c>
      <c r="B108" s="121" t="s">
        <v>107</v>
      </c>
      <c r="C108" s="103" t="s">
        <v>210</v>
      </c>
      <c r="D108" s="31" t="s">
        <v>194</v>
      </c>
      <c r="E108" s="31" t="s">
        <v>212</v>
      </c>
      <c r="F108" s="104">
        <v>71915.899999999994</v>
      </c>
      <c r="G108" s="104">
        <v>71915.899999999994</v>
      </c>
      <c r="H108" s="122">
        <f t="shared" si="19"/>
        <v>0</v>
      </c>
      <c r="I108" s="110">
        <v>4974</v>
      </c>
      <c r="J108" s="111">
        <v>0</v>
      </c>
      <c r="K108" s="78">
        <f t="shared" si="20"/>
        <v>0</v>
      </c>
      <c r="L108" s="104">
        <v>71915.899999999994</v>
      </c>
      <c r="M108" s="112">
        <f t="shared" si="21"/>
        <v>0</v>
      </c>
      <c r="N108" s="110">
        <v>4974</v>
      </c>
      <c r="O108" s="107">
        <f t="shared" si="22"/>
        <v>0</v>
      </c>
      <c r="P108" s="111">
        <v>0</v>
      </c>
      <c r="Q108" s="28">
        <f t="shared" si="23"/>
        <v>0</v>
      </c>
      <c r="R108" s="58">
        <f t="shared" si="24"/>
        <v>0</v>
      </c>
      <c r="S108" s="79">
        <f t="shared" si="25"/>
        <v>0</v>
      </c>
      <c r="T108" s="34">
        <f t="shared" si="26"/>
        <v>0</v>
      </c>
      <c r="U108" s="1">
        <v>30</v>
      </c>
    </row>
    <row r="109" spans="1:22" ht="24" customHeight="1">
      <c r="A109" s="81">
        <v>59</v>
      </c>
      <c r="B109" s="121" t="s">
        <v>108</v>
      </c>
      <c r="C109" s="103" t="s">
        <v>210</v>
      </c>
      <c r="D109" s="31" t="s">
        <v>194</v>
      </c>
      <c r="E109" s="31" t="s">
        <v>212</v>
      </c>
      <c r="F109" s="104">
        <v>71015.199999999997</v>
      </c>
      <c r="G109" s="104">
        <v>71015.199999999997</v>
      </c>
      <c r="H109" s="122">
        <f t="shared" si="19"/>
        <v>0</v>
      </c>
      <c r="I109" s="110">
        <v>4941</v>
      </c>
      <c r="J109" s="111">
        <v>0</v>
      </c>
      <c r="K109" s="78">
        <f t="shared" si="20"/>
        <v>0</v>
      </c>
      <c r="L109" s="104">
        <v>71015.199999999997</v>
      </c>
      <c r="M109" s="112">
        <f t="shared" si="21"/>
        <v>0</v>
      </c>
      <c r="N109" s="110">
        <v>4941</v>
      </c>
      <c r="O109" s="107">
        <f t="shared" si="22"/>
        <v>0</v>
      </c>
      <c r="P109" s="111">
        <v>0</v>
      </c>
      <c r="Q109" s="28">
        <f t="shared" si="23"/>
        <v>0</v>
      </c>
      <c r="R109" s="58">
        <f t="shared" si="24"/>
        <v>0</v>
      </c>
      <c r="S109" s="79">
        <f t="shared" si="25"/>
        <v>0</v>
      </c>
      <c r="T109" s="34">
        <f t="shared" si="26"/>
        <v>0</v>
      </c>
      <c r="U109" s="1">
        <v>30</v>
      </c>
    </row>
    <row r="110" spans="1:22" ht="24" customHeight="1">
      <c r="A110" s="81">
        <v>60</v>
      </c>
      <c r="B110" s="121" t="s">
        <v>109</v>
      </c>
      <c r="C110" s="103" t="s">
        <v>210</v>
      </c>
      <c r="D110" s="31" t="s">
        <v>194</v>
      </c>
      <c r="E110" s="31" t="s">
        <v>212</v>
      </c>
      <c r="F110" s="104">
        <v>72883.899999999994</v>
      </c>
      <c r="G110" s="104">
        <v>72883.899999999994</v>
      </c>
      <c r="H110" s="118">
        <f t="shared" si="19"/>
        <v>0</v>
      </c>
      <c r="I110" s="110">
        <v>5030</v>
      </c>
      <c r="J110" s="111">
        <v>0</v>
      </c>
      <c r="K110" s="55">
        <f t="shared" si="20"/>
        <v>0</v>
      </c>
      <c r="L110" s="104">
        <v>72883.899999999994</v>
      </c>
      <c r="M110" s="119">
        <f t="shared" si="21"/>
        <v>0</v>
      </c>
      <c r="N110" s="110">
        <v>5030</v>
      </c>
      <c r="O110" s="120">
        <f t="shared" si="22"/>
        <v>0</v>
      </c>
      <c r="P110" s="111">
        <v>0</v>
      </c>
      <c r="Q110" s="28">
        <f t="shared" si="23"/>
        <v>0</v>
      </c>
      <c r="R110" s="58">
        <f t="shared" si="24"/>
        <v>0</v>
      </c>
      <c r="S110" s="79">
        <f t="shared" si="25"/>
        <v>0</v>
      </c>
      <c r="T110" s="34">
        <f t="shared" si="26"/>
        <v>0</v>
      </c>
      <c r="U110" s="1">
        <v>32</v>
      </c>
    </row>
    <row r="111" spans="1:22" ht="24" customHeight="1">
      <c r="A111" s="81">
        <v>61</v>
      </c>
      <c r="B111" s="121" t="s">
        <v>176</v>
      </c>
      <c r="C111" s="103" t="s">
        <v>210</v>
      </c>
      <c r="D111" s="31" t="s">
        <v>194</v>
      </c>
      <c r="E111" s="31" t="s">
        <v>212</v>
      </c>
      <c r="F111" s="104">
        <v>54333</v>
      </c>
      <c r="G111" s="104">
        <v>54333</v>
      </c>
      <c r="H111" s="118">
        <f t="shared" si="19"/>
        <v>0</v>
      </c>
      <c r="I111" s="110">
        <v>4380</v>
      </c>
      <c r="J111" s="111">
        <v>0</v>
      </c>
      <c r="K111" s="55">
        <f t="shared" si="20"/>
        <v>0</v>
      </c>
      <c r="L111" s="104">
        <v>54333</v>
      </c>
      <c r="M111" s="119">
        <f t="shared" si="21"/>
        <v>0</v>
      </c>
      <c r="N111" s="110">
        <v>4380</v>
      </c>
      <c r="O111" s="120">
        <f t="shared" si="22"/>
        <v>0</v>
      </c>
      <c r="P111" s="111">
        <v>0</v>
      </c>
      <c r="Q111" s="28">
        <f t="shared" si="23"/>
        <v>0</v>
      </c>
      <c r="R111" s="58">
        <f t="shared" si="24"/>
        <v>0</v>
      </c>
      <c r="S111" s="79">
        <f t="shared" si="25"/>
        <v>0</v>
      </c>
      <c r="T111" s="34">
        <f t="shared" si="26"/>
        <v>0</v>
      </c>
      <c r="U111" s="1">
        <v>20</v>
      </c>
    </row>
    <row r="112" spans="1:22" ht="24" customHeight="1">
      <c r="A112" s="81">
        <v>62</v>
      </c>
      <c r="B112" s="121" t="s">
        <v>177</v>
      </c>
      <c r="C112" s="103" t="s">
        <v>210</v>
      </c>
      <c r="D112" s="31" t="s">
        <v>194</v>
      </c>
      <c r="E112" s="31" t="s">
        <v>212</v>
      </c>
      <c r="F112" s="104">
        <v>53673.4</v>
      </c>
      <c r="G112" s="104">
        <v>53673.4</v>
      </c>
      <c r="H112" s="118">
        <f t="shared" si="19"/>
        <v>0</v>
      </c>
      <c r="I112" s="110">
        <v>4434</v>
      </c>
      <c r="J112" s="111">
        <v>0</v>
      </c>
      <c r="K112" s="55">
        <f t="shared" si="20"/>
        <v>0</v>
      </c>
      <c r="L112" s="104">
        <v>53673.4</v>
      </c>
      <c r="M112" s="119">
        <f t="shared" si="21"/>
        <v>0</v>
      </c>
      <c r="N112" s="110">
        <v>4434</v>
      </c>
      <c r="O112" s="120">
        <f t="shared" si="22"/>
        <v>0</v>
      </c>
      <c r="P112" s="111">
        <v>0</v>
      </c>
      <c r="Q112" s="28">
        <f t="shared" si="23"/>
        <v>0</v>
      </c>
      <c r="R112" s="58">
        <f t="shared" si="24"/>
        <v>0</v>
      </c>
      <c r="S112" s="79">
        <f t="shared" si="25"/>
        <v>0</v>
      </c>
      <c r="T112" s="34">
        <f t="shared" si="26"/>
        <v>0</v>
      </c>
      <c r="U112" s="1">
        <v>33</v>
      </c>
    </row>
    <row r="113" spans="1:21" ht="24" customHeight="1">
      <c r="A113" s="81">
        <v>63</v>
      </c>
      <c r="B113" s="121" t="s">
        <v>178</v>
      </c>
      <c r="C113" s="103" t="s">
        <v>210</v>
      </c>
      <c r="D113" s="31" t="s">
        <v>194</v>
      </c>
      <c r="E113" s="31" t="s">
        <v>212</v>
      </c>
      <c r="F113" s="104">
        <v>52234.6</v>
      </c>
      <c r="G113" s="104">
        <v>52234.6</v>
      </c>
      <c r="H113" s="118">
        <f t="shared" si="19"/>
        <v>0</v>
      </c>
      <c r="I113" s="110">
        <v>4176</v>
      </c>
      <c r="J113" s="111">
        <v>0</v>
      </c>
      <c r="K113" s="55">
        <f t="shared" si="20"/>
        <v>0</v>
      </c>
      <c r="L113" s="104">
        <v>52234.6</v>
      </c>
      <c r="M113" s="119">
        <f t="shared" si="21"/>
        <v>0</v>
      </c>
      <c r="N113" s="110">
        <v>4176</v>
      </c>
      <c r="O113" s="120">
        <f t="shared" si="22"/>
        <v>0</v>
      </c>
      <c r="P113" s="111">
        <v>0</v>
      </c>
      <c r="Q113" s="28">
        <f t="shared" si="23"/>
        <v>0</v>
      </c>
      <c r="R113" s="58">
        <f t="shared" si="24"/>
        <v>0</v>
      </c>
      <c r="S113" s="79">
        <f t="shared" si="25"/>
        <v>0</v>
      </c>
      <c r="T113" s="34">
        <f t="shared" si="26"/>
        <v>0</v>
      </c>
      <c r="U113" s="1">
        <v>32</v>
      </c>
    </row>
    <row r="114" spans="1:21" ht="24" customHeight="1">
      <c r="A114" s="81">
        <v>64</v>
      </c>
      <c r="B114" s="121" t="s">
        <v>179</v>
      </c>
      <c r="C114" s="103" t="s">
        <v>210</v>
      </c>
      <c r="D114" s="31" t="s">
        <v>194</v>
      </c>
      <c r="E114" s="31" t="s">
        <v>212</v>
      </c>
      <c r="F114" s="104">
        <v>53033.7</v>
      </c>
      <c r="G114" s="104">
        <v>53033.7</v>
      </c>
      <c r="H114" s="118">
        <f t="shared" si="19"/>
        <v>0</v>
      </c>
      <c r="I114" s="110">
        <v>4345</v>
      </c>
      <c r="J114" s="111">
        <v>0</v>
      </c>
      <c r="K114" s="55">
        <f t="shared" si="20"/>
        <v>0</v>
      </c>
      <c r="L114" s="104">
        <v>53033.7</v>
      </c>
      <c r="M114" s="119">
        <f t="shared" si="21"/>
        <v>0</v>
      </c>
      <c r="N114" s="110">
        <v>4345</v>
      </c>
      <c r="O114" s="120">
        <f t="shared" si="22"/>
        <v>0</v>
      </c>
      <c r="P114" s="111">
        <v>0</v>
      </c>
      <c r="Q114" s="28">
        <f t="shared" si="23"/>
        <v>0</v>
      </c>
      <c r="R114" s="58">
        <f t="shared" si="24"/>
        <v>0</v>
      </c>
      <c r="S114" s="79">
        <f t="shared" si="25"/>
        <v>0</v>
      </c>
      <c r="T114" s="34">
        <f t="shared" si="26"/>
        <v>0</v>
      </c>
      <c r="U114" s="1">
        <v>27</v>
      </c>
    </row>
    <row r="115" spans="1:21" ht="24" customHeight="1">
      <c r="A115" s="81">
        <v>65</v>
      </c>
      <c r="B115" s="121" t="s">
        <v>180</v>
      </c>
      <c r="C115" s="103" t="s">
        <v>210</v>
      </c>
      <c r="D115" s="31" t="s">
        <v>194</v>
      </c>
      <c r="E115" s="31" t="s">
        <v>212</v>
      </c>
      <c r="F115" s="104">
        <v>53406.9</v>
      </c>
      <c r="G115" s="104">
        <v>53406.9</v>
      </c>
      <c r="H115" s="118">
        <f t="shared" si="19"/>
        <v>0</v>
      </c>
      <c r="I115" s="110">
        <v>4283</v>
      </c>
      <c r="J115" s="111">
        <v>0</v>
      </c>
      <c r="K115" s="55">
        <f t="shared" si="20"/>
        <v>0</v>
      </c>
      <c r="L115" s="104">
        <v>53406.9</v>
      </c>
      <c r="M115" s="119">
        <f t="shared" si="21"/>
        <v>0</v>
      </c>
      <c r="N115" s="110">
        <v>4283</v>
      </c>
      <c r="O115" s="120">
        <f t="shared" si="22"/>
        <v>0</v>
      </c>
      <c r="P115" s="111">
        <v>0</v>
      </c>
      <c r="Q115" s="28">
        <f t="shared" si="23"/>
        <v>0</v>
      </c>
      <c r="R115" s="58">
        <f t="shared" si="24"/>
        <v>0</v>
      </c>
      <c r="S115" s="79">
        <f t="shared" si="25"/>
        <v>0</v>
      </c>
      <c r="T115" s="34">
        <f t="shared" si="26"/>
        <v>0</v>
      </c>
      <c r="U115" s="1">
        <v>34</v>
      </c>
    </row>
    <row r="116" spans="1:21" ht="24" customHeight="1">
      <c r="A116" s="81">
        <v>66</v>
      </c>
      <c r="B116" s="121" t="s">
        <v>110</v>
      </c>
      <c r="C116" s="103" t="s">
        <v>210</v>
      </c>
      <c r="D116" s="31" t="s">
        <v>194</v>
      </c>
      <c r="E116" s="31" t="s">
        <v>212</v>
      </c>
      <c r="F116" s="104">
        <v>36721.599999999999</v>
      </c>
      <c r="G116" s="104">
        <v>36721.599999999999</v>
      </c>
      <c r="H116" s="118">
        <f t="shared" si="19"/>
        <v>0</v>
      </c>
      <c r="I116" s="110">
        <v>2944</v>
      </c>
      <c r="J116" s="111">
        <v>0</v>
      </c>
      <c r="K116" s="55">
        <f t="shared" si="20"/>
        <v>0</v>
      </c>
      <c r="L116" s="104">
        <v>36721.599999999999</v>
      </c>
      <c r="M116" s="119">
        <f t="shared" si="21"/>
        <v>0</v>
      </c>
      <c r="N116" s="110">
        <v>2944</v>
      </c>
      <c r="O116" s="120">
        <f t="shared" si="22"/>
        <v>0</v>
      </c>
      <c r="P116" s="111">
        <v>0</v>
      </c>
      <c r="Q116" s="28">
        <f t="shared" si="23"/>
        <v>0</v>
      </c>
      <c r="R116" s="58">
        <f t="shared" si="24"/>
        <v>0</v>
      </c>
      <c r="S116" s="79">
        <f t="shared" si="25"/>
        <v>0</v>
      </c>
      <c r="T116" s="34">
        <f t="shared" si="26"/>
        <v>0</v>
      </c>
      <c r="U116" s="1">
        <v>32</v>
      </c>
    </row>
    <row r="117" spans="1:21" ht="22.2" customHeight="1">
      <c r="A117" s="123" t="s">
        <v>28</v>
      </c>
      <c r="B117" s="123"/>
      <c r="C117" s="123"/>
      <c r="D117" s="123"/>
      <c r="E117" s="123"/>
      <c r="F117" s="40"/>
      <c r="G117" s="123"/>
      <c r="H117" s="124">
        <f>SUM(H51:H116)</f>
        <v>0</v>
      </c>
      <c r="I117" s="125"/>
      <c r="J117" s="126">
        <f>SUM(J51:J116)</f>
        <v>0</v>
      </c>
      <c r="K117" s="39"/>
      <c r="L117" s="40"/>
      <c r="M117" s="40">
        <f>SUM(M51:M116)</f>
        <v>1280.9999999999418</v>
      </c>
      <c r="N117" s="127"/>
      <c r="O117" s="128">
        <f>SUM(O51:O116)</f>
        <v>190.06999999999607</v>
      </c>
      <c r="P117" s="128">
        <f>SUM(P51:P116)</f>
        <v>2305</v>
      </c>
      <c r="Q117" s="28">
        <f>IFERROR(M117/P117,0)</f>
        <v>0.55574837310192704</v>
      </c>
      <c r="R117" s="129">
        <f>SUM(R51:R116)</f>
        <v>1280.9999999999418</v>
      </c>
      <c r="S117" s="79">
        <f>J117+P117</f>
        <v>2305</v>
      </c>
      <c r="T117" s="34">
        <f>IFERROR(R117/S117,0)</f>
        <v>0.55574837310192704</v>
      </c>
      <c r="U117" s="130">
        <f>SUM(U51:U116)</f>
        <v>1669</v>
      </c>
    </row>
    <row r="118" spans="1:21" ht="22.2" customHeight="1" thickBot="1">
      <c r="A118" s="206" t="s">
        <v>111</v>
      </c>
      <c r="B118" s="207"/>
      <c r="C118" s="207"/>
      <c r="D118" s="207"/>
      <c r="E118" s="207"/>
      <c r="F118" s="207"/>
      <c r="G118" s="207"/>
      <c r="H118" s="207"/>
      <c r="I118" s="207"/>
      <c r="J118" s="207"/>
      <c r="K118" s="207"/>
      <c r="L118" s="207"/>
      <c r="M118" s="207"/>
      <c r="N118" s="207"/>
      <c r="O118" s="208"/>
      <c r="P118" s="131"/>
      <c r="Q118" s="132"/>
      <c r="R118" s="133"/>
    </row>
    <row r="119" spans="1:21" ht="22.2" customHeight="1">
      <c r="A119" s="209" t="s">
        <v>3</v>
      </c>
      <c r="B119" s="211" t="s">
        <v>4</v>
      </c>
      <c r="C119" s="174"/>
      <c r="D119" s="174"/>
      <c r="E119" s="174"/>
      <c r="F119" s="213" t="s">
        <v>5</v>
      </c>
      <c r="G119" s="214"/>
      <c r="H119" s="214"/>
      <c r="I119" s="214"/>
      <c r="J119" s="215"/>
      <c r="K119" s="216" t="s">
        <v>6</v>
      </c>
      <c r="L119" s="217"/>
      <c r="M119" s="217"/>
      <c r="N119" s="218"/>
      <c r="O119" s="48"/>
      <c r="P119" s="219" t="s">
        <v>7</v>
      </c>
      <c r="Q119" s="194" t="s">
        <v>8</v>
      </c>
      <c r="R119" s="37"/>
    </row>
    <row r="120" spans="1:21" ht="27.6" customHeight="1" thickBot="1">
      <c r="A120" s="210"/>
      <c r="B120" s="212"/>
      <c r="C120" s="173"/>
      <c r="D120" s="173"/>
      <c r="E120" s="173"/>
      <c r="F120" s="49" t="s">
        <v>11</v>
      </c>
      <c r="G120" s="49" t="s">
        <v>12</v>
      </c>
      <c r="H120" s="49" t="s">
        <v>13</v>
      </c>
      <c r="I120" s="6" t="s">
        <v>14</v>
      </c>
      <c r="J120" s="6" t="s">
        <v>8</v>
      </c>
      <c r="K120" s="49" t="s">
        <v>12</v>
      </c>
      <c r="L120" s="49" t="s">
        <v>13</v>
      </c>
      <c r="M120" s="49" t="s">
        <v>14</v>
      </c>
      <c r="N120" s="7" t="s">
        <v>8</v>
      </c>
      <c r="O120" s="50" t="s">
        <v>15</v>
      </c>
      <c r="P120" s="220"/>
      <c r="Q120" s="195"/>
      <c r="R120" s="37"/>
    </row>
    <row r="121" spans="1:21" ht="22.2" customHeight="1">
      <c r="A121" s="76">
        <v>1</v>
      </c>
      <c r="B121" s="186" t="s">
        <v>112</v>
      </c>
      <c r="C121" s="31"/>
      <c r="D121" s="31"/>
      <c r="E121" s="31"/>
      <c r="F121" s="35">
        <v>122564</v>
      </c>
      <c r="G121" s="35">
        <v>122564</v>
      </c>
      <c r="H121" s="17">
        <f>G121-F121</f>
        <v>0</v>
      </c>
      <c r="I121" s="33">
        <v>0</v>
      </c>
      <c r="J121" s="10">
        <f>IFERROR(I121/H121,0)</f>
        <v>0</v>
      </c>
      <c r="K121" s="35">
        <v>122564</v>
      </c>
      <c r="L121" s="19">
        <f>K121-G121</f>
        <v>0</v>
      </c>
      <c r="M121" s="33">
        <v>0</v>
      </c>
      <c r="N121" s="28">
        <f t="shared" ref="N121:N142" si="27">IFERROR(M121/L121,0)</f>
        <v>0</v>
      </c>
      <c r="O121" s="18">
        <f t="shared" ref="O121:P142" si="28">H121+L121</f>
        <v>0</v>
      </c>
      <c r="P121" s="22">
        <f>I121+M121</f>
        <v>0</v>
      </c>
      <c r="Q121" s="71">
        <f>IFERROR(O121/P121,0)</f>
        <v>0</v>
      </c>
      <c r="R121" s="37"/>
    </row>
    <row r="122" spans="1:21" ht="22.2" customHeight="1">
      <c r="A122" s="76">
        <v>2</v>
      </c>
      <c r="B122" s="186" t="s">
        <v>113</v>
      </c>
      <c r="C122" s="31"/>
      <c r="D122" s="31"/>
      <c r="E122" s="31"/>
      <c r="F122" s="35">
        <v>4319.18</v>
      </c>
      <c r="G122" s="35">
        <v>4319.18</v>
      </c>
      <c r="H122" s="17">
        <f t="shared" ref="H122:H142" si="29">G122-F122</f>
        <v>0</v>
      </c>
      <c r="I122" s="33">
        <v>0</v>
      </c>
      <c r="J122" s="10">
        <f t="shared" ref="J122:J142" si="30">IFERROR(I122/H122,0)</f>
        <v>0</v>
      </c>
      <c r="K122" s="35">
        <v>4319.18</v>
      </c>
      <c r="L122" s="19">
        <f>K122-G122</f>
        <v>0</v>
      </c>
      <c r="M122" s="33">
        <v>0</v>
      </c>
      <c r="N122" s="28">
        <f t="shared" si="27"/>
        <v>0</v>
      </c>
      <c r="O122" s="18">
        <f t="shared" si="28"/>
        <v>0</v>
      </c>
      <c r="P122" s="22">
        <f t="shared" si="28"/>
        <v>0</v>
      </c>
      <c r="Q122" s="71">
        <f t="shared" ref="Q122:Q142" si="31">IFERROR(O122/P122,0)</f>
        <v>0</v>
      </c>
      <c r="R122" s="134"/>
    </row>
    <row r="123" spans="1:21" ht="22.2" customHeight="1">
      <c r="A123" s="76">
        <v>3</v>
      </c>
      <c r="B123" s="186" t="s">
        <v>114</v>
      </c>
      <c r="C123" s="31"/>
      <c r="D123" s="31"/>
      <c r="E123" s="31"/>
      <c r="F123" s="35">
        <v>180.5</v>
      </c>
      <c r="G123" s="35">
        <v>180.5</v>
      </c>
      <c r="H123" s="17">
        <f t="shared" si="29"/>
        <v>0</v>
      </c>
      <c r="I123" s="33">
        <v>0</v>
      </c>
      <c r="J123" s="10">
        <f t="shared" si="30"/>
        <v>0</v>
      </c>
      <c r="K123" s="35">
        <v>180.5</v>
      </c>
      <c r="L123" s="19">
        <f t="shared" ref="L123:L141" si="32">K123-G123</f>
        <v>0</v>
      </c>
      <c r="M123" s="33">
        <v>0</v>
      </c>
      <c r="N123" s="28">
        <f t="shared" si="27"/>
        <v>0</v>
      </c>
      <c r="O123" s="18">
        <f t="shared" si="28"/>
        <v>0</v>
      </c>
      <c r="P123" s="22">
        <f t="shared" si="28"/>
        <v>0</v>
      </c>
      <c r="Q123" s="71">
        <f t="shared" si="31"/>
        <v>0</v>
      </c>
      <c r="R123" s="37"/>
    </row>
    <row r="124" spans="1:21" ht="22.2" customHeight="1">
      <c r="A124" s="76">
        <v>4</v>
      </c>
      <c r="B124" s="186" t="s">
        <v>115</v>
      </c>
      <c r="C124" s="31"/>
      <c r="D124" s="31"/>
      <c r="E124" s="31"/>
      <c r="F124" s="136">
        <v>141895</v>
      </c>
      <c r="G124" s="136">
        <v>141895</v>
      </c>
      <c r="H124" s="17">
        <f t="shared" si="29"/>
        <v>0</v>
      </c>
      <c r="I124" s="33">
        <v>0</v>
      </c>
      <c r="J124" s="10">
        <f t="shared" si="30"/>
        <v>0</v>
      </c>
      <c r="K124" s="136">
        <v>142245</v>
      </c>
      <c r="L124" s="19">
        <f t="shared" si="32"/>
        <v>350</v>
      </c>
      <c r="M124" s="33">
        <v>35</v>
      </c>
      <c r="N124" s="28">
        <f t="shared" si="27"/>
        <v>0.1</v>
      </c>
      <c r="O124" s="18">
        <f t="shared" si="28"/>
        <v>350</v>
      </c>
      <c r="P124" s="22">
        <f t="shared" si="28"/>
        <v>35</v>
      </c>
      <c r="Q124" s="71">
        <f t="shared" si="31"/>
        <v>10</v>
      </c>
      <c r="R124" s="137"/>
    </row>
    <row r="125" spans="1:21" ht="22.2" customHeight="1">
      <c r="A125" s="76">
        <v>5</v>
      </c>
      <c r="B125" s="186" t="s">
        <v>116</v>
      </c>
      <c r="C125" s="31"/>
      <c r="D125" s="31"/>
      <c r="E125" s="31"/>
      <c r="F125" s="35">
        <v>44558.9</v>
      </c>
      <c r="G125" s="35">
        <v>44558.9</v>
      </c>
      <c r="H125" s="17">
        <f t="shared" si="29"/>
        <v>0</v>
      </c>
      <c r="I125" s="33">
        <v>0</v>
      </c>
      <c r="J125" s="10">
        <f t="shared" si="30"/>
        <v>0</v>
      </c>
      <c r="K125" s="35">
        <v>44558.9</v>
      </c>
      <c r="L125" s="19">
        <f t="shared" si="32"/>
        <v>0</v>
      </c>
      <c r="M125" s="33">
        <v>0</v>
      </c>
      <c r="N125" s="28">
        <f t="shared" si="27"/>
        <v>0</v>
      </c>
      <c r="O125" s="18">
        <f t="shared" si="28"/>
        <v>0</v>
      </c>
      <c r="P125" s="22">
        <f t="shared" si="28"/>
        <v>0</v>
      </c>
      <c r="Q125" s="71">
        <f t="shared" si="31"/>
        <v>0</v>
      </c>
      <c r="R125" s="77"/>
    </row>
    <row r="126" spans="1:21" ht="22.2" customHeight="1">
      <c r="A126" s="76">
        <v>6</v>
      </c>
      <c r="B126" s="186" t="s">
        <v>117</v>
      </c>
      <c r="C126" s="31"/>
      <c r="D126" s="31"/>
      <c r="E126" s="31"/>
      <c r="F126" s="35">
        <v>100820</v>
      </c>
      <c r="G126" s="35">
        <v>100820</v>
      </c>
      <c r="H126" s="17">
        <f t="shared" si="29"/>
        <v>0</v>
      </c>
      <c r="I126" s="33">
        <v>0</v>
      </c>
      <c r="J126" s="10">
        <f t="shared" si="30"/>
        <v>0</v>
      </c>
      <c r="K126" s="35">
        <v>100820</v>
      </c>
      <c r="L126" s="19">
        <f t="shared" si="32"/>
        <v>0</v>
      </c>
      <c r="M126" s="33">
        <v>0</v>
      </c>
      <c r="N126" s="28">
        <f t="shared" si="27"/>
        <v>0</v>
      </c>
      <c r="O126" s="18">
        <f t="shared" si="28"/>
        <v>0</v>
      </c>
      <c r="P126" s="22">
        <f t="shared" si="28"/>
        <v>0</v>
      </c>
      <c r="Q126" s="71">
        <f t="shared" si="31"/>
        <v>0</v>
      </c>
      <c r="R126" s="37"/>
    </row>
    <row r="127" spans="1:21" ht="22.2" customHeight="1">
      <c r="A127" s="76">
        <v>7</v>
      </c>
      <c r="B127" s="186" t="s">
        <v>118</v>
      </c>
      <c r="C127" s="31"/>
      <c r="D127" s="31"/>
      <c r="E127" s="31"/>
      <c r="F127" s="35">
        <v>152282.79999999999</v>
      </c>
      <c r="G127" s="35">
        <v>152282.79999999999</v>
      </c>
      <c r="H127" s="17">
        <f t="shared" si="29"/>
        <v>0</v>
      </c>
      <c r="I127" s="33">
        <v>0</v>
      </c>
      <c r="J127" s="10">
        <f t="shared" si="30"/>
        <v>0</v>
      </c>
      <c r="K127" s="35">
        <v>152282.79999999999</v>
      </c>
      <c r="L127" s="19">
        <f t="shared" si="32"/>
        <v>0</v>
      </c>
      <c r="M127" s="33">
        <v>0</v>
      </c>
      <c r="N127" s="28">
        <f t="shared" si="27"/>
        <v>0</v>
      </c>
      <c r="O127" s="18">
        <f t="shared" si="28"/>
        <v>0</v>
      </c>
      <c r="P127" s="22">
        <f>I127+M127</f>
        <v>0</v>
      </c>
      <c r="Q127" s="71">
        <f t="shared" si="31"/>
        <v>0</v>
      </c>
      <c r="R127" s="37"/>
    </row>
    <row r="128" spans="1:21" ht="22.2" customHeight="1">
      <c r="A128" s="76">
        <v>8</v>
      </c>
      <c r="B128" s="187" t="s">
        <v>119</v>
      </c>
      <c r="C128" s="138"/>
      <c r="D128" s="138"/>
      <c r="E128" s="138"/>
      <c r="F128" s="136">
        <v>40895.199999999997</v>
      </c>
      <c r="G128" s="136">
        <v>40895.199999999997</v>
      </c>
      <c r="H128" s="17">
        <f t="shared" si="29"/>
        <v>0</v>
      </c>
      <c r="I128" s="33">
        <v>0</v>
      </c>
      <c r="J128" s="10">
        <f t="shared" si="30"/>
        <v>0</v>
      </c>
      <c r="K128" s="136">
        <v>40895.199999999997</v>
      </c>
      <c r="L128" s="19">
        <f t="shared" si="32"/>
        <v>0</v>
      </c>
      <c r="M128" s="33">
        <v>0</v>
      </c>
      <c r="N128" s="28">
        <f t="shared" si="27"/>
        <v>0</v>
      </c>
      <c r="O128" s="18">
        <f t="shared" si="28"/>
        <v>0</v>
      </c>
      <c r="P128" s="22">
        <f>I128+M128</f>
        <v>0</v>
      </c>
      <c r="Q128" s="71">
        <f t="shared" si="31"/>
        <v>0</v>
      </c>
      <c r="R128" s="37"/>
    </row>
    <row r="129" spans="1:20" ht="22.2" customHeight="1">
      <c r="A129" s="76">
        <v>9</v>
      </c>
      <c r="B129" s="187" t="s">
        <v>120</v>
      </c>
      <c r="C129" s="138"/>
      <c r="D129" s="138"/>
      <c r="E129" s="138"/>
      <c r="F129" s="35">
        <v>34200</v>
      </c>
      <c r="G129" s="35">
        <v>34200</v>
      </c>
      <c r="H129" s="17">
        <f t="shared" si="29"/>
        <v>0</v>
      </c>
      <c r="I129" s="33">
        <v>0</v>
      </c>
      <c r="J129" s="10">
        <f t="shared" si="30"/>
        <v>0</v>
      </c>
      <c r="K129" s="35">
        <v>34200</v>
      </c>
      <c r="L129" s="19">
        <f t="shared" si="32"/>
        <v>0</v>
      </c>
      <c r="M129" s="33">
        <v>0</v>
      </c>
      <c r="N129" s="28">
        <f t="shared" si="27"/>
        <v>0</v>
      </c>
      <c r="O129" s="18">
        <f t="shared" si="28"/>
        <v>0</v>
      </c>
      <c r="P129" s="22">
        <f t="shared" si="28"/>
        <v>0</v>
      </c>
      <c r="Q129" s="71">
        <f t="shared" si="31"/>
        <v>0</v>
      </c>
      <c r="R129" s="37"/>
    </row>
    <row r="130" spans="1:20" ht="22.2" customHeight="1">
      <c r="A130" s="76">
        <v>10</v>
      </c>
      <c r="B130" s="186" t="s">
        <v>121</v>
      </c>
      <c r="C130" s="31"/>
      <c r="D130" s="31"/>
      <c r="E130" s="31"/>
      <c r="F130" s="35">
        <v>156864</v>
      </c>
      <c r="G130" s="35">
        <v>156864</v>
      </c>
      <c r="H130" s="17">
        <f t="shared" si="29"/>
        <v>0</v>
      </c>
      <c r="I130" s="33">
        <v>0</v>
      </c>
      <c r="J130" s="10">
        <f t="shared" si="30"/>
        <v>0</v>
      </c>
      <c r="K130" s="35">
        <v>156864</v>
      </c>
      <c r="L130" s="19">
        <f t="shared" si="32"/>
        <v>0</v>
      </c>
      <c r="M130" s="33">
        <v>0</v>
      </c>
      <c r="N130" s="28">
        <f t="shared" si="27"/>
        <v>0</v>
      </c>
      <c r="O130" s="18">
        <f t="shared" si="28"/>
        <v>0</v>
      </c>
      <c r="P130" s="22">
        <f t="shared" si="28"/>
        <v>0</v>
      </c>
      <c r="Q130" s="71">
        <f t="shared" si="31"/>
        <v>0</v>
      </c>
      <c r="R130" s="137"/>
    </row>
    <row r="131" spans="1:20" ht="23.4" customHeight="1">
      <c r="A131" s="76">
        <v>11</v>
      </c>
      <c r="B131" s="187" t="s">
        <v>122</v>
      </c>
      <c r="C131" s="138"/>
      <c r="D131" s="138"/>
      <c r="E131" s="138"/>
      <c r="F131" s="35">
        <v>36866</v>
      </c>
      <c r="G131" s="35">
        <v>36866</v>
      </c>
      <c r="H131" s="17">
        <f t="shared" si="29"/>
        <v>0</v>
      </c>
      <c r="I131" s="33">
        <v>0</v>
      </c>
      <c r="J131" s="10">
        <f t="shared" si="30"/>
        <v>0</v>
      </c>
      <c r="K131" s="35">
        <v>36866</v>
      </c>
      <c r="L131" s="19">
        <f t="shared" si="32"/>
        <v>0</v>
      </c>
      <c r="M131" s="33">
        <v>0</v>
      </c>
      <c r="N131" s="28">
        <f t="shared" si="27"/>
        <v>0</v>
      </c>
      <c r="O131" s="18">
        <f t="shared" si="28"/>
        <v>0</v>
      </c>
      <c r="P131" s="22">
        <f t="shared" si="28"/>
        <v>0</v>
      </c>
      <c r="Q131" s="71">
        <f t="shared" si="31"/>
        <v>0</v>
      </c>
      <c r="R131" s="37"/>
      <c r="T131" s="38"/>
    </row>
    <row r="132" spans="1:20" ht="22.2" customHeight="1">
      <c r="A132" s="76">
        <v>12</v>
      </c>
      <c r="B132" s="187" t="s">
        <v>123</v>
      </c>
      <c r="C132" s="138"/>
      <c r="D132" s="138"/>
      <c r="E132" s="138"/>
      <c r="F132" s="35">
        <v>16963</v>
      </c>
      <c r="G132" s="35">
        <v>16963</v>
      </c>
      <c r="H132" s="17">
        <f t="shared" si="29"/>
        <v>0</v>
      </c>
      <c r="I132" s="33">
        <v>0</v>
      </c>
      <c r="J132" s="78">
        <f t="shared" si="30"/>
        <v>0</v>
      </c>
      <c r="K132" s="35">
        <v>16963</v>
      </c>
      <c r="L132" s="19">
        <f t="shared" si="32"/>
        <v>0</v>
      </c>
      <c r="M132" s="33">
        <v>0</v>
      </c>
      <c r="N132" s="28">
        <f t="shared" si="27"/>
        <v>0</v>
      </c>
      <c r="O132" s="18">
        <f t="shared" si="28"/>
        <v>0</v>
      </c>
      <c r="P132" s="79">
        <f t="shared" si="28"/>
        <v>0</v>
      </c>
      <c r="Q132" s="71">
        <f t="shared" si="31"/>
        <v>0</v>
      </c>
      <c r="R132" s="37"/>
      <c r="T132" s="45"/>
    </row>
    <row r="133" spans="1:20" ht="21.6" customHeight="1">
      <c r="A133" s="76">
        <v>13</v>
      </c>
      <c r="B133" s="171" t="s">
        <v>124</v>
      </c>
      <c r="C133" s="138"/>
      <c r="D133" s="138"/>
      <c r="E133" s="138"/>
      <c r="F133" s="35">
        <v>890.2</v>
      </c>
      <c r="G133" s="35">
        <v>890.2</v>
      </c>
      <c r="H133" s="17">
        <f t="shared" si="29"/>
        <v>0</v>
      </c>
      <c r="I133" s="35">
        <v>0</v>
      </c>
      <c r="J133" s="78">
        <f t="shared" si="30"/>
        <v>0</v>
      </c>
      <c r="K133" s="35">
        <v>890.2</v>
      </c>
      <c r="L133" s="19">
        <f t="shared" si="32"/>
        <v>0</v>
      </c>
      <c r="M133" s="35">
        <v>0</v>
      </c>
      <c r="N133" s="28">
        <f t="shared" si="27"/>
        <v>0</v>
      </c>
      <c r="O133" s="18">
        <f t="shared" si="28"/>
        <v>0</v>
      </c>
      <c r="P133" s="79">
        <f t="shared" si="28"/>
        <v>0</v>
      </c>
      <c r="Q133" s="71">
        <f t="shared" si="31"/>
        <v>0</v>
      </c>
      <c r="R133" s="37"/>
      <c r="T133" s="45"/>
    </row>
    <row r="134" spans="1:20" ht="21.6" customHeight="1">
      <c r="A134" s="76">
        <v>14</v>
      </c>
      <c r="B134" s="171" t="s">
        <v>174</v>
      </c>
      <c r="C134" s="138"/>
      <c r="D134" s="138"/>
      <c r="E134" s="138"/>
      <c r="F134" s="35">
        <v>3503</v>
      </c>
      <c r="G134" s="35">
        <v>3503</v>
      </c>
      <c r="H134" s="17">
        <f t="shared" si="29"/>
        <v>0</v>
      </c>
      <c r="I134" s="35">
        <v>0</v>
      </c>
      <c r="J134" s="78">
        <f t="shared" si="30"/>
        <v>0</v>
      </c>
      <c r="K134" s="35">
        <v>3503</v>
      </c>
      <c r="L134" s="19">
        <f t="shared" si="32"/>
        <v>0</v>
      </c>
      <c r="M134" s="141">
        <v>0</v>
      </c>
      <c r="N134" s="28">
        <f t="shared" si="27"/>
        <v>0</v>
      </c>
      <c r="O134" s="18">
        <f t="shared" si="28"/>
        <v>0</v>
      </c>
      <c r="P134" s="79">
        <f t="shared" si="28"/>
        <v>0</v>
      </c>
      <c r="Q134" s="71">
        <f t="shared" si="31"/>
        <v>0</v>
      </c>
      <c r="R134" s="37"/>
      <c r="T134" s="45"/>
    </row>
    <row r="135" spans="1:20" ht="25.2" customHeight="1">
      <c r="A135" s="76">
        <v>15</v>
      </c>
      <c r="B135" s="187" t="s">
        <v>127</v>
      </c>
      <c r="C135" s="138"/>
      <c r="D135" s="138"/>
      <c r="E135" s="138"/>
      <c r="F135" s="35">
        <v>0</v>
      </c>
      <c r="G135" s="35">
        <v>0</v>
      </c>
      <c r="H135" s="17">
        <f t="shared" si="29"/>
        <v>0</v>
      </c>
      <c r="I135" s="33">
        <v>0</v>
      </c>
      <c r="J135" s="78">
        <f t="shared" si="30"/>
        <v>0</v>
      </c>
      <c r="K135" s="35">
        <v>0</v>
      </c>
      <c r="L135" s="19">
        <f t="shared" si="32"/>
        <v>0</v>
      </c>
      <c r="M135" s="33">
        <v>0</v>
      </c>
      <c r="N135" s="28">
        <f t="shared" si="27"/>
        <v>0</v>
      </c>
      <c r="O135" s="18">
        <f t="shared" si="28"/>
        <v>0</v>
      </c>
      <c r="P135" s="79">
        <f t="shared" si="28"/>
        <v>0</v>
      </c>
      <c r="Q135" s="71">
        <f t="shared" si="31"/>
        <v>0</v>
      </c>
      <c r="R135" s="77"/>
      <c r="T135" s="45"/>
    </row>
    <row r="136" spans="1:20" ht="25.2" customHeight="1">
      <c r="A136" s="76">
        <v>16</v>
      </c>
      <c r="B136" s="187" t="s">
        <v>183</v>
      </c>
      <c r="C136" s="138"/>
      <c r="D136" s="138"/>
      <c r="E136" s="138"/>
      <c r="F136" s="35">
        <v>295805</v>
      </c>
      <c r="G136" s="35">
        <v>295805</v>
      </c>
      <c r="H136" s="17">
        <f t="shared" si="29"/>
        <v>0</v>
      </c>
      <c r="I136" s="33">
        <v>0</v>
      </c>
      <c r="J136" s="78">
        <f t="shared" si="30"/>
        <v>0</v>
      </c>
      <c r="K136" s="35">
        <v>295805</v>
      </c>
      <c r="L136" s="19">
        <f t="shared" si="32"/>
        <v>0</v>
      </c>
      <c r="M136" s="33">
        <v>0</v>
      </c>
      <c r="N136" s="28">
        <f t="shared" si="27"/>
        <v>0</v>
      </c>
      <c r="O136" s="18">
        <f t="shared" si="28"/>
        <v>0</v>
      </c>
      <c r="P136" s="79">
        <f t="shared" si="28"/>
        <v>0</v>
      </c>
      <c r="Q136" s="71">
        <f t="shared" si="31"/>
        <v>0</v>
      </c>
      <c r="R136" s="77"/>
      <c r="T136" s="45"/>
    </row>
    <row r="137" spans="1:20" ht="25.2" customHeight="1">
      <c r="A137" s="76">
        <v>17</v>
      </c>
      <c r="B137" s="187" t="s">
        <v>184</v>
      </c>
      <c r="C137" s="138"/>
      <c r="D137" s="138"/>
      <c r="E137" s="138"/>
      <c r="F137" s="35">
        <v>77139.3</v>
      </c>
      <c r="G137" s="35">
        <v>77139.3</v>
      </c>
      <c r="H137" s="17">
        <f t="shared" si="29"/>
        <v>0</v>
      </c>
      <c r="I137" s="33">
        <v>0</v>
      </c>
      <c r="J137" s="78">
        <f t="shared" si="30"/>
        <v>0</v>
      </c>
      <c r="K137" s="35">
        <v>77139.3</v>
      </c>
      <c r="L137" s="19">
        <f t="shared" si="32"/>
        <v>0</v>
      </c>
      <c r="M137" s="33">
        <v>0</v>
      </c>
      <c r="N137" s="28">
        <f t="shared" si="27"/>
        <v>0</v>
      </c>
      <c r="O137" s="18">
        <f t="shared" si="28"/>
        <v>0</v>
      </c>
      <c r="P137" s="79">
        <f t="shared" si="28"/>
        <v>0</v>
      </c>
      <c r="Q137" s="71">
        <f t="shared" si="31"/>
        <v>0</v>
      </c>
      <c r="R137" s="77"/>
      <c r="T137" s="45"/>
    </row>
    <row r="138" spans="1:20" ht="25.2" customHeight="1">
      <c r="A138" s="76">
        <v>18</v>
      </c>
      <c r="B138" s="187" t="s">
        <v>185</v>
      </c>
      <c r="C138" s="138"/>
      <c r="D138" s="138"/>
      <c r="E138" s="138"/>
      <c r="F138" s="35">
        <v>113495.8</v>
      </c>
      <c r="G138" s="35">
        <v>113495.8</v>
      </c>
      <c r="H138" s="17">
        <f t="shared" si="29"/>
        <v>0</v>
      </c>
      <c r="I138" s="33">
        <v>0</v>
      </c>
      <c r="J138" s="78">
        <f t="shared" si="30"/>
        <v>0</v>
      </c>
      <c r="K138" s="35">
        <v>113495.8</v>
      </c>
      <c r="L138" s="19">
        <f t="shared" si="32"/>
        <v>0</v>
      </c>
      <c r="M138" s="33">
        <v>0</v>
      </c>
      <c r="N138" s="28">
        <f t="shared" si="27"/>
        <v>0</v>
      </c>
      <c r="O138" s="18">
        <f t="shared" si="28"/>
        <v>0</v>
      </c>
      <c r="P138" s="79">
        <f t="shared" si="28"/>
        <v>0</v>
      </c>
      <c r="Q138" s="71">
        <f t="shared" si="31"/>
        <v>0</v>
      </c>
      <c r="R138" s="77"/>
      <c r="T138" s="45"/>
    </row>
    <row r="139" spans="1:20" ht="25.2" customHeight="1">
      <c r="A139" s="76">
        <v>19</v>
      </c>
      <c r="B139" s="187" t="s">
        <v>187</v>
      </c>
      <c r="C139" s="138"/>
      <c r="D139" s="138"/>
      <c r="E139" s="138"/>
      <c r="F139" s="35">
        <v>59801.4</v>
      </c>
      <c r="G139" s="35">
        <v>59801.4</v>
      </c>
      <c r="H139" s="35">
        <f t="shared" si="29"/>
        <v>0</v>
      </c>
      <c r="I139" s="33">
        <v>0</v>
      </c>
      <c r="J139" s="78">
        <f t="shared" si="30"/>
        <v>0</v>
      </c>
      <c r="K139" s="35">
        <v>59801.4</v>
      </c>
      <c r="L139" s="56">
        <f t="shared" si="32"/>
        <v>0</v>
      </c>
      <c r="M139" s="33">
        <v>0</v>
      </c>
      <c r="N139" s="28">
        <f t="shared" si="27"/>
        <v>0</v>
      </c>
      <c r="O139" s="84">
        <f t="shared" si="28"/>
        <v>0</v>
      </c>
      <c r="P139" s="79">
        <f t="shared" si="28"/>
        <v>0</v>
      </c>
      <c r="Q139" s="34">
        <f t="shared" si="31"/>
        <v>0</v>
      </c>
      <c r="R139" s="77"/>
      <c r="T139" s="45"/>
    </row>
    <row r="140" spans="1:20" ht="25.2" customHeight="1">
      <c r="A140" s="76">
        <v>20</v>
      </c>
      <c r="B140" s="187" t="s">
        <v>188</v>
      </c>
      <c r="C140" s="138"/>
      <c r="D140" s="138"/>
      <c r="E140" s="138"/>
      <c r="F140" s="35">
        <v>485627</v>
      </c>
      <c r="G140" s="35">
        <v>485627</v>
      </c>
      <c r="H140" s="35">
        <f t="shared" si="29"/>
        <v>0</v>
      </c>
      <c r="I140" s="33">
        <v>0</v>
      </c>
      <c r="J140" s="78">
        <f t="shared" si="30"/>
        <v>0</v>
      </c>
      <c r="K140" s="35">
        <v>485627</v>
      </c>
      <c r="L140" s="56">
        <f t="shared" si="32"/>
        <v>0</v>
      </c>
      <c r="M140" s="33">
        <v>0</v>
      </c>
      <c r="N140" s="28">
        <f t="shared" si="27"/>
        <v>0</v>
      </c>
      <c r="O140" s="84">
        <f t="shared" si="28"/>
        <v>0</v>
      </c>
      <c r="P140" s="79">
        <f t="shared" si="28"/>
        <v>0</v>
      </c>
      <c r="Q140" s="34">
        <f t="shared" si="31"/>
        <v>0</v>
      </c>
      <c r="R140" s="77"/>
      <c r="T140" s="45"/>
    </row>
    <row r="141" spans="1:20" ht="25.2" customHeight="1">
      <c r="A141" s="76">
        <v>21</v>
      </c>
      <c r="B141" s="187" t="s">
        <v>189</v>
      </c>
      <c r="C141" s="138"/>
      <c r="D141" s="138"/>
      <c r="E141" s="138"/>
      <c r="F141" s="35">
        <v>46458.2</v>
      </c>
      <c r="G141" s="35">
        <v>46458.2</v>
      </c>
      <c r="H141" s="35">
        <f t="shared" si="29"/>
        <v>0</v>
      </c>
      <c r="I141" s="33">
        <v>0</v>
      </c>
      <c r="J141" s="78">
        <f t="shared" si="30"/>
        <v>0</v>
      </c>
      <c r="K141" s="35">
        <v>46458.2</v>
      </c>
      <c r="L141" s="56">
        <f t="shared" si="32"/>
        <v>0</v>
      </c>
      <c r="M141" s="33">
        <v>0</v>
      </c>
      <c r="N141" s="28">
        <f t="shared" si="27"/>
        <v>0</v>
      </c>
      <c r="O141" s="84">
        <f t="shared" si="28"/>
        <v>0</v>
      </c>
      <c r="P141" s="79">
        <f t="shared" si="28"/>
        <v>0</v>
      </c>
      <c r="Q141" s="34">
        <f t="shared" si="31"/>
        <v>0</v>
      </c>
      <c r="R141" s="77"/>
      <c r="T141" s="45"/>
    </row>
    <row r="142" spans="1:20" ht="25.2" customHeight="1">
      <c r="A142" s="144">
        <v>22</v>
      </c>
      <c r="B142" s="187" t="s">
        <v>213</v>
      </c>
      <c r="C142" s="138"/>
      <c r="D142" s="138"/>
      <c r="E142" s="138"/>
      <c r="F142" s="35">
        <v>99823.4</v>
      </c>
      <c r="G142" s="35">
        <v>99823.4</v>
      </c>
      <c r="H142" s="35">
        <f t="shared" si="29"/>
        <v>0</v>
      </c>
      <c r="I142" s="33">
        <v>0</v>
      </c>
      <c r="J142" s="78">
        <f t="shared" si="30"/>
        <v>0</v>
      </c>
      <c r="K142" s="35">
        <v>99823.4</v>
      </c>
      <c r="L142" s="35">
        <v>99823.4</v>
      </c>
      <c r="M142" s="33">
        <v>0</v>
      </c>
      <c r="N142" s="28">
        <f t="shared" si="27"/>
        <v>0</v>
      </c>
      <c r="O142" s="84">
        <f t="shared" si="28"/>
        <v>99823.4</v>
      </c>
      <c r="P142" s="79">
        <f t="shared" si="28"/>
        <v>0</v>
      </c>
      <c r="Q142" s="34">
        <f t="shared" si="31"/>
        <v>0</v>
      </c>
      <c r="R142" s="77"/>
      <c r="T142" s="45"/>
    </row>
    <row r="143" spans="1:20" ht="18">
      <c r="A143" s="196" t="s">
        <v>28</v>
      </c>
      <c r="B143" s="197"/>
      <c r="C143" s="175"/>
      <c r="D143" s="175"/>
      <c r="E143" s="175"/>
      <c r="F143" s="123"/>
      <c r="G143" s="123"/>
      <c r="H143" s="40">
        <f>SUM(H121:H142)</f>
        <v>0</v>
      </c>
      <c r="I143" s="40">
        <f>SUM(I121:I142)</f>
        <v>0</v>
      </c>
      <c r="J143" s="39"/>
      <c r="K143" s="39"/>
      <c r="L143" s="40">
        <f>SUM(L121:L142)</f>
        <v>100173.4</v>
      </c>
      <c r="M143" s="40">
        <f>SUM(M121:M142)</f>
        <v>35</v>
      </c>
      <c r="N143" s="145"/>
      <c r="O143" s="146">
        <f>SUM(O121:O142)</f>
        <v>100173.4</v>
      </c>
      <c r="P143" s="147">
        <f>SUM(P121:P142)</f>
        <v>35</v>
      </c>
      <c r="Q143" s="34"/>
      <c r="R143" s="37"/>
      <c r="S143" s="72"/>
    </row>
    <row r="144" spans="1:20" ht="21.6" thickBot="1">
      <c r="A144" s="148"/>
      <c r="B144" s="149"/>
      <c r="C144" s="149"/>
      <c r="D144" s="149"/>
      <c r="E144" s="149"/>
      <c r="F144" s="149"/>
      <c r="G144" s="149"/>
      <c r="H144" s="149" t="s">
        <v>139</v>
      </c>
      <c r="I144" s="150">
        <f>I19+I25+I34+I40+I47+J117+I143</f>
        <v>0</v>
      </c>
      <c r="J144" s="149"/>
      <c r="K144" s="149"/>
      <c r="L144" s="151" t="s">
        <v>140</v>
      </c>
      <c r="M144" s="150">
        <f>M19+M25+M34+M40+M47+P117+M143</f>
        <v>5627.7</v>
      </c>
      <c r="N144" s="198" t="s">
        <v>141</v>
      </c>
      <c r="O144" s="198"/>
      <c r="P144" s="198"/>
      <c r="Q144" s="198"/>
      <c r="R144" s="152"/>
    </row>
    <row r="145" spans="1:19" ht="15">
      <c r="B145" s="153"/>
      <c r="C145" s="153"/>
      <c r="D145" s="153"/>
      <c r="E145" s="153"/>
      <c r="F145" s="152"/>
      <c r="G145" s="152"/>
      <c r="H145" s="152"/>
      <c r="I145" s="152"/>
      <c r="J145" s="152"/>
      <c r="K145" s="152"/>
      <c r="L145" s="152"/>
      <c r="M145" s="154"/>
      <c r="N145" s="155" t="s">
        <v>142</v>
      </c>
      <c r="O145" s="199">
        <f>Q2</f>
        <v>46228</v>
      </c>
      <c r="P145" s="200"/>
      <c r="Q145" s="156"/>
      <c r="R145" s="157">
        <f>P143-Q151</f>
        <v>35</v>
      </c>
    </row>
    <row r="146" spans="1:19" ht="18">
      <c r="B146" s="158" t="s">
        <v>143</v>
      </c>
      <c r="C146" s="158"/>
      <c r="D146" s="158"/>
      <c r="E146" s="158"/>
      <c r="F146" s="159">
        <f>I144</f>
        <v>0</v>
      </c>
      <c r="G146" s="160"/>
      <c r="H146" s="160"/>
      <c r="I146" s="159"/>
      <c r="J146" s="160"/>
      <c r="K146" s="160"/>
      <c r="L146" s="160"/>
      <c r="M146" s="45"/>
      <c r="N146" s="188" t="s">
        <v>144</v>
      </c>
      <c r="O146" s="189"/>
      <c r="P146" s="190"/>
      <c r="Q146" s="161">
        <f>S117</f>
        <v>2305</v>
      </c>
      <c r="R146" s="152"/>
    </row>
    <row r="147" spans="1:19" ht="18">
      <c r="B147" s="158" t="s">
        <v>145</v>
      </c>
      <c r="C147" s="158"/>
      <c r="D147" s="158"/>
      <c r="E147" s="158"/>
      <c r="F147" s="159">
        <f>M144</f>
        <v>5627.7</v>
      </c>
      <c r="G147" s="160"/>
      <c r="H147" s="160"/>
      <c r="I147" s="159"/>
      <c r="J147" s="159"/>
      <c r="K147" s="160"/>
      <c r="L147" s="160"/>
      <c r="M147" s="45"/>
      <c r="N147" s="188" t="s">
        <v>146</v>
      </c>
      <c r="O147" s="189"/>
      <c r="P147" s="190"/>
      <c r="Q147" s="161">
        <f>P19</f>
        <v>1965.41</v>
      </c>
      <c r="R147" s="152"/>
    </row>
    <row r="148" spans="1:19" ht="18">
      <c r="B148" s="158" t="s">
        <v>28</v>
      </c>
      <c r="C148" s="158"/>
      <c r="D148" s="158"/>
      <c r="E148" s="158"/>
      <c r="F148" s="159">
        <f>F146+F147</f>
        <v>5627.7</v>
      </c>
      <c r="G148" s="160"/>
      <c r="H148" s="160"/>
      <c r="I148" s="160"/>
      <c r="J148" s="159"/>
      <c r="K148" s="160"/>
      <c r="L148" s="160"/>
      <c r="N148" s="188" t="s">
        <v>147</v>
      </c>
      <c r="O148" s="189"/>
      <c r="P148" s="190"/>
      <c r="Q148" s="161">
        <f>P34</f>
        <v>635.91000000000008</v>
      </c>
    </row>
    <row r="149" spans="1:19" ht="18">
      <c r="F149" s="45"/>
      <c r="G149" s="45"/>
      <c r="H149" s="45"/>
      <c r="I149" s="45"/>
      <c r="J149" s="45"/>
      <c r="K149" s="160" t="s">
        <v>94</v>
      </c>
      <c r="L149" s="45"/>
      <c r="N149" s="188" t="s">
        <v>148</v>
      </c>
      <c r="O149" s="189"/>
      <c r="P149" s="190"/>
      <c r="Q149" s="161">
        <f>P40</f>
        <v>193.76</v>
      </c>
    </row>
    <row r="150" spans="1:19" ht="25.2" customHeight="1">
      <c r="B150" s="162" t="s">
        <v>149</v>
      </c>
      <c r="C150" s="162"/>
      <c r="D150" s="162"/>
      <c r="E150" s="162"/>
      <c r="F150" s="193"/>
      <c r="G150" s="193"/>
      <c r="H150" s="193"/>
      <c r="I150" s="193"/>
      <c r="J150" s="193"/>
      <c r="K150" s="193"/>
      <c r="L150" s="193"/>
      <c r="M150" s="193"/>
      <c r="N150" s="188" t="s">
        <v>150</v>
      </c>
      <c r="O150" s="189"/>
      <c r="P150" s="190"/>
      <c r="Q150" s="161">
        <f>P47</f>
        <v>239.12</v>
      </c>
    </row>
    <row r="151" spans="1:19" ht="18">
      <c r="F151" s="45"/>
      <c r="G151" s="45"/>
      <c r="H151" s="26"/>
      <c r="I151" s="26"/>
      <c r="J151" s="45"/>
      <c r="K151" s="160"/>
      <c r="L151" s="45"/>
      <c r="N151" s="188" t="s">
        <v>151</v>
      </c>
      <c r="O151" s="189"/>
      <c r="P151" s="190"/>
      <c r="Q151" s="161">
        <f>P125+P126+P127+P128</f>
        <v>0</v>
      </c>
    </row>
    <row r="152" spans="1:19" ht="18">
      <c r="H152" s="38"/>
      <c r="I152" s="45"/>
      <c r="J152" s="45"/>
      <c r="K152" s="160"/>
      <c r="L152" s="45"/>
      <c r="N152" s="188" t="s">
        <v>152</v>
      </c>
      <c r="O152" s="189"/>
      <c r="P152" s="190"/>
      <c r="Q152" s="161">
        <f>R145</f>
        <v>35</v>
      </c>
    </row>
    <row r="153" spans="1:19" ht="18.600000000000001" thickBot="1">
      <c r="F153" s="38"/>
      <c r="G153" s="38"/>
      <c r="J153" s="163"/>
      <c r="K153" s="160"/>
      <c r="N153" s="188" t="s">
        <v>153</v>
      </c>
      <c r="O153" s="189"/>
      <c r="P153" s="190"/>
      <c r="Q153" s="164">
        <f>P25</f>
        <v>253.5</v>
      </c>
      <c r="S153" s="38"/>
    </row>
    <row r="154" spans="1:19" ht="16.8" thickBot="1">
      <c r="F154" s="38"/>
      <c r="G154" s="38"/>
      <c r="H154" s="38"/>
      <c r="I154" s="38"/>
      <c r="K154" s="38"/>
      <c r="N154" s="191" t="s">
        <v>154</v>
      </c>
      <c r="O154" s="192"/>
      <c r="P154" s="192"/>
      <c r="Q154" s="165">
        <f>SUM(Q146:Q153)</f>
        <v>5627.7</v>
      </c>
    </row>
    <row r="155" spans="1:19">
      <c r="F155" s="38"/>
      <c r="G155" s="38"/>
      <c r="H155" s="159"/>
      <c r="I155" s="159"/>
      <c r="K155" s="38"/>
      <c r="L155" s="38"/>
    </row>
    <row r="156" spans="1:19">
      <c r="F156" s="38"/>
      <c r="G156" s="38"/>
      <c r="H156" s="38"/>
      <c r="I156" s="38"/>
      <c r="K156" s="160"/>
    </row>
    <row r="157" spans="1:19">
      <c r="A157" s="159"/>
      <c r="B157" s="159"/>
      <c r="C157" s="159"/>
      <c r="D157" s="159"/>
      <c r="E157" s="159"/>
      <c r="F157" s="159"/>
      <c r="G157" s="159"/>
      <c r="H157" s="159"/>
      <c r="I157" s="159"/>
      <c r="J157" s="38"/>
      <c r="K157" s="38"/>
      <c r="Q157" s="45"/>
    </row>
    <row r="158" spans="1:19">
      <c r="A158" s="159"/>
    </row>
  </sheetData>
  <mergeCells count="72">
    <mergeCell ref="A1:Q1"/>
    <mergeCell ref="A2:O2"/>
    <mergeCell ref="A3:A4"/>
    <mergeCell ref="B3:B4"/>
    <mergeCell ref="F3:J3"/>
    <mergeCell ref="K3:O3"/>
    <mergeCell ref="P3:P4"/>
    <mergeCell ref="Q3:Q4"/>
    <mergeCell ref="R3:R4"/>
    <mergeCell ref="S3:S4"/>
    <mergeCell ref="A19:B19"/>
    <mergeCell ref="A20:O20"/>
    <mergeCell ref="A21:A22"/>
    <mergeCell ref="B21:B22"/>
    <mergeCell ref="F21:J21"/>
    <mergeCell ref="K21:N21"/>
    <mergeCell ref="P21:P22"/>
    <mergeCell ref="Q21:Q22"/>
    <mergeCell ref="A25:B25"/>
    <mergeCell ref="A26:O26"/>
    <mergeCell ref="A27:A28"/>
    <mergeCell ref="B27:B28"/>
    <mergeCell ref="F27:J27"/>
    <mergeCell ref="K27:N27"/>
    <mergeCell ref="P27:P28"/>
    <mergeCell ref="Q27:Q28"/>
    <mergeCell ref="A34:B34"/>
    <mergeCell ref="A35:O35"/>
    <mergeCell ref="A36:A37"/>
    <mergeCell ref="B36:B37"/>
    <mergeCell ref="F36:J36"/>
    <mergeCell ref="K36:N36"/>
    <mergeCell ref="P36:P37"/>
    <mergeCell ref="Q36:Q37"/>
    <mergeCell ref="A40:B40"/>
    <mergeCell ref="A41:O41"/>
    <mergeCell ref="A42:A43"/>
    <mergeCell ref="B42:B43"/>
    <mergeCell ref="F42:J42"/>
    <mergeCell ref="K42:N42"/>
    <mergeCell ref="P42:P43"/>
    <mergeCell ref="Q42:Q43"/>
    <mergeCell ref="A47:B47"/>
    <mergeCell ref="A48:O48"/>
    <mergeCell ref="A49:A50"/>
    <mergeCell ref="B49:B50"/>
    <mergeCell ref="F49:K49"/>
    <mergeCell ref="L49:Q49"/>
    <mergeCell ref="N147:P147"/>
    <mergeCell ref="R49:R50"/>
    <mergeCell ref="S49:S50"/>
    <mergeCell ref="T49:T50"/>
    <mergeCell ref="U49:U50"/>
    <mergeCell ref="A118:O118"/>
    <mergeCell ref="A119:A120"/>
    <mergeCell ref="B119:B120"/>
    <mergeCell ref="F119:J119"/>
    <mergeCell ref="K119:N119"/>
    <mergeCell ref="P119:P120"/>
    <mergeCell ref="Q119:Q120"/>
    <mergeCell ref="A143:B143"/>
    <mergeCell ref="N144:Q144"/>
    <mergeCell ref="O145:P145"/>
    <mergeCell ref="N146:P146"/>
    <mergeCell ref="N153:P153"/>
    <mergeCell ref="N154:P154"/>
    <mergeCell ref="N148:P148"/>
    <mergeCell ref="N149:P149"/>
    <mergeCell ref="F150:M150"/>
    <mergeCell ref="N150:P150"/>
    <mergeCell ref="N151:P151"/>
    <mergeCell ref="N152:P152"/>
  </mergeCells>
  <conditionalFormatting sqref="Q7:Q20 Q23:Q24 Q29:Q33 Q38:Q39 Q44:Q46">
    <cfRule type="cellIs" dxfId="3" priority="2" operator="greaterThan">
      <formula>40</formula>
    </cfRule>
  </conditionalFormatting>
  <conditionalFormatting sqref="T51:T117">
    <cfRule type="cellIs" dxfId="2" priority="1" operator="lessThan">
      <formula>0.5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A4B30-B737-4B85-8722-4C595E6BC0D5}">
  <dimension ref="A1:AD158"/>
  <sheetViews>
    <sheetView tabSelected="1" topLeftCell="B1" zoomScale="74" zoomScaleNormal="74" workbookViewId="0">
      <pane ySplit="1" topLeftCell="A2" activePane="bottomLeft" state="frozen"/>
      <selection pane="bottomLeft" activeCell="K11" sqref="K11"/>
    </sheetView>
  </sheetViews>
  <sheetFormatPr defaultColWidth="9" defaultRowHeight="14.4"/>
  <cols>
    <col min="1" max="1" width="8.5546875" customWidth="1"/>
    <col min="2" max="2" width="29.44140625" bestFit="1" customWidth="1"/>
    <col min="3" max="3" width="18.88671875" customWidth="1"/>
    <col min="4" max="4" width="17.109375" customWidth="1"/>
    <col min="5" max="5" width="18.88671875" customWidth="1"/>
    <col min="6" max="6" width="11.6640625" customWidth="1"/>
    <col min="7" max="7" width="11.21875" customWidth="1"/>
    <col min="8" max="8" width="9.77734375" customWidth="1"/>
    <col min="9" max="9" width="13.6640625" customWidth="1"/>
    <col min="10" max="10" width="10" customWidth="1"/>
    <col min="11" max="11" width="9.77734375" customWidth="1"/>
    <col min="12" max="12" width="12.77734375" bestFit="1" customWidth="1"/>
    <col min="13" max="13" width="10.6640625" bestFit="1" customWidth="1"/>
    <col min="14" max="14" width="15.77734375" customWidth="1"/>
    <col min="15" max="15" width="10.77734375" customWidth="1"/>
    <col min="16" max="16" width="12.5546875" customWidth="1"/>
    <col min="17" max="17" width="17.88671875" customWidth="1"/>
    <col min="18" max="18" width="13.44140625" customWidth="1"/>
    <col min="19" max="19" width="17" customWidth="1"/>
    <col min="20" max="20" width="11.109375" bestFit="1" customWidth="1"/>
    <col min="22" max="22" width="9.21875" bestFit="1" customWidth="1"/>
    <col min="23" max="23" width="8.21875" bestFit="1" customWidth="1"/>
    <col min="24" max="25" width="11.21875" customWidth="1"/>
  </cols>
  <sheetData>
    <row r="1" spans="1:25" ht="18.600000000000001" thickBot="1">
      <c r="A1" s="249" t="s">
        <v>0</v>
      </c>
      <c r="B1" s="249"/>
      <c r="C1" s="249"/>
      <c r="D1" s="249"/>
      <c r="E1" s="249"/>
      <c r="F1" s="249"/>
      <c r="G1" s="249"/>
      <c r="H1" s="249"/>
      <c r="I1" s="249"/>
      <c r="J1" s="249"/>
      <c r="K1" s="249"/>
      <c r="L1" s="249"/>
      <c r="M1" s="249"/>
      <c r="N1" s="249"/>
      <c r="O1" s="249"/>
      <c r="P1" s="249"/>
      <c r="Q1" s="249"/>
      <c r="R1" s="1"/>
      <c r="Y1" s="2"/>
    </row>
    <row r="2" spans="1:25" ht="19.8" customHeight="1" thickBot="1">
      <c r="A2" s="250" t="s">
        <v>1</v>
      </c>
      <c r="B2" s="251"/>
      <c r="C2" s="252"/>
      <c r="D2" s="252"/>
      <c r="E2" s="252"/>
      <c r="F2" s="252"/>
      <c r="G2" s="252"/>
      <c r="H2" s="252"/>
      <c r="I2" s="252"/>
      <c r="J2" s="252"/>
      <c r="K2" s="252"/>
      <c r="L2" s="252"/>
      <c r="M2" s="252"/>
      <c r="N2" s="252"/>
      <c r="O2" s="251"/>
      <c r="P2" s="3" t="s">
        <v>2</v>
      </c>
      <c r="Q2" s="4">
        <v>46229</v>
      </c>
      <c r="R2" s="1"/>
    </row>
    <row r="3" spans="1:25" ht="18" customHeight="1">
      <c r="A3" s="209" t="s">
        <v>3</v>
      </c>
      <c r="B3" s="211" t="s">
        <v>4</v>
      </c>
      <c r="C3" s="174"/>
      <c r="D3" s="174"/>
      <c r="E3" s="174"/>
      <c r="F3" s="213" t="s">
        <v>5</v>
      </c>
      <c r="G3" s="214"/>
      <c r="H3" s="214"/>
      <c r="I3" s="214"/>
      <c r="J3" s="215"/>
      <c r="K3" s="253" t="s">
        <v>6</v>
      </c>
      <c r="L3" s="254"/>
      <c r="M3" s="254"/>
      <c r="N3" s="254"/>
      <c r="O3" s="255"/>
      <c r="P3" s="219" t="s">
        <v>7</v>
      </c>
      <c r="Q3" s="194" t="s">
        <v>8</v>
      </c>
      <c r="R3" s="243" t="s">
        <v>9</v>
      </c>
      <c r="S3" s="222" t="s">
        <v>10</v>
      </c>
    </row>
    <row r="4" spans="1:25" ht="22.8" customHeight="1">
      <c r="A4" s="247"/>
      <c r="B4" s="248"/>
      <c r="C4" s="183" t="s">
        <v>190</v>
      </c>
      <c r="D4" s="183" t="s">
        <v>191</v>
      </c>
      <c r="E4" s="183" t="s">
        <v>192</v>
      </c>
      <c r="F4" s="6" t="s">
        <v>11</v>
      </c>
      <c r="G4" s="6" t="s">
        <v>12</v>
      </c>
      <c r="H4" s="6" t="s">
        <v>13</v>
      </c>
      <c r="I4" s="6" t="s">
        <v>14</v>
      </c>
      <c r="J4" s="6" t="s">
        <v>8</v>
      </c>
      <c r="K4" s="6" t="s">
        <v>12</v>
      </c>
      <c r="L4" s="6" t="s">
        <v>13</v>
      </c>
      <c r="M4" s="6" t="s">
        <v>14</v>
      </c>
      <c r="N4" s="7" t="s">
        <v>8</v>
      </c>
      <c r="O4" s="8" t="s">
        <v>15</v>
      </c>
      <c r="P4" s="236"/>
      <c r="Q4" s="237"/>
      <c r="R4" s="248"/>
      <c r="S4" s="243"/>
    </row>
    <row r="5" spans="1:25" ht="22.8" customHeight="1">
      <c r="A5" s="5">
        <v>1</v>
      </c>
      <c r="B5" s="9" t="s">
        <v>175</v>
      </c>
      <c r="C5" s="9" t="s">
        <v>193</v>
      </c>
      <c r="D5" s="9" t="s">
        <v>194</v>
      </c>
      <c r="E5" s="9" t="s">
        <v>214</v>
      </c>
      <c r="F5" s="2">
        <v>32140.799999999999</v>
      </c>
      <c r="G5" s="2">
        <v>32140.799999999999</v>
      </c>
      <c r="H5" s="2">
        <f>G5-F5</f>
        <v>0</v>
      </c>
      <c r="I5" s="2">
        <v>0</v>
      </c>
      <c r="J5" s="10">
        <f>IFERROR(I5/H5,0)</f>
        <v>0</v>
      </c>
      <c r="K5" s="2">
        <v>32147.8</v>
      </c>
      <c r="L5" s="167">
        <f>K5-G5</f>
        <v>7</v>
      </c>
      <c r="M5" s="2">
        <v>203.85</v>
      </c>
      <c r="N5" s="11">
        <f>IFERROR(M5/L5,0)</f>
        <v>29.12142857142857</v>
      </c>
      <c r="O5" s="12">
        <f t="shared" ref="O5:P17" si="0">H5+L5</f>
        <v>7</v>
      </c>
      <c r="P5" s="13">
        <f t="shared" si="0"/>
        <v>203.85</v>
      </c>
      <c r="Q5" s="14">
        <f>IFERROR(P5/O5,0)</f>
        <v>29.12142857142857</v>
      </c>
      <c r="R5" s="2">
        <v>195</v>
      </c>
      <c r="S5" s="5"/>
    </row>
    <row r="6" spans="1:25" ht="22.8" customHeight="1">
      <c r="A6" s="81">
        <v>2</v>
      </c>
      <c r="B6" s="16" t="s">
        <v>170</v>
      </c>
      <c r="C6" s="9" t="s">
        <v>193</v>
      </c>
      <c r="D6" s="9" t="s">
        <v>194</v>
      </c>
      <c r="E6" s="9" t="s">
        <v>214</v>
      </c>
      <c r="F6" s="49">
        <v>33953.300000000003</v>
      </c>
      <c r="G6" s="49">
        <v>33964.699999999997</v>
      </c>
      <c r="H6" s="2">
        <f>G6-F6</f>
        <v>11.399999999994179</v>
      </c>
      <c r="I6" s="49">
        <v>340</v>
      </c>
      <c r="J6" s="10">
        <f>IFERROR(I6/H6,0)</f>
        <v>29.824561403524001</v>
      </c>
      <c r="K6" s="49">
        <v>33970.400000000001</v>
      </c>
      <c r="L6" s="167">
        <f>K6-G6</f>
        <v>5.7000000000043656</v>
      </c>
      <c r="M6" s="49">
        <v>197.78</v>
      </c>
      <c r="N6" s="11">
        <f>IFERROR(M6/L6,0)</f>
        <v>34.698245614008513</v>
      </c>
      <c r="O6" s="12">
        <f t="shared" si="0"/>
        <v>17.099999999998545</v>
      </c>
      <c r="P6" s="13">
        <f t="shared" si="0"/>
        <v>537.78</v>
      </c>
      <c r="Q6" s="14">
        <f>IFERROR(P6/O6,0)</f>
        <v>31.449122807020217</v>
      </c>
      <c r="R6" s="49">
        <v>157</v>
      </c>
      <c r="S6" s="81"/>
    </row>
    <row r="7" spans="1:25" ht="24" customHeight="1">
      <c r="A7" s="5">
        <v>3</v>
      </c>
      <c r="B7" s="16" t="s">
        <v>17</v>
      </c>
      <c r="C7" s="9" t="s">
        <v>193</v>
      </c>
      <c r="D7" s="9" t="s">
        <v>194</v>
      </c>
      <c r="E7" s="9" t="s">
        <v>214</v>
      </c>
      <c r="F7" s="17">
        <v>32493.3</v>
      </c>
      <c r="G7" s="17">
        <v>32493.3</v>
      </c>
      <c r="H7" s="17">
        <f t="shared" ref="H7:H18" si="1">G7-F7</f>
        <v>0</v>
      </c>
      <c r="I7" s="18">
        <v>0</v>
      </c>
      <c r="J7" s="10">
        <f>IFERROR(I7/H7,0)</f>
        <v>0</v>
      </c>
      <c r="K7" s="17">
        <v>32493.3</v>
      </c>
      <c r="L7" s="19">
        <f t="shared" ref="L7:L14" si="2">K7-G7</f>
        <v>0</v>
      </c>
      <c r="M7" s="20">
        <v>0</v>
      </c>
      <c r="N7" s="21">
        <f>IFERROR(M7/L7,0)</f>
        <v>0</v>
      </c>
      <c r="O7" s="18">
        <f t="shared" si="0"/>
        <v>0</v>
      </c>
      <c r="P7" s="22">
        <f t="shared" si="0"/>
        <v>0</v>
      </c>
      <c r="Q7" s="23">
        <f>IFERROR(P7/O7,0)</f>
        <v>0</v>
      </c>
      <c r="R7" s="24">
        <v>0</v>
      </c>
      <c r="S7" s="25"/>
      <c r="T7" s="26"/>
    </row>
    <row r="8" spans="1:25" ht="25.8" customHeight="1">
      <c r="A8" s="81">
        <v>4</v>
      </c>
      <c r="B8" s="16" t="s">
        <v>18</v>
      </c>
      <c r="C8" s="9" t="s">
        <v>193</v>
      </c>
      <c r="D8" s="9" t="s">
        <v>194</v>
      </c>
      <c r="E8" s="9" t="s">
        <v>214</v>
      </c>
      <c r="F8" s="17">
        <v>24821.5</v>
      </c>
      <c r="G8" s="17">
        <v>24821.5</v>
      </c>
      <c r="H8" s="17">
        <f t="shared" si="1"/>
        <v>0</v>
      </c>
      <c r="I8" s="18">
        <v>0</v>
      </c>
      <c r="J8" s="10">
        <f t="shared" ref="J8:J13" si="3">IFERROR(I8/H8,0)</f>
        <v>0</v>
      </c>
      <c r="K8" s="17">
        <v>24829.1</v>
      </c>
      <c r="L8" s="19">
        <f t="shared" si="2"/>
        <v>7.5999999999985448</v>
      </c>
      <c r="M8" s="20">
        <v>190.96</v>
      </c>
      <c r="N8" s="28">
        <f t="shared" ref="N8:N14" si="4">IFERROR(M8/L8,0)</f>
        <v>25.126315789478497</v>
      </c>
      <c r="O8" s="18">
        <f t="shared" si="0"/>
        <v>7.5999999999985448</v>
      </c>
      <c r="P8" s="22">
        <f t="shared" si="0"/>
        <v>190.96</v>
      </c>
      <c r="Q8" s="23">
        <f t="shared" ref="Q8:Q18" si="5">IFERROR(P8/O8,0)</f>
        <v>25.126315789478497</v>
      </c>
      <c r="R8" s="29">
        <v>8</v>
      </c>
      <c r="S8" s="30"/>
      <c r="T8" s="26"/>
      <c r="V8" s="26"/>
    </row>
    <row r="9" spans="1:25" ht="25.8" customHeight="1">
      <c r="A9" s="5">
        <v>5</v>
      </c>
      <c r="B9" s="31" t="s">
        <v>19</v>
      </c>
      <c r="C9" s="9" t="s">
        <v>193</v>
      </c>
      <c r="D9" s="9" t="s">
        <v>194</v>
      </c>
      <c r="E9" s="9" t="s">
        <v>214</v>
      </c>
      <c r="F9" s="17">
        <v>32748.3</v>
      </c>
      <c r="G9" s="17">
        <v>32759.8</v>
      </c>
      <c r="H9" s="17">
        <f t="shared" si="1"/>
        <v>11.5</v>
      </c>
      <c r="I9" s="32">
        <v>366.63</v>
      </c>
      <c r="J9" s="10">
        <f t="shared" si="3"/>
        <v>31.880869565217392</v>
      </c>
      <c r="K9" s="17">
        <v>32768.400000000001</v>
      </c>
      <c r="L9" s="19">
        <f t="shared" si="2"/>
        <v>8.6000000000021828</v>
      </c>
      <c r="M9" s="33">
        <v>251.5</v>
      </c>
      <c r="N9" s="28">
        <f t="shared" si="4"/>
        <v>29.244186046504204</v>
      </c>
      <c r="O9" s="18">
        <f t="shared" si="0"/>
        <v>20.100000000002183</v>
      </c>
      <c r="P9" s="22">
        <f t="shared" si="0"/>
        <v>618.13</v>
      </c>
      <c r="Q9" s="23">
        <f t="shared" si="5"/>
        <v>30.752736318404619</v>
      </c>
      <c r="R9" s="29">
        <v>215</v>
      </c>
      <c r="S9" s="30"/>
      <c r="T9" s="26"/>
      <c r="V9" s="26"/>
    </row>
    <row r="10" spans="1:25" ht="25.8" customHeight="1">
      <c r="A10" s="81">
        <v>6</v>
      </c>
      <c r="B10" s="16" t="s">
        <v>20</v>
      </c>
      <c r="C10" s="9" t="s">
        <v>193</v>
      </c>
      <c r="D10" s="9" t="s">
        <v>195</v>
      </c>
      <c r="E10" s="184" t="s">
        <v>215</v>
      </c>
      <c r="F10" s="17">
        <v>33650.699999999997</v>
      </c>
      <c r="G10" s="17">
        <v>33650.699999999997</v>
      </c>
      <c r="H10" s="17">
        <f>G10-F10</f>
        <v>0</v>
      </c>
      <c r="I10" s="34">
        <v>0</v>
      </c>
      <c r="J10" s="10">
        <f>IFERROR(I10/H10,0)</f>
        <v>0</v>
      </c>
      <c r="K10" s="17">
        <v>33658.5</v>
      </c>
      <c r="L10" s="19">
        <f>K10-G10</f>
        <v>7.8000000000029104</v>
      </c>
      <c r="M10" s="33">
        <v>378.1</v>
      </c>
      <c r="N10" s="28">
        <f>IFERROR(M10/L10,0)</f>
        <v>48.474358974340888</v>
      </c>
      <c r="O10" s="18">
        <f>H10+L10</f>
        <v>7.8000000000029104</v>
      </c>
      <c r="P10" s="22">
        <f>I10+M10</f>
        <v>378.1</v>
      </c>
      <c r="Q10" s="23">
        <f>IFERROR(P10/O10,0)</f>
        <v>48.474358974340888</v>
      </c>
      <c r="R10" s="29">
        <v>194</v>
      </c>
      <c r="S10" s="30"/>
      <c r="T10" s="26"/>
      <c r="V10" s="26"/>
    </row>
    <row r="11" spans="1:25" ht="22.8" customHeight="1">
      <c r="A11" s="5">
        <v>7</v>
      </c>
      <c r="B11" s="16" t="s">
        <v>21</v>
      </c>
      <c r="C11" s="9" t="s">
        <v>193</v>
      </c>
      <c r="D11" s="16" t="s">
        <v>194</v>
      </c>
      <c r="E11" s="16" t="s">
        <v>214</v>
      </c>
      <c r="F11" s="17">
        <v>28264.3</v>
      </c>
      <c r="G11" s="17">
        <v>28273.599999999999</v>
      </c>
      <c r="H11" s="17">
        <f t="shared" si="1"/>
        <v>9.2999999999992724</v>
      </c>
      <c r="I11" s="32">
        <v>209</v>
      </c>
      <c r="J11" s="10">
        <f t="shared" si="3"/>
        <v>22.473118279571651</v>
      </c>
      <c r="K11" s="17">
        <v>28281.1</v>
      </c>
      <c r="L11" s="19">
        <f t="shared" si="2"/>
        <v>7.5</v>
      </c>
      <c r="M11" s="20">
        <v>185.8</v>
      </c>
      <c r="N11" s="28">
        <f t="shared" si="4"/>
        <v>24.773333333333333</v>
      </c>
      <c r="O11" s="18">
        <f t="shared" si="0"/>
        <v>16.799999999999272</v>
      </c>
      <c r="P11" s="22">
        <f t="shared" si="0"/>
        <v>394.8</v>
      </c>
      <c r="Q11" s="23">
        <f t="shared" si="5"/>
        <v>23.50000000000102</v>
      </c>
      <c r="R11" s="29">
        <v>227</v>
      </c>
      <c r="S11" s="30"/>
      <c r="T11" s="26"/>
      <c r="V11" s="26"/>
    </row>
    <row r="12" spans="1:25" ht="22.8" customHeight="1">
      <c r="A12" s="81">
        <v>8</v>
      </c>
      <c r="B12" s="31" t="s">
        <v>22</v>
      </c>
      <c r="C12" s="9" t="s">
        <v>193</v>
      </c>
      <c r="D12" s="31" t="s">
        <v>194</v>
      </c>
      <c r="E12" s="31" t="s">
        <v>214</v>
      </c>
      <c r="F12" s="35">
        <v>27588.9</v>
      </c>
      <c r="G12" s="35">
        <v>27588.9</v>
      </c>
      <c r="H12" s="17">
        <f t="shared" si="1"/>
        <v>0</v>
      </c>
      <c r="I12" s="32">
        <v>0</v>
      </c>
      <c r="J12" s="10">
        <f t="shared" si="3"/>
        <v>0</v>
      </c>
      <c r="K12" s="35">
        <v>27588.9</v>
      </c>
      <c r="L12" s="19">
        <f t="shared" si="2"/>
        <v>0</v>
      </c>
      <c r="M12" s="33">
        <v>0</v>
      </c>
      <c r="N12" s="28">
        <f t="shared" si="4"/>
        <v>0</v>
      </c>
      <c r="O12" s="18">
        <f t="shared" si="0"/>
        <v>0</v>
      </c>
      <c r="P12" s="22">
        <f t="shared" si="0"/>
        <v>0</v>
      </c>
      <c r="Q12" s="23">
        <f t="shared" si="5"/>
        <v>0</v>
      </c>
      <c r="R12" s="29">
        <v>26</v>
      </c>
      <c r="S12" s="30"/>
      <c r="T12" s="26"/>
      <c r="V12" s="26"/>
    </row>
    <row r="13" spans="1:25" ht="24" customHeight="1">
      <c r="A13" s="5">
        <v>9</v>
      </c>
      <c r="B13" s="31" t="s">
        <v>23</v>
      </c>
      <c r="C13" s="9" t="s">
        <v>193</v>
      </c>
      <c r="D13" s="16" t="s">
        <v>196</v>
      </c>
      <c r="E13" s="16" t="s">
        <v>216</v>
      </c>
      <c r="F13" s="17">
        <v>22749.49</v>
      </c>
      <c r="G13" s="17">
        <v>22760.83</v>
      </c>
      <c r="H13" s="17">
        <f t="shared" si="1"/>
        <v>11.340000000000146</v>
      </c>
      <c r="I13" s="34">
        <v>420.41</v>
      </c>
      <c r="J13" s="10">
        <f t="shared" si="3"/>
        <v>37.073192239858436</v>
      </c>
      <c r="K13" s="17">
        <v>22768.240000000002</v>
      </c>
      <c r="L13" s="19">
        <f t="shared" si="2"/>
        <v>7.4099999999998545</v>
      </c>
      <c r="M13" s="20">
        <v>268.10000000000002</v>
      </c>
      <c r="N13" s="28">
        <f t="shared" si="4"/>
        <v>36.180836707153212</v>
      </c>
      <c r="O13" s="18">
        <f t="shared" si="0"/>
        <v>18.75</v>
      </c>
      <c r="P13" s="22">
        <f t="shared" si="0"/>
        <v>688.51</v>
      </c>
      <c r="Q13" s="23">
        <f t="shared" si="5"/>
        <v>36.720533333333336</v>
      </c>
      <c r="R13" s="29">
        <v>266</v>
      </c>
      <c r="S13" s="36"/>
      <c r="T13" s="26"/>
      <c r="V13" s="26"/>
    </row>
    <row r="14" spans="1:25" ht="24" customHeight="1">
      <c r="A14" s="81">
        <v>10</v>
      </c>
      <c r="B14" s="31" t="s">
        <v>24</v>
      </c>
      <c r="C14" s="9" t="s">
        <v>193</v>
      </c>
      <c r="D14" s="16" t="s">
        <v>196</v>
      </c>
      <c r="E14" s="16" t="s">
        <v>216</v>
      </c>
      <c r="F14" s="17">
        <v>22686.02</v>
      </c>
      <c r="G14" s="17">
        <v>22697.09</v>
      </c>
      <c r="H14" s="17">
        <f t="shared" si="1"/>
        <v>11.069999999999709</v>
      </c>
      <c r="I14" s="32">
        <v>320.94</v>
      </c>
      <c r="J14" s="10">
        <f>IFERROR(I14/H14,0)</f>
        <v>28.991869918699948</v>
      </c>
      <c r="K14" s="17">
        <v>22704.27</v>
      </c>
      <c r="L14" s="19">
        <f t="shared" si="2"/>
        <v>7.180000000000291</v>
      </c>
      <c r="M14" s="20">
        <v>212.38</v>
      </c>
      <c r="N14" s="28">
        <f t="shared" si="4"/>
        <v>29.579387186628328</v>
      </c>
      <c r="O14" s="18">
        <f t="shared" si="0"/>
        <v>18.25</v>
      </c>
      <c r="P14" s="22">
        <f t="shared" si="0"/>
        <v>533.31999999999994</v>
      </c>
      <c r="Q14" s="23">
        <f t="shared" si="5"/>
        <v>29.223013698630133</v>
      </c>
      <c r="R14" s="29">
        <v>194</v>
      </c>
      <c r="S14" s="37"/>
      <c r="T14" s="26"/>
      <c r="V14" s="26"/>
    </row>
    <row r="15" spans="1:25" ht="24" customHeight="1">
      <c r="A15" s="5">
        <v>11</v>
      </c>
      <c r="B15" s="31" t="s">
        <v>25</v>
      </c>
      <c r="C15" s="9" t="s">
        <v>193</v>
      </c>
      <c r="D15" s="16" t="s">
        <v>196</v>
      </c>
      <c r="E15" s="16" t="s">
        <v>216</v>
      </c>
      <c r="F15" s="17">
        <v>20184.759999999998</v>
      </c>
      <c r="G15" s="17">
        <v>20184.759999999998</v>
      </c>
      <c r="H15" s="17">
        <f t="shared" si="1"/>
        <v>0</v>
      </c>
      <c r="I15" s="32">
        <v>0</v>
      </c>
      <c r="J15" s="10">
        <f>IFERROR(I15/H15,0)</f>
        <v>0</v>
      </c>
      <c r="K15" s="17">
        <v>20184.759999999998</v>
      </c>
      <c r="L15" s="19">
        <f>K15-G15</f>
        <v>0</v>
      </c>
      <c r="M15" s="20">
        <v>0</v>
      </c>
      <c r="N15" s="28">
        <f>IFERROR(M15/L15,0)</f>
        <v>0</v>
      </c>
      <c r="O15" s="18">
        <f>H15+L15</f>
        <v>0</v>
      </c>
      <c r="P15" s="22">
        <f t="shared" si="0"/>
        <v>0</v>
      </c>
      <c r="Q15" s="23">
        <f t="shared" si="5"/>
        <v>0</v>
      </c>
      <c r="R15" s="29">
        <v>82</v>
      </c>
      <c r="S15" s="37"/>
      <c r="T15" s="26"/>
      <c r="V15" s="26"/>
      <c r="W15" s="38"/>
    </row>
    <row r="16" spans="1:25" ht="24" customHeight="1">
      <c r="A16" s="81">
        <v>12</v>
      </c>
      <c r="B16" s="31" t="s">
        <v>181</v>
      </c>
      <c r="C16" s="9" t="s">
        <v>193</v>
      </c>
      <c r="D16" s="16" t="s">
        <v>196</v>
      </c>
      <c r="E16" s="16" t="s">
        <v>217</v>
      </c>
      <c r="F16" s="17">
        <v>10199.68</v>
      </c>
      <c r="G16" s="17">
        <v>10199.68</v>
      </c>
      <c r="H16" s="17">
        <f t="shared" si="1"/>
        <v>0</v>
      </c>
      <c r="I16" s="32">
        <v>0</v>
      </c>
      <c r="J16" s="10">
        <f>IFERROR(I16/H16,0)</f>
        <v>0</v>
      </c>
      <c r="K16" s="17">
        <v>10199.68</v>
      </c>
      <c r="L16" s="19">
        <f>K16-G16</f>
        <v>0</v>
      </c>
      <c r="M16" s="20">
        <v>0</v>
      </c>
      <c r="N16" s="28">
        <f>IFERROR(M16/L16,0)</f>
        <v>0</v>
      </c>
      <c r="O16" s="18">
        <f>H16+L16</f>
        <v>0</v>
      </c>
      <c r="P16" s="22">
        <f t="shared" si="0"/>
        <v>0</v>
      </c>
      <c r="Q16" s="23">
        <f t="shared" si="5"/>
        <v>0</v>
      </c>
      <c r="R16" s="29">
        <v>0</v>
      </c>
      <c r="S16" s="37"/>
      <c r="T16" s="26"/>
      <c r="V16" s="26"/>
      <c r="W16" s="38"/>
    </row>
    <row r="17" spans="1:23" ht="24" customHeight="1">
      <c r="A17" s="5">
        <v>13</v>
      </c>
      <c r="B17" s="31" t="s">
        <v>27</v>
      </c>
      <c r="C17" s="9" t="s">
        <v>193</v>
      </c>
      <c r="D17" s="16" t="s">
        <v>197</v>
      </c>
      <c r="E17" s="16" t="s">
        <v>218</v>
      </c>
      <c r="F17" s="17">
        <v>18365.7</v>
      </c>
      <c r="G17" s="17">
        <v>18365.7</v>
      </c>
      <c r="H17" s="17">
        <f t="shared" si="1"/>
        <v>0</v>
      </c>
      <c r="I17" s="18">
        <v>0</v>
      </c>
      <c r="J17" s="10">
        <f>IFERROR(I17/H17,0)</f>
        <v>0</v>
      </c>
      <c r="K17" s="17">
        <v>18378</v>
      </c>
      <c r="L17" s="19">
        <f t="shared" ref="L17" si="6">K17-G17</f>
        <v>12.299999999999272</v>
      </c>
      <c r="M17" s="20">
        <v>172</v>
      </c>
      <c r="N17" s="28">
        <f t="shared" ref="N17" si="7">IFERROR(M17/L17,0)</f>
        <v>13.983739837399201</v>
      </c>
      <c r="O17" s="18">
        <f t="shared" ref="O17" si="8">H17+L17</f>
        <v>12.299999999999272</v>
      </c>
      <c r="P17" s="22">
        <f t="shared" si="0"/>
        <v>172</v>
      </c>
      <c r="Q17" s="23">
        <f t="shared" si="5"/>
        <v>13.983739837399201</v>
      </c>
      <c r="R17" s="29">
        <v>0</v>
      </c>
      <c r="S17" s="172"/>
      <c r="T17" s="26"/>
      <c r="V17" s="26"/>
      <c r="W17" s="38"/>
    </row>
    <row r="18" spans="1:23" ht="24" customHeight="1">
      <c r="A18" s="81">
        <v>14</v>
      </c>
      <c r="B18" s="31" t="s">
        <v>26</v>
      </c>
      <c r="C18" s="9" t="s">
        <v>193</v>
      </c>
      <c r="D18" s="185" t="s">
        <v>198</v>
      </c>
      <c r="E18" s="178" t="s">
        <v>199</v>
      </c>
      <c r="F18" s="17">
        <v>15234.3</v>
      </c>
      <c r="G18" s="17">
        <v>15234.3</v>
      </c>
      <c r="H18" s="17">
        <f t="shared" si="1"/>
        <v>0</v>
      </c>
      <c r="I18" s="32">
        <v>0</v>
      </c>
      <c r="J18" s="10">
        <f>IFERROR(I18/H18,0)</f>
        <v>0</v>
      </c>
      <c r="K18" s="17">
        <v>15234.3</v>
      </c>
      <c r="L18" s="19">
        <f>K18-G18</f>
        <v>0</v>
      </c>
      <c r="M18" s="20">
        <v>0</v>
      </c>
      <c r="N18" s="28">
        <f>IFERROR(M18/L18,0)</f>
        <v>0</v>
      </c>
      <c r="O18" s="18">
        <f>H18+L18</f>
        <v>0</v>
      </c>
      <c r="P18" s="22">
        <f>I18+M18</f>
        <v>0</v>
      </c>
      <c r="Q18" s="23">
        <f t="shared" si="5"/>
        <v>0</v>
      </c>
      <c r="R18" s="29">
        <v>0</v>
      </c>
      <c r="S18" s="37"/>
      <c r="T18" s="26"/>
      <c r="V18" s="26"/>
      <c r="W18" s="38"/>
    </row>
    <row r="19" spans="1:23" ht="24" customHeight="1">
      <c r="A19" s="196" t="s">
        <v>28</v>
      </c>
      <c r="B19" s="197"/>
      <c r="C19" s="175"/>
      <c r="D19" s="175"/>
      <c r="E19" s="175"/>
      <c r="F19" s="39"/>
      <c r="G19" s="39"/>
      <c r="H19" s="40">
        <f>SUM(H7:H18)</f>
        <v>43.209999999999127</v>
      </c>
      <c r="I19" s="41">
        <f>SUM(I5:I18)</f>
        <v>1656.98</v>
      </c>
      <c r="J19" s="39"/>
      <c r="K19" s="39"/>
      <c r="L19" s="40">
        <f>SUM(L7:L18)</f>
        <v>58.390000000003056</v>
      </c>
      <c r="M19" s="41">
        <f>SUM(M5:M18)</f>
        <v>2060.4700000000003</v>
      </c>
      <c r="N19" s="28">
        <f>IFERROR(M19/L19,0)</f>
        <v>35.28806302448865</v>
      </c>
      <c r="O19" s="42">
        <f>SUM(O7:O18)</f>
        <v>101.60000000000218</v>
      </c>
      <c r="P19" s="43">
        <f>SUM(P5:P18)</f>
        <v>3717.45</v>
      </c>
      <c r="Q19" s="23">
        <f>IFERROR(P19/O19,0)</f>
        <v>36.589074803148819</v>
      </c>
      <c r="R19" s="44">
        <f>SUM(R5:R18)</f>
        <v>1564</v>
      </c>
      <c r="S19" s="45"/>
      <c r="V19" s="26"/>
    </row>
    <row r="20" spans="1:23" ht="18" customHeight="1" thickBot="1">
      <c r="A20" s="206" t="s">
        <v>29</v>
      </c>
      <c r="B20" s="207"/>
      <c r="C20" s="207"/>
      <c r="D20" s="207"/>
      <c r="E20" s="207"/>
      <c r="F20" s="207"/>
      <c r="G20" s="207"/>
      <c r="H20" s="207"/>
      <c r="I20" s="207"/>
      <c r="J20" s="207"/>
      <c r="K20" s="207"/>
      <c r="L20" s="207"/>
      <c r="M20" s="207"/>
      <c r="N20" s="207"/>
      <c r="O20" s="208"/>
      <c r="P20" s="46"/>
      <c r="Q20" s="47"/>
      <c r="R20" s="37"/>
    </row>
    <row r="21" spans="1:23" ht="22.8" customHeight="1">
      <c r="A21" s="209" t="s">
        <v>3</v>
      </c>
      <c r="B21" s="211" t="s">
        <v>4</v>
      </c>
      <c r="C21" s="173"/>
      <c r="D21" s="173"/>
      <c r="E21" s="173"/>
      <c r="F21" s="234" t="s">
        <v>5</v>
      </c>
      <c r="G21" s="234"/>
      <c r="H21" s="234"/>
      <c r="I21" s="234"/>
      <c r="J21" s="234"/>
      <c r="K21" s="235" t="s">
        <v>6</v>
      </c>
      <c r="L21" s="235"/>
      <c r="M21" s="235"/>
      <c r="N21" s="235"/>
      <c r="O21" s="48"/>
      <c r="P21" s="219" t="s">
        <v>7</v>
      </c>
      <c r="Q21" s="194" t="s">
        <v>8</v>
      </c>
      <c r="R21" s="37"/>
    </row>
    <row r="22" spans="1:23" s="51" customFormat="1" ht="24" customHeight="1" thickBot="1">
      <c r="A22" s="210"/>
      <c r="B22" s="212"/>
      <c r="C22" s="183" t="s">
        <v>190</v>
      </c>
      <c r="D22" s="183" t="s">
        <v>191</v>
      </c>
      <c r="E22" s="183" t="s">
        <v>192</v>
      </c>
      <c r="F22" s="49" t="s">
        <v>11</v>
      </c>
      <c r="G22" s="49" t="s">
        <v>12</v>
      </c>
      <c r="H22" s="49" t="s">
        <v>13</v>
      </c>
      <c r="I22" s="2" t="s">
        <v>14</v>
      </c>
      <c r="J22" s="2" t="s">
        <v>8</v>
      </c>
      <c r="K22" s="49" t="s">
        <v>12</v>
      </c>
      <c r="L22" s="49" t="s">
        <v>13</v>
      </c>
      <c r="M22" s="49" t="s">
        <v>14</v>
      </c>
      <c r="N22" s="7" t="s">
        <v>8</v>
      </c>
      <c r="O22" s="50" t="s">
        <v>15</v>
      </c>
      <c r="P22" s="220"/>
      <c r="Q22" s="195"/>
      <c r="R22" s="37"/>
      <c r="T22"/>
      <c r="U22"/>
      <c r="V22"/>
      <c r="W22"/>
    </row>
    <row r="23" spans="1:23" s="51" customFormat="1" ht="24" customHeight="1">
      <c r="A23" s="27">
        <v>1</v>
      </c>
      <c r="B23" s="52" t="s">
        <v>30</v>
      </c>
      <c r="C23" s="179" t="s">
        <v>200</v>
      </c>
      <c r="D23" s="179" t="s">
        <v>197</v>
      </c>
      <c r="E23" s="179" t="s">
        <v>201</v>
      </c>
      <c r="F23" s="6">
        <v>18983.3</v>
      </c>
      <c r="G23" s="6">
        <v>18989.599999999999</v>
      </c>
      <c r="H23" s="53">
        <f>G23-F23</f>
        <v>6.2999999999992724</v>
      </c>
      <c r="I23" s="54">
        <v>117.75</v>
      </c>
      <c r="J23" s="55">
        <f>IFERROR(I23/H23,0)</f>
        <v>18.69047619047835</v>
      </c>
      <c r="K23" s="6">
        <v>18997.900000000001</v>
      </c>
      <c r="L23" s="56">
        <f>K23-G23</f>
        <v>8.3000000000029104</v>
      </c>
      <c r="M23" s="54">
        <v>99</v>
      </c>
      <c r="N23" s="57">
        <f>IFERROR(M23/L23,0)</f>
        <v>11.927710843369312</v>
      </c>
      <c r="O23" s="58">
        <f>H23+L23</f>
        <v>14.600000000002183</v>
      </c>
      <c r="P23" s="59">
        <f t="shared" ref="P23:P24" si="9">I23+M23</f>
        <v>216.75</v>
      </c>
      <c r="Q23" s="60">
        <f>IFERROR(P23/O23,0)</f>
        <v>14.845890410956684</v>
      </c>
      <c r="R23" s="61"/>
      <c r="T23"/>
      <c r="U23"/>
      <c r="V23"/>
      <c r="W23"/>
    </row>
    <row r="24" spans="1:23" ht="24" customHeight="1">
      <c r="A24" s="62">
        <v>2</v>
      </c>
      <c r="B24" s="52" t="s">
        <v>31</v>
      </c>
      <c r="C24" s="52" t="s">
        <v>200</v>
      </c>
      <c r="D24" s="52" t="s">
        <v>197</v>
      </c>
      <c r="E24" s="52" t="s">
        <v>201</v>
      </c>
      <c r="F24" s="63">
        <v>11350.5</v>
      </c>
      <c r="G24" s="63">
        <v>11355.2</v>
      </c>
      <c r="H24" s="53">
        <f>G24-F24</f>
        <v>4.7000000000007276</v>
      </c>
      <c r="I24" s="54">
        <v>64.95</v>
      </c>
      <c r="J24" s="55">
        <f>IFERROR(I24/H24,0)</f>
        <v>13.819148936168075</v>
      </c>
      <c r="K24" s="63">
        <v>11361</v>
      </c>
      <c r="L24" s="64">
        <f>K24-G24</f>
        <v>5.7999999999992724</v>
      </c>
      <c r="M24" s="54">
        <v>121.44</v>
      </c>
      <c r="N24" s="57">
        <f>IFERROR(M24/L24,0)</f>
        <v>20.937931034485384</v>
      </c>
      <c r="O24" s="58">
        <f>H24+L24</f>
        <v>10.5</v>
      </c>
      <c r="P24" s="59">
        <f t="shared" si="9"/>
        <v>186.39</v>
      </c>
      <c r="Q24" s="60">
        <f>IFERROR(P24/O24,0)</f>
        <v>17.751428571428569</v>
      </c>
      <c r="R24" s="65"/>
    </row>
    <row r="25" spans="1:23" ht="24" customHeight="1" thickBot="1">
      <c r="A25" s="238" t="s">
        <v>28</v>
      </c>
      <c r="B25" s="239"/>
      <c r="C25" s="180"/>
      <c r="D25" s="180"/>
      <c r="E25" s="180"/>
      <c r="F25" s="66"/>
      <c r="G25" s="66"/>
      <c r="H25" s="67">
        <f>SUM(H23:H24)</f>
        <v>11</v>
      </c>
      <c r="I25" s="67">
        <f>SUM(I23:I24)</f>
        <v>182.7</v>
      </c>
      <c r="J25" s="68"/>
      <c r="K25" s="68"/>
      <c r="L25" s="67">
        <f>SUM(L23:L24)</f>
        <v>14.100000000002183</v>
      </c>
      <c r="M25" s="67">
        <f>SUM(M23:M24)</f>
        <v>220.44</v>
      </c>
      <c r="N25" s="69">
        <f>SUM(N23:N24)</f>
        <v>32.865641877854699</v>
      </c>
      <c r="O25" s="70">
        <f>SUM(O23:O24)</f>
        <v>25.100000000002183</v>
      </c>
      <c r="P25" s="43">
        <f>SUM(P23:P24)</f>
        <v>403.14</v>
      </c>
      <c r="Q25" s="71"/>
      <c r="R25" s="37"/>
      <c r="S25" s="72"/>
    </row>
    <row r="26" spans="1:23" ht="18" customHeight="1" thickBot="1">
      <c r="A26" s="245" t="s">
        <v>32</v>
      </c>
      <c r="B26" s="246"/>
      <c r="C26" s="226"/>
      <c r="D26" s="226"/>
      <c r="E26" s="226"/>
      <c r="F26" s="226"/>
      <c r="G26" s="226"/>
      <c r="H26" s="226"/>
      <c r="I26" s="226"/>
      <c r="J26" s="226"/>
      <c r="K26" s="226"/>
      <c r="L26" s="226"/>
      <c r="M26" s="226"/>
      <c r="N26" s="226"/>
      <c r="O26" s="246"/>
      <c r="P26" s="46"/>
      <c r="Q26" s="47"/>
      <c r="R26" s="37"/>
    </row>
    <row r="27" spans="1:23" ht="22.8" customHeight="1">
      <c r="A27" s="209" t="s">
        <v>3</v>
      </c>
      <c r="B27" s="211" t="s">
        <v>4</v>
      </c>
      <c r="C27" s="173"/>
      <c r="D27" s="173"/>
      <c r="E27" s="173"/>
      <c r="F27" s="234" t="s">
        <v>5</v>
      </c>
      <c r="G27" s="234"/>
      <c r="H27" s="234"/>
      <c r="I27" s="234"/>
      <c r="J27" s="234"/>
      <c r="K27" s="235" t="s">
        <v>6</v>
      </c>
      <c r="L27" s="235"/>
      <c r="M27" s="235"/>
      <c r="N27" s="235"/>
      <c r="O27" s="48"/>
      <c r="P27" s="219" t="s">
        <v>7</v>
      </c>
      <c r="Q27" s="194" t="s">
        <v>8</v>
      </c>
      <c r="R27" s="37"/>
      <c r="V27" s="51"/>
    </row>
    <row r="28" spans="1:23" ht="24" customHeight="1">
      <c r="A28" s="247"/>
      <c r="B28" s="248"/>
      <c r="C28" s="183" t="s">
        <v>190</v>
      </c>
      <c r="D28" s="183" t="s">
        <v>191</v>
      </c>
      <c r="E28" s="183" t="s">
        <v>192</v>
      </c>
      <c r="F28" s="6" t="s">
        <v>11</v>
      </c>
      <c r="G28" s="6" t="s">
        <v>12</v>
      </c>
      <c r="H28" s="6" t="s">
        <v>13</v>
      </c>
      <c r="I28" s="6" t="s">
        <v>14</v>
      </c>
      <c r="J28" s="6" t="s">
        <v>8</v>
      </c>
      <c r="K28" s="6" t="s">
        <v>12</v>
      </c>
      <c r="L28" s="6" t="s">
        <v>13</v>
      </c>
      <c r="M28" s="6" t="s">
        <v>14</v>
      </c>
      <c r="N28" s="7" t="s">
        <v>8</v>
      </c>
      <c r="O28" s="73" t="s">
        <v>15</v>
      </c>
      <c r="P28" s="236"/>
      <c r="Q28" s="237"/>
      <c r="R28" s="61"/>
      <c r="S28" s="74"/>
      <c r="V28" s="51"/>
      <c r="W28" s="75"/>
    </row>
    <row r="29" spans="1:23" ht="24" customHeight="1">
      <c r="A29" s="76">
        <v>1</v>
      </c>
      <c r="B29" s="31" t="s">
        <v>33</v>
      </c>
      <c r="C29" s="31" t="s">
        <v>202</v>
      </c>
      <c r="D29" s="31" t="s">
        <v>203</v>
      </c>
      <c r="E29" s="31" t="s">
        <v>219</v>
      </c>
      <c r="F29" s="35">
        <v>21863.1</v>
      </c>
      <c r="G29" s="35">
        <v>21883.1</v>
      </c>
      <c r="H29" s="35">
        <f>G29-F29</f>
        <v>20</v>
      </c>
      <c r="I29" s="33">
        <v>399</v>
      </c>
      <c r="J29" s="10">
        <f t="shared" ref="J29:J33" si="10">IFERROR(I29/H29,0)</f>
        <v>19.95</v>
      </c>
      <c r="K29" s="35">
        <v>21894.7</v>
      </c>
      <c r="L29" s="56">
        <f>K29-G29</f>
        <v>11.600000000002183</v>
      </c>
      <c r="M29" s="33">
        <v>267</v>
      </c>
      <c r="N29" s="28">
        <f t="shared" ref="N29:N33" si="11">IFERROR(M29/L29,0)</f>
        <v>23.017241379306014</v>
      </c>
      <c r="O29" s="84">
        <f t="shared" ref="O29:P33" si="12">H29+L29</f>
        <v>31.600000000002183</v>
      </c>
      <c r="P29" s="79">
        <f t="shared" si="12"/>
        <v>666</v>
      </c>
      <c r="Q29" s="34">
        <f>IFERROR(P29/O29,0)</f>
        <v>21.075949367087151</v>
      </c>
      <c r="R29" s="37"/>
    </row>
    <row r="30" spans="1:23" ht="24" customHeight="1">
      <c r="A30" s="76">
        <v>2</v>
      </c>
      <c r="B30" s="31" t="s">
        <v>34</v>
      </c>
      <c r="C30" s="31" t="s">
        <v>202</v>
      </c>
      <c r="D30" s="31" t="s">
        <v>203</v>
      </c>
      <c r="E30" s="31" t="s">
        <v>219</v>
      </c>
      <c r="F30" s="35">
        <v>21249.1</v>
      </c>
      <c r="G30" s="35">
        <v>21259.8</v>
      </c>
      <c r="H30" s="35">
        <f>G30-F30</f>
        <v>10.700000000000728</v>
      </c>
      <c r="I30" s="33">
        <v>298</v>
      </c>
      <c r="J30" s="10">
        <f t="shared" si="10"/>
        <v>27.850467289717731</v>
      </c>
      <c r="K30" s="35">
        <v>21269.8</v>
      </c>
      <c r="L30" s="56">
        <f>K30-G30</f>
        <v>10</v>
      </c>
      <c r="M30" s="33">
        <v>263</v>
      </c>
      <c r="N30" s="28">
        <f>IFERROR(M30/L30,0)</f>
        <v>26.3</v>
      </c>
      <c r="O30" s="18">
        <f t="shared" si="12"/>
        <v>20.700000000000728</v>
      </c>
      <c r="P30" s="22">
        <f t="shared" si="12"/>
        <v>561</v>
      </c>
      <c r="Q30" s="23">
        <f>IFERROR(P30/O30,0)</f>
        <v>27.101449275361364</v>
      </c>
      <c r="R30" s="37"/>
    </row>
    <row r="31" spans="1:23" ht="24" customHeight="1">
      <c r="A31" s="76">
        <v>3</v>
      </c>
      <c r="B31" s="31" t="s">
        <v>35</v>
      </c>
      <c r="C31" s="31" t="s">
        <v>202</v>
      </c>
      <c r="D31" s="31" t="s">
        <v>197</v>
      </c>
      <c r="E31" s="31" t="s">
        <v>220</v>
      </c>
      <c r="F31" s="35">
        <v>9009.9</v>
      </c>
      <c r="G31" s="35">
        <v>9011.9</v>
      </c>
      <c r="H31" s="17">
        <f t="shared" ref="H31:H33" si="13">G31-F31</f>
        <v>2</v>
      </c>
      <c r="I31" s="33">
        <v>49.07</v>
      </c>
      <c r="J31" s="10">
        <f t="shared" si="10"/>
        <v>24.535</v>
      </c>
      <c r="K31" s="35">
        <v>9014.6</v>
      </c>
      <c r="L31" s="19">
        <f>K31-G31</f>
        <v>2.7000000000007276</v>
      </c>
      <c r="M31" s="33">
        <v>60.16</v>
      </c>
      <c r="N31" s="28">
        <f t="shared" si="11"/>
        <v>22.281481481475478</v>
      </c>
      <c r="O31" s="18">
        <f t="shared" si="12"/>
        <v>4.7000000000007276</v>
      </c>
      <c r="P31" s="22">
        <f t="shared" si="12"/>
        <v>109.22999999999999</v>
      </c>
      <c r="Q31" s="23">
        <f>IFERROR(P31/O31,0)</f>
        <v>23.240425531911292</v>
      </c>
      <c r="R31" s="77"/>
    </row>
    <row r="32" spans="1:23" ht="24.6" customHeight="1">
      <c r="A32" s="76">
        <v>4</v>
      </c>
      <c r="B32" s="31" t="s">
        <v>36</v>
      </c>
      <c r="C32" s="31" t="s">
        <v>202</v>
      </c>
      <c r="D32" s="31" t="s">
        <v>203</v>
      </c>
      <c r="E32" s="31" t="s">
        <v>219</v>
      </c>
      <c r="F32" s="35">
        <v>3517.9</v>
      </c>
      <c r="G32" s="35">
        <v>3517.9</v>
      </c>
      <c r="H32" s="17">
        <f t="shared" si="13"/>
        <v>0</v>
      </c>
      <c r="I32" s="33">
        <v>0</v>
      </c>
      <c r="J32" s="78">
        <f t="shared" si="10"/>
        <v>0</v>
      </c>
      <c r="K32" s="35">
        <v>3521.4</v>
      </c>
      <c r="L32" s="19">
        <f t="shared" ref="L32:L33" si="14">K32-G32</f>
        <v>3.5</v>
      </c>
      <c r="M32" s="33">
        <v>84.93</v>
      </c>
      <c r="N32" s="28">
        <f t="shared" si="11"/>
        <v>24.265714285714289</v>
      </c>
      <c r="O32" s="18">
        <f t="shared" si="12"/>
        <v>3.5</v>
      </c>
      <c r="P32" s="79">
        <f t="shared" si="12"/>
        <v>84.93</v>
      </c>
      <c r="Q32" s="23">
        <f>IFERROR(P32/O32,0)</f>
        <v>24.265714285714289</v>
      </c>
      <c r="R32" s="80"/>
    </row>
    <row r="33" spans="1:22" ht="24.6" customHeight="1">
      <c r="A33" s="76">
        <v>5</v>
      </c>
      <c r="B33" s="31" t="s">
        <v>37</v>
      </c>
      <c r="C33" s="31" t="s">
        <v>202</v>
      </c>
      <c r="D33" s="31" t="s">
        <v>203</v>
      </c>
      <c r="E33" s="31" t="s">
        <v>221</v>
      </c>
      <c r="F33" s="35">
        <v>876.8</v>
      </c>
      <c r="G33" s="35">
        <v>887.2</v>
      </c>
      <c r="H33" s="17">
        <f t="shared" si="13"/>
        <v>10.400000000000091</v>
      </c>
      <c r="I33" s="33">
        <v>334.2</v>
      </c>
      <c r="J33" s="78">
        <f t="shared" si="10"/>
        <v>32.134615384615103</v>
      </c>
      <c r="K33" s="35">
        <v>895.2</v>
      </c>
      <c r="L33" s="19">
        <f t="shared" si="14"/>
        <v>8</v>
      </c>
      <c r="M33" s="33">
        <v>258</v>
      </c>
      <c r="N33" s="28">
        <f t="shared" si="11"/>
        <v>32.25</v>
      </c>
      <c r="O33" s="18">
        <f t="shared" si="12"/>
        <v>18.400000000000091</v>
      </c>
      <c r="P33" s="79">
        <f t="shared" si="12"/>
        <v>592.20000000000005</v>
      </c>
      <c r="Q33" s="23">
        <f>IFERROR(P33/O33,0)</f>
        <v>32.184782608695492</v>
      </c>
      <c r="R33" s="80"/>
    </row>
    <row r="34" spans="1:22" ht="22.8" customHeight="1" thickBot="1">
      <c r="A34" s="238" t="s">
        <v>28</v>
      </c>
      <c r="B34" s="239"/>
      <c r="C34" s="180"/>
      <c r="D34" s="180"/>
      <c r="E34" s="180"/>
      <c r="F34" s="66"/>
      <c r="G34" s="66"/>
      <c r="H34" s="67">
        <f>SUM(H29:H33)</f>
        <v>43.100000000000819</v>
      </c>
      <c r="I34" s="67">
        <f>SUM(I29:I33)</f>
        <v>1080.27</v>
      </c>
      <c r="J34" s="68"/>
      <c r="K34" s="68"/>
      <c r="L34" s="67">
        <f>SUM(L29:L33)</f>
        <v>35.80000000000291</v>
      </c>
      <c r="M34" s="67">
        <f>SUM(M29:M33)</f>
        <v>933.08999999999992</v>
      </c>
      <c r="N34" s="69">
        <f>SUM(N29:N33)</f>
        <v>128.11443714649579</v>
      </c>
      <c r="O34" s="70">
        <f>SUM(O29:O33)</f>
        <v>78.900000000003729</v>
      </c>
      <c r="P34" s="43">
        <f>SUM(P29:P33)</f>
        <v>2013.3600000000001</v>
      </c>
      <c r="Q34" s="71">
        <f>IFERROR(P34/N34,0)</f>
        <v>15.715324867702234</v>
      </c>
      <c r="R34" s="37"/>
      <c r="S34" s="72"/>
      <c r="V34" s="51"/>
    </row>
    <row r="35" spans="1:22" ht="24" customHeight="1">
      <c r="A35" s="240" t="s">
        <v>38</v>
      </c>
      <c r="B35" s="241"/>
      <c r="C35" s="241"/>
      <c r="D35" s="241"/>
      <c r="E35" s="241"/>
      <c r="F35" s="241"/>
      <c r="G35" s="241"/>
      <c r="H35" s="241"/>
      <c r="I35" s="241"/>
      <c r="J35" s="241"/>
      <c r="K35" s="241"/>
      <c r="L35" s="241"/>
      <c r="M35" s="241"/>
      <c r="N35" s="241"/>
      <c r="O35" s="242"/>
      <c r="P35" s="46"/>
      <c r="Q35" s="47"/>
      <c r="R35" s="61"/>
      <c r="V35" s="51"/>
    </row>
    <row r="36" spans="1:22" ht="24" customHeight="1">
      <c r="A36" s="243" t="s">
        <v>3</v>
      </c>
      <c r="B36" s="243" t="s">
        <v>4</v>
      </c>
      <c r="C36" s="181"/>
      <c r="D36" s="181"/>
      <c r="E36" s="181"/>
      <c r="F36" s="213" t="s">
        <v>5</v>
      </c>
      <c r="G36" s="214"/>
      <c r="H36" s="214"/>
      <c r="I36" s="214"/>
      <c r="J36" s="215"/>
      <c r="K36" s="216" t="s">
        <v>6</v>
      </c>
      <c r="L36" s="217"/>
      <c r="M36" s="217"/>
      <c r="N36" s="218"/>
      <c r="O36" s="5"/>
      <c r="P36" s="221" t="s">
        <v>7</v>
      </c>
      <c r="Q36" s="222" t="s">
        <v>8</v>
      </c>
      <c r="R36" s="37"/>
    </row>
    <row r="37" spans="1:22" ht="24" customHeight="1">
      <c r="A37" s="244"/>
      <c r="B37" s="244"/>
      <c r="C37" s="183" t="s">
        <v>190</v>
      </c>
      <c r="D37" s="183" t="s">
        <v>191</v>
      </c>
      <c r="E37" s="183" t="s">
        <v>192</v>
      </c>
      <c r="F37" s="2" t="s">
        <v>11</v>
      </c>
      <c r="G37" s="2" t="s">
        <v>12</v>
      </c>
      <c r="H37" s="2" t="s">
        <v>13</v>
      </c>
      <c r="I37" s="2" t="s">
        <v>14</v>
      </c>
      <c r="J37" s="2" t="s">
        <v>8</v>
      </c>
      <c r="K37" s="2" t="s">
        <v>12</v>
      </c>
      <c r="L37" s="2" t="s">
        <v>13</v>
      </c>
      <c r="M37" s="2" t="s">
        <v>14</v>
      </c>
      <c r="N37" s="82" t="s">
        <v>8</v>
      </c>
      <c r="O37" s="12" t="s">
        <v>15</v>
      </c>
      <c r="P37" s="221"/>
      <c r="Q37" s="222"/>
      <c r="R37" s="37"/>
    </row>
    <row r="38" spans="1:22" ht="24" customHeight="1">
      <c r="A38" s="76">
        <v>1</v>
      </c>
      <c r="B38" s="31" t="s">
        <v>39</v>
      </c>
      <c r="C38" s="31" t="s">
        <v>204</v>
      </c>
      <c r="D38" s="31" t="s">
        <v>205</v>
      </c>
      <c r="E38" s="31" t="s">
        <v>206</v>
      </c>
      <c r="F38" s="83">
        <v>16675</v>
      </c>
      <c r="G38" s="83">
        <v>16675</v>
      </c>
      <c r="H38" s="35">
        <f>G38-F38</f>
        <v>0</v>
      </c>
      <c r="I38" s="33">
        <v>0</v>
      </c>
      <c r="J38" s="78">
        <f t="shared" ref="J38:J39" si="15">IFERROR(I38/H38,0)</f>
        <v>0</v>
      </c>
      <c r="K38" s="83">
        <v>16675</v>
      </c>
      <c r="L38" s="56">
        <f>K38-G38</f>
        <v>0</v>
      </c>
      <c r="M38" s="33">
        <v>0</v>
      </c>
      <c r="N38" s="28">
        <f>IFERROR(M38/L38,0)</f>
        <v>0</v>
      </c>
      <c r="O38" s="84">
        <f t="shared" ref="O38:O39" si="16">H38+L38</f>
        <v>0</v>
      </c>
      <c r="P38" s="79">
        <f>I38+M38</f>
        <v>0</v>
      </c>
      <c r="Q38" s="34">
        <f>IFERROR(P38/O38,0)</f>
        <v>0</v>
      </c>
      <c r="R38" s="37"/>
    </row>
    <row r="39" spans="1:22" ht="27" customHeight="1">
      <c r="A39" s="76">
        <v>2</v>
      </c>
      <c r="B39" s="31" t="s">
        <v>40</v>
      </c>
      <c r="C39" s="31" t="s">
        <v>204</v>
      </c>
      <c r="D39" s="31" t="s">
        <v>197</v>
      </c>
      <c r="E39" s="31" t="s">
        <v>207</v>
      </c>
      <c r="F39" s="35">
        <v>4586.8</v>
      </c>
      <c r="G39" s="35">
        <v>4596.2</v>
      </c>
      <c r="H39" s="17">
        <f>G39-F39</f>
        <v>9.3999999999996362</v>
      </c>
      <c r="I39" s="33">
        <v>162</v>
      </c>
      <c r="J39" s="10">
        <f t="shared" si="15"/>
        <v>17.234042553192157</v>
      </c>
      <c r="K39" s="35">
        <v>4604.2</v>
      </c>
      <c r="L39" s="19">
        <f>K39-G39</f>
        <v>8</v>
      </c>
      <c r="M39" s="33">
        <v>163.32</v>
      </c>
      <c r="N39" s="28">
        <f>IFERROR(M39/L39,0)</f>
        <v>20.414999999999999</v>
      </c>
      <c r="O39" s="18">
        <f t="shared" si="16"/>
        <v>17.399999999999636</v>
      </c>
      <c r="P39" s="22">
        <f>I39+M39</f>
        <v>325.32</v>
      </c>
      <c r="Q39" s="23">
        <f>IFERROR(P39/O39,0)</f>
        <v>18.69655172413832</v>
      </c>
      <c r="R39" s="37"/>
      <c r="V39" s="51"/>
    </row>
    <row r="40" spans="1:22" ht="22.8" customHeight="1" thickBot="1">
      <c r="A40" s="196" t="s">
        <v>28</v>
      </c>
      <c r="B40" s="233"/>
      <c r="C40" s="176"/>
      <c r="D40" s="176"/>
      <c r="E40" s="176"/>
      <c r="F40" s="68"/>
      <c r="G40" s="66"/>
      <c r="H40" s="67">
        <f>SUM(H38:H39)</f>
        <v>9.3999999999996362</v>
      </c>
      <c r="I40" s="67">
        <f>SUM(I38:I39:I39)</f>
        <v>162</v>
      </c>
      <c r="J40" s="68"/>
      <c r="K40" s="68"/>
      <c r="L40" s="67">
        <f>SUM(L38:L39)</f>
        <v>8</v>
      </c>
      <c r="M40" s="67">
        <f>SUM(M38:M39)</f>
        <v>163.32</v>
      </c>
      <c r="N40" s="69">
        <f>SUM(N38:N39)</f>
        <v>20.414999999999999</v>
      </c>
      <c r="O40" s="70">
        <f>SUM(O38:O39)</f>
        <v>17.399999999999636</v>
      </c>
      <c r="P40" s="43">
        <f>SUM(P38:P39)</f>
        <v>325.32</v>
      </c>
      <c r="Q40" s="71">
        <f>IFERROR(P40/N40,0)</f>
        <v>15.935341660543719</v>
      </c>
      <c r="R40" s="37"/>
      <c r="S40" s="72"/>
      <c r="V40" s="51"/>
    </row>
    <row r="41" spans="1:22" ht="24" customHeight="1">
      <c r="A41" s="225" t="s">
        <v>41</v>
      </c>
      <c r="B41" s="226"/>
      <c r="C41" s="226"/>
      <c r="D41" s="226"/>
      <c r="E41" s="226"/>
      <c r="F41" s="226"/>
      <c r="G41" s="226"/>
      <c r="H41" s="226"/>
      <c r="I41" s="226"/>
      <c r="J41" s="226"/>
      <c r="K41" s="226"/>
      <c r="L41" s="226"/>
      <c r="M41" s="226"/>
      <c r="N41" s="226"/>
      <c r="O41" s="226"/>
      <c r="P41" s="46"/>
      <c r="Q41" s="47"/>
      <c r="R41" s="61"/>
    </row>
    <row r="42" spans="1:22" ht="24" customHeight="1">
      <c r="A42" s="222" t="s">
        <v>3</v>
      </c>
      <c r="B42" s="222" t="s">
        <v>4</v>
      </c>
      <c r="C42" s="5"/>
      <c r="D42" s="5"/>
      <c r="E42" s="5"/>
      <c r="F42" s="234" t="s">
        <v>5</v>
      </c>
      <c r="G42" s="234"/>
      <c r="H42" s="234"/>
      <c r="I42" s="234"/>
      <c r="J42" s="234"/>
      <c r="K42" s="235" t="s">
        <v>6</v>
      </c>
      <c r="L42" s="235"/>
      <c r="M42" s="235"/>
      <c r="N42" s="235"/>
      <c r="O42" s="5"/>
      <c r="P42" s="221" t="s">
        <v>7</v>
      </c>
      <c r="Q42" s="222" t="s">
        <v>8</v>
      </c>
      <c r="R42" s="37"/>
    </row>
    <row r="43" spans="1:22" ht="25.8" customHeight="1">
      <c r="A43" s="222"/>
      <c r="B43" s="222"/>
      <c r="C43" s="183" t="s">
        <v>190</v>
      </c>
      <c r="D43" s="183" t="s">
        <v>191</v>
      </c>
      <c r="E43" s="183" t="s">
        <v>192</v>
      </c>
      <c r="F43" s="2" t="s">
        <v>11</v>
      </c>
      <c r="G43" s="2" t="s">
        <v>12</v>
      </c>
      <c r="H43" s="2" t="s">
        <v>13</v>
      </c>
      <c r="I43" s="2" t="s">
        <v>14</v>
      </c>
      <c r="J43" s="2" t="s">
        <v>8</v>
      </c>
      <c r="K43" s="2" t="s">
        <v>12</v>
      </c>
      <c r="L43" s="2" t="s">
        <v>13</v>
      </c>
      <c r="M43" s="2" t="s">
        <v>14</v>
      </c>
      <c r="N43" s="82" t="s">
        <v>8</v>
      </c>
      <c r="O43" s="12" t="s">
        <v>15</v>
      </c>
      <c r="P43" s="221"/>
      <c r="Q43" s="222"/>
      <c r="R43" s="37"/>
    </row>
    <row r="44" spans="1:22" ht="25.8" customHeight="1">
      <c r="A44" s="5">
        <v>1</v>
      </c>
      <c r="B44" s="85" t="s">
        <v>186</v>
      </c>
      <c r="C44" s="85" t="s">
        <v>208</v>
      </c>
      <c r="D44" s="85" t="s">
        <v>197</v>
      </c>
      <c r="E44" s="178" t="s">
        <v>209</v>
      </c>
      <c r="F44" s="2">
        <v>0</v>
      </c>
      <c r="G44" s="2">
        <v>0</v>
      </c>
      <c r="H44" s="20">
        <f>G44-F44</f>
        <v>0</v>
      </c>
      <c r="I44" s="2">
        <v>0</v>
      </c>
      <c r="J44" s="10">
        <f t="shared" ref="J44:J46" si="17">IFERROR(I44/H44,0)</f>
        <v>0</v>
      </c>
      <c r="K44" s="2">
        <v>0</v>
      </c>
      <c r="L44" s="86">
        <f>K44-G44</f>
        <v>0</v>
      </c>
      <c r="M44" s="2">
        <v>0</v>
      </c>
      <c r="N44" s="28">
        <f>IFERROR(M44/L44,0)</f>
        <v>0</v>
      </c>
      <c r="O44" s="18">
        <f>H44+L44</f>
        <v>0</v>
      </c>
      <c r="P44" s="22">
        <f>I44+M44</f>
        <v>0</v>
      </c>
      <c r="Q44" s="23">
        <f>IFERROR(P44/O44,0)</f>
        <v>0</v>
      </c>
      <c r="R44" s="37"/>
    </row>
    <row r="45" spans="1:22" ht="24.6" customHeight="1">
      <c r="A45" s="76">
        <v>2</v>
      </c>
      <c r="B45" s="85" t="s">
        <v>42</v>
      </c>
      <c r="C45" s="85" t="s">
        <v>208</v>
      </c>
      <c r="D45" s="85" t="s">
        <v>197</v>
      </c>
      <c r="E45" s="178" t="s">
        <v>209</v>
      </c>
      <c r="F45" s="33">
        <v>8726.9</v>
      </c>
      <c r="G45" s="33">
        <v>8726.9</v>
      </c>
      <c r="H45" s="20">
        <f>G45-F45</f>
        <v>0</v>
      </c>
      <c r="I45" s="33">
        <v>0</v>
      </c>
      <c r="J45" s="10">
        <f t="shared" si="17"/>
        <v>0</v>
      </c>
      <c r="K45" s="33">
        <v>8741.7999999999993</v>
      </c>
      <c r="L45" s="86">
        <f>K45-G45</f>
        <v>14.899999999999636</v>
      </c>
      <c r="M45" s="2">
        <f>211.11+251.23</f>
        <v>462.34000000000003</v>
      </c>
      <c r="N45" s="28">
        <f>IFERROR(M45/L45,0)</f>
        <v>31.029530201343043</v>
      </c>
      <c r="O45" s="18">
        <f>H45+L45</f>
        <v>14.899999999999636</v>
      </c>
      <c r="P45" s="22">
        <f>I45+M45</f>
        <v>462.34000000000003</v>
      </c>
      <c r="Q45" s="23">
        <f>IFERROR(P45/O45,0)</f>
        <v>31.029530201343043</v>
      </c>
      <c r="R45" s="87"/>
      <c r="V45" s="51"/>
    </row>
    <row r="46" spans="1:22" ht="22.8" customHeight="1">
      <c r="A46" s="76">
        <v>3</v>
      </c>
      <c r="B46" s="85" t="s">
        <v>43</v>
      </c>
      <c r="C46" s="85" t="s">
        <v>208</v>
      </c>
      <c r="D46" s="85" t="s">
        <v>197</v>
      </c>
      <c r="E46" s="178" t="s">
        <v>209</v>
      </c>
      <c r="F46" s="33">
        <v>1708</v>
      </c>
      <c r="G46" s="33">
        <v>1708</v>
      </c>
      <c r="H46" s="20">
        <f>G46-F46</f>
        <v>0</v>
      </c>
      <c r="I46" s="33">
        <v>0</v>
      </c>
      <c r="J46" s="10">
        <f t="shared" si="17"/>
        <v>0</v>
      </c>
      <c r="K46" s="33">
        <v>1716.4</v>
      </c>
      <c r="L46" s="86">
        <f>K46-G46</f>
        <v>8.4000000000000909</v>
      </c>
      <c r="M46" s="2">
        <f>86.32+223.97</f>
        <v>310.28999999999996</v>
      </c>
      <c r="N46" s="28">
        <f>IFERROR(M46/L46,0)</f>
        <v>36.939285714285312</v>
      </c>
      <c r="O46" s="18">
        <f>H46+L46</f>
        <v>8.4000000000000909</v>
      </c>
      <c r="P46" s="22">
        <f t="shared" ref="P46" si="18">I46+M46</f>
        <v>310.28999999999996</v>
      </c>
      <c r="Q46" s="23">
        <f>IFERROR(P46/O46,0)</f>
        <v>36.939285714285312</v>
      </c>
      <c r="R46" s="87"/>
      <c r="S46" s="88"/>
      <c r="T46" s="89"/>
    </row>
    <row r="47" spans="1:22" ht="24" customHeight="1" thickBot="1">
      <c r="A47" s="223" t="s">
        <v>28</v>
      </c>
      <c r="B47" s="224"/>
      <c r="C47" s="177"/>
      <c r="D47" s="177"/>
      <c r="E47" s="177"/>
      <c r="F47" s="90"/>
      <c r="G47" s="90"/>
      <c r="H47" s="91">
        <f>SUM(H45:H46)</f>
        <v>0</v>
      </c>
      <c r="I47" s="91">
        <f>SUM(I45:I46)</f>
        <v>0</v>
      </c>
      <c r="J47" s="92"/>
      <c r="K47" s="92"/>
      <c r="L47" s="91">
        <f>SUM(L44:L46)</f>
        <v>23.299999999999727</v>
      </c>
      <c r="M47" s="91">
        <f>SUM(M44:M46)</f>
        <v>772.63</v>
      </c>
      <c r="N47" s="93">
        <f>SUM(N44:N46)</f>
        <v>67.968815915628355</v>
      </c>
      <c r="O47" s="94">
        <f>SUM(O44:O46)</f>
        <v>23.299999999999727</v>
      </c>
      <c r="P47" s="95">
        <f>SUM(P44:P46)</f>
        <v>772.63</v>
      </c>
      <c r="Q47" s="96">
        <f>P47/O47</f>
        <v>33.160085836910262</v>
      </c>
      <c r="R47" s="37"/>
      <c r="S47" s="97"/>
      <c r="T47" s="89"/>
    </row>
    <row r="48" spans="1:22" ht="24" customHeight="1">
      <c r="A48" s="225" t="s">
        <v>44</v>
      </c>
      <c r="B48" s="226"/>
      <c r="C48" s="226"/>
      <c r="D48" s="226"/>
      <c r="E48" s="226"/>
      <c r="F48" s="226"/>
      <c r="G48" s="226"/>
      <c r="H48" s="226"/>
      <c r="I48" s="226"/>
      <c r="J48" s="226"/>
      <c r="K48" s="226"/>
      <c r="L48" s="226"/>
      <c r="M48" s="226"/>
      <c r="N48" s="226"/>
      <c r="O48" s="226"/>
      <c r="P48" s="98"/>
      <c r="Q48" s="99"/>
      <c r="R48" s="37"/>
      <c r="S48" s="100"/>
      <c r="T48" s="100"/>
    </row>
    <row r="49" spans="1:30" ht="24" customHeight="1">
      <c r="A49" s="222" t="s">
        <v>3</v>
      </c>
      <c r="B49" s="222" t="s">
        <v>4</v>
      </c>
      <c r="C49" s="182"/>
      <c r="D49" s="182"/>
      <c r="E49" s="182"/>
      <c r="F49" s="227" t="s">
        <v>5</v>
      </c>
      <c r="G49" s="228"/>
      <c r="H49" s="228"/>
      <c r="I49" s="228"/>
      <c r="J49" s="228"/>
      <c r="K49" s="229"/>
      <c r="L49" s="230" t="s">
        <v>6</v>
      </c>
      <c r="M49" s="231"/>
      <c r="N49" s="231"/>
      <c r="O49" s="231"/>
      <c r="P49" s="231"/>
      <c r="Q49" s="232"/>
      <c r="R49" s="201" t="s">
        <v>45</v>
      </c>
      <c r="S49" s="203" t="s">
        <v>46</v>
      </c>
      <c r="T49" s="203" t="s">
        <v>47</v>
      </c>
      <c r="U49" s="205" t="s">
        <v>48</v>
      </c>
      <c r="AC49" s="101"/>
    </row>
    <row r="50" spans="1:30" ht="33" customHeight="1">
      <c r="A50" s="222"/>
      <c r="B50" s="222"/>
      <c r="C50" s="183" t="s">
        <v>190</v>
      </c>
      <c r="D50" s="183" t="s">
        <v>191</v>
      </c>
      <c r="E50" s="183" t="s">
        <v>192</v>
      </c>
      <c r="F50" s="2" t="s">
        <v>49</v>
      </c>
      <c r="G50" s="2" t="s">
        <v>50</v>
      </c>
      <c r="H50" s="2" t="s">
        <v>51</v>
      </c>
      <c r="I50" s="102" t="s">
        <v>11</v>
      </c>
      <c r="J50" s="2" t="s">
        <v>14</v>
      </c>
      <c r="K50" s="2" t="s">
        <v>8</v>
      </c>
      <c r="L50" s="2" t="s">
        <v>50</v>
      </c>
      <c r="M50" s="2" t="s">
        <v>45</v>
      </c>
      <c r="N50" s="102" t="s">
        <v>12</v>
      </c>
      <c r="O50" s="102" t="s">
        <v>15</v>
      </c>
      <c r="P50" s="2" t="s">
        <v>14</v>
      </c>
      <c r="Q50" s="82" t="s">
        <v>8</v>
      </c>
      <c r="R50" s="202"/>
      <c r="S50" s="204"/>
      <c r="T50" s="204"/>
      <c r="U50" s="205"/>
    </row>
    <row r="51" spans="1:30" ht="21" customHeight="1">
      <c r="A51" s="81">
        <v>1</v>
      </c>
      <c r="B51" s="103" t="s">
        <v>52</v>
      </c>
      <c r="C51" s="103" t="s">
        <v>210</v>
      </c>
      <c r="D51" s="103" t="s">
        <v>194</v>
      </c>
      <c r="E51" s="178" t="s">
        <v>211</v>
      </c>
      <c r="F51" s="2">
        <v>279975.59999999998</v>
      </c>
      <c r="G51" s="2">
        <v>279975.59999999998</v>
      </c>
      <c r="H51" s="104">
        <f t="shared" ref="H51:H116" si="19">G51-F51</f>
        <v>0</v>
      </c>
      <c r="I51" s="105">
        <v>22177.02</v>
      </c>
      <c r="J51" s="49">
        <v>0</v>
      </c>
      <c r="K51" s="10">
        <f t="shared" ref="K51:K116" si="20">IFERROR(H51/J51,0)</f>
        <v>0</v>
      </c>
      <c r="L51" s="2">
        <v>279975.59999999998</v>
      </c>
      <c r="M51" s="106">
        <f t="shared" ref="M51:M116" si="21">L51-G51</f>
        <v>0</v>
      </c>
      <c r="N51" s="105">
        <v>22177.02</v>
      </c>
      <c r="O51" s="107">
        <f t="shared" ref="O51:O116" si="22">N51-I51</f>
        <v>0</v>
      </c>
      <c r="P51" s="2">
        <v>0</v>
      </c>
      <c r="Q51" s="28">
        <f t="shared" ref="Q51:Q116" si="23">IFERROR(M51/P51,0)</f>
        <v>0</v>
      </c>
      <c r="R51" s="84">
        <f t="shared" ref="R51:R116" si="24">M51+H51</f>
        <v>0</v>
      </c>
      <c r="S51" s="79">
        <f t="shared" ref="S51:S116" si="25">J51+P51</f>
        <v>0</v>
      </c>
      <c r="T51" s="34">
        <f t="shared" ref="T51:T116" si="26">IFERROR(R51/S51,0)</f>
        <v>0</v>
      </c>
      <c r="U51" s="108">
        <v>0</v>
      </c>
    </row>
    <row r="52" spans="1:30" ht="21" customHeight="1">
      <c r="A52" s="81">
        <v>2</v>
      </c>
      <c r="B52" s="103" t="s">
        <v>155</v>
      </c>
      <c r="C52" s="103" t="s">
        <v>210</v>
      </c>
      <c r="D52" s="103" t="s">
        <v>194</v>
      </c>
      <c r="E52" s="178" t="s">
        <v>223</v>
      </c>
      <c r="F52" s="2">
        <v>303038</v>
      </c>
      <c r="G52" s="2">
        <v>303038</v>
      </c>
      <c r="H52" s="104">
        <f t="shared" si="19"/>
        <v>0</v>
      </c>
      <c r="I52" s="105">
        <v>30635</v>
      </c>
      <c r="J52" s="49">
        <v>0</v>
      </c>
      <c r="K52" s="10">
        <f t="shared" si="20"/>
        <v>0</v>
      </c>
      <c r="L52" s="2">
        <v>303038</v>
      </c>
      <c r="M52" s="106">
        <f t="shared" si="21"/>
        <v>0</v>
      </c>
      <c r="N52" s="105">
        <v>30635</v>
      </c>
      <c r="O52" s="107">
        <f t="shared" si="22"/>
        <v>0</v>
      </c>
      <c r="P52" s="2">
        <v>0</v>
      </c>
      <c r="Q52" s="28">
        <f t="shared" si="23"/>
        <v>0</v>
      </c>
      <c r="R52" s="84">
        <f t="shared" si="24"/>
        <v>0</v>
      </c>
      <c r="S52" s="79">
        <f t="shared" si="25"/>
        <v>0</v>
      </c>
      <c r="T52" s="34">
        <f t="shared" si="26"/>
        <v>0</v>
      </c>
      <c r="U52" s="108">
        <v>10</v>
      </c>
    </row>
    <row r="53" spans="1:30" ht="21" customHeight="1">
      <c r="A53" s="81">
        <v>3</v>
      </c>
      <c r="B53" s="103" t="s">
        <v>171</v>
      </c>
      <c r="C53" s="103" t="s">
        <v>210</v>
      </c>
      <c r="D53" s="103" t="s">
        <v>194</v>
      </c>
      <c r="E53" s="178" t="s">
        <v>223</v>
      </c>
      <c r="F53" s="2">
        <v>312059</v>
      </c>
      <c r="G53" s="2">
        <v>312059</v>
      </c>
      <c r="H53" s="104">
        <f t="shared" si="19"/>
        <v>0</v>
      </c>
      <c r="I53" s="105">
        <v>31170</v>
      </c>
      <c r="J53" s="49">
        <v>0</v>
      </c>
      <c r="K53" s="10">
        <f t="shared" si="20"/>
        <v>0</v>
      </c>
      <c r="L53" s="2">
        <v>312059</v>
      </c>
      <c r="M53" s="106">
        <f t="shared" si="21"/>
        <v>0</v>
      </c>
      <c r="N53" s="105">
        <v>31170</v>
      </c>
      <c r="O53" s="107">
        <f t="shared" si="22"/>
        <v>0</v>
      </c>
      <c r="P53" s="2">
        <v>0</v>
      </c>
      <c r="Q53" s="28">
        <f t="shared" si="23"/>
        <v>0</v>
      </c>
      <c r="R53" s="84">
        <f t="shared" si="24"/>
        <v>0</v>
      </c>
      <c r="S53" s="79">
        <f t="shared" si="25"/>
        <v>0</v>
      </c>
      <c r="T53" s="34">
        <f t="shared" si="26"/>
        <v>0</v>
      </c>
      <c r="U53" s="108">
        <v>0</v>
      </c>
    </row>
    <row r="54" spans="1:30" ht="21" customHeight="1">
      <c r="A54" s="81">
        <v>4</v>
      </c>
      <c r="B54" s="103" t="s">
        <v>156</v>
      </c>
      <c r="C54" s="103" t="s">
        <v>210</v>
      </c>
      <c r="D54" s="103" t="s">
        <v>194</v>
      </c>
      <c r="E54" s="178" t="s">
        <v>223</v>
      </c>
      <c r="F54" s="2">
        <v>263094</v>
      </c>
      <c r="G54" s="2">
        <v>263094</v>
      </c>
      <c r="H54" s="104">
        <f t="shared" si="19"/>
        <v>0</v>
      </c>
      <c r="I54" s="105">
        <v>27871</v>
      </c>
      <c r="J54" s="49">
        <v>0</v>
      </c>
      <c r="K54" s="10">
        <f t="shared" si="20"/>
        <v>0</v>
      </c>
      <c r="L54" s="2">
        <v>263121</v>
      </c>
      <c r="M54" s="106">
        <f t="shared" si="21"/>
        <v>27</v>
      </c>
      <c r="N54" s="105">
        <v>27875</v>
      </c>
      <c r="O54" s="107">
        <f t="shared" si="22"/>
        <v>4</v>
      </c>
      <c r="P54" s="2">
        <v>70</v>
      </c>
      <c r="Q54" s="28">
        <f t="shared" si="23"/>
        <v>0.38571428571428573</v>
      </c>
      <c r="R54" s="84">
        <f t="shared" si="24"/>
        <v>27</v>
      </c>
      <c r="S54" s="79">
        <f t="shared" si="25"/>
        <v>70</v>
      </c>
      <c r="T54" s="34">
        <f t="shared" si="26"/>
        <v>0.38571428571428573</v>
      </c>
      <c r="U54" s="108">
        <v>8</v>
      </c>
    </row>
    <row r="55" spans="1:30" ht="21" customHeight="1">
      <c r="A55" s="81">
        <v>5</v>
      </c>
      <c r="B55" s="103" t="s">
        <v>157</v>
      </c>
      <c r="C55" s="103" t="s">
        <v>210</v>
      </c>
      <c r="D55" s="103" t="s">
        <v>194</v>
      </c>
      <c r="E55" s="178" t="s">
        <v>223</v>
      </c>
      <c r="F55" s="2">
        <v>278156</v>
      </c>
      <c r="G55" s="2">
        <v>278156</v>
      </c>
      <c r="H55" s="104">
        <f t="shared" si="19"/>
        <v>0</v>
      </c>
      <c r="I55" s="105">
        <v>28202</v>
      </c>
      <c r="J55" s="49">
        <v>0</v>
      </c>
      <c r="K55" s="10">
        <f t="shared" si="20"/>
        <v>0</v>
      </c>
      <c r="L55" s="2">
        <v>278156</v>
      </c>
      <c r="M55" s="106">
        <f t="shared" si="21"/>
        <v>0</v>
      </c>
      <c r="N55" s="105">
        <v>28202</v>
      </c>
      <c r="O55" s="107">
        <f t="shared" si="22"/>
        <v>0</v>
      </c>
      <c r="P55" s="2">
        <v>0</v>
      </c>
      <c r="Q55" s="28">
        <f t="shared" si="23"/>
        <v>0</v>
      </c>
      <c r="R55" s="84">
        <f t="shared" si="24"/>
        <v>0</v>
      </c>
      <c r="S55" s="79">
        <f t="shared" si="25"/>
        <v>0</v>
      </c>
      <c r="T55" s="34">
        <f t="shared" si="26"/>
        <v>0</v>
      </c>
      <c r="U55" s="108">
        <v>0</v>
      </c>
    </row>
    <row r="56" spans="1:30" ht="21" customHeight="1">
      <c r="A56" s="81">
        <v>6</v>
      </c>
      <c r="B56" s="103" t="s">
        <v>172</v>
      </c>
      <c r="C56" s="103" t="s">
        <v>210</v>
      </c>
      <c r="D56" s="103" t="s">
        <v>194</v>
      </c>
      <c r="E56" s="178" t="s">
        <v>223</v>
      </c>
      <c r="F56" s="2">
        <v>267403</v>
      </c>
      <c r="G56" s="2">
        <v>267403</v>
      </c>
      <c r="H56" s="104">
        <f t="shared" si="19"/>
        <v>0</v>
      </c>
      <c r="I56" s="105">
        <v>26463</v>
      </c>
      <c r="J56" s="49">
        <v>0</v>
      </c>
      <c r="K56" s="10">
        <f t="shared" si="20"/>
        <v>0</v>
      </c>
      <c r="L56" s="2">
        <v>267403</v>
      </c>
      <c r="M56" s="106">
        <f t="shared" si="21"/>
        <v>0</v>
      </c>
      <c r="N56" s="105">
        <v>26463</v>
      </c>
      <c r="O56" s="107">
        <f t="shared" si="22"/>
        <v>0</v>
      </c>
      <c r="P56" s="2">
        <v>0</v>
      </c>
      <c r="Q56" s="28">
        <f t="shared" si="23"/>
        <v>0</v>
      </c>
      <c r="R56" s="84">
        <f t="shared" si="24"/>
        <v>0</v>
      </c>
      <c r="S56" s="79">
        <f t="shared" si="25"/>
        <v>0</v>
      </c>
      <c r="T56" s="34">
        <f t="shared" si="26"/>
        <v>0</v>
      </c>
      <c r="U56" s="108">
        <v>0</v>
      </c>
    </row>
    <row r="57" spans="1:30" ht="21" customHeight="1">
      <c r="A57" s="81">
        <v>7</v>
      </c>
      <c r="B57" s="103" t="s">
        <v>173</v>
      </c>
      <c r="C57" s="103" t="s">
        <v>210</v>
      </c>
      <c r="D57" s="103" t="s">
        <v>194</v>
      </c>
      <c r="E57" s="178" t="s">
        <v>223</v>
      </c>
      <c r="F57" s="2">
        <v>296005</v>
      </c>
      <c r="G57" s="2">
        <v>296005</v>
      </c>
      <c r="H57" s="104">
        <f t="shared" si="19"/>
        <v>0</v>
      </c>
      <c r="I57" s="105">
        <v>28807</v>
      </c>
      <c r="J57" s="49">
        <v>0</v>
      </c>
      <c r="K57" s="10">
        <f t="shared" si="20"/>
        <v>0</v>
      </c>
      <c r="L57" s="2">
        <v>296005</v>
      </c>
      <c r="M57" s="106">
        <f t="shared" si="21"/>
        <v>0</v>
      </c>
      <c r="N57" s="105">
        <v>28807</v>
      </c>
      <c r="O57" s="107">
        <f t="shared" si="22"/>
        <v>0</v>
      </c>
      <c r="P57" s="2">
        <v>0</v>
      </c>
      <c r="Q57" s="28">
        <f t="shared" si="23"/>
        <v>0</v>
      </c>
      <c r="R57" s="84">
        <f t="shared" si="24"/>
        <v>0</v>
      </c>
      <c r="S57" s="79">
        <f t="shared" si="25"/>
        <v>0</v>
      </c>
      <c r="T57" s="34">
        <f t="shared" si="26"/>
        <v>0</v>
      </c>
      <c r="U57" s="108">
        <v>0</v>
      </c>
    </row>
    <row r="58" spans="1:30" ht="24" customHeight="1">
      <c r="A58" s="81">
        <v>8</v>
      </c>
      <c r="B58" s="31" t="s">
        <v>53</v>
      </c>
      <c r="C58" s="103" t="s">
        <v>210</v>
      </c>
      <c r="D58" s="103" t="s">
        <v>194</v>
      </c>
      <c r="E58" s="178" t="s">
        <v>211</v>
      </c>
      <c r="F58" s="35">
        <v>335581.1</v>
      </c>
      <c r="G58" s="35">
        <v>335652.9</v>
      </c>
      <c r="H58" s="104">
        <f t="shared" si="19"/>
        <v>71.800000000046566</v>
      </c>
      <c r="I58" s="110">
        <v>29987.35</v>
      </c>
      <c r="J58" s="111">
        <v>123.98</v>
      </c>
      <c r="K58" s="10">
        <f t="shared" si="20"/>
        <v>0.57912566543028365</v>
      </c>
      <c r="L58" s="35">
        <v>335732.4</v>
      </c>
      <c r="M58" s="106">
        <f t="shared" si="21"/>
        <v>79.5</v>
      </c>
      <c r="N58" s="110">
        <v>30006.41</v>
      </c>
      <c r="O58" s="107">
        <f t="shared" si="22"/>
        <v>19.06000000000131</v>
      </c>
      <c r="P58" s="112">
        <v>147</v>
      </c>
      <c r="Q58" s="28">
        <f t="shared" si="23"/>
        <v>0.54081632653061229</v>
      </c>
      <c r="R58" s="84">
        <f t="shared" si="24"/>
        <v>151.30000000004657</v>
      </c>
      <c r="S58" s="79">
        <f t="shared" si="25"/>
        <v>270.98</v>
      </c>
      <c r="T58" s="34">
        <f t="shared" si="26"/>
        <v>0.55834378920970762</v>
      </c>
      <c r="U58" s="1">
        <v>29</v>
      </c>
    </row>
    <row r="59" spans="1:30" ht="24" customHeight="1">
      <c r="A59" s="81">
        <v>9</v>
      </c>
      <c r="B59" s="31" t="s">
        <v>54</v>
      </c>
      <c r="C59" s="103" t="s">
        <v>210</v>
      </c>
      <c r="D59" s="103" t="s">
        <v>194</v>
      </c>
      <c r="E59" s="178" t="s">
        <v>211</v>
      </c>
      <c r="F59" s="104">
        <v>294295</v>
      </c>
      <c r="G59" s="104">
        <v>294295</v>
      </c>
      <c r="H59" s="104">
        <f t="shared" si="19"/>
        <v>0</v>
      </c>
      <c r="I59" s="110">
        <v>28202.11</v>
      </c>
      <c r="J59" s="111">
        <v>0</v>
      </c>
      <c r="K59" s="10">
        <f t="shared" si="20"/>
        <v>0</v>
      </c>
      <c r="L59" s="104">
        <v>294367</v>
      </c>
      <c r="M59" s="106">
        <f>L59-G59</f>
        <v>72</v>
      </c>
      <c r="N59" s="110">
        <v>28211.4</v>
      </c>
      <c r="O59" s="107">
        <f t="shared" si="22"/>
        <v>9.2900000000008731</v>
      </c>
      <c r="P59" s="111">
        <v>50</v>
      </c>
      <c r="Q59" s="28">
        <f t="shared" si="23"/>
        <v>1.44</v>
      </c>
      <c r="R59" s="84">
        <f t="shared" si="24"/>
        <v>72</v>
      </c>
      <c r="S59" s="79">
        <f t="shared" si="25"/>
        <v>50</v>
      </c>
      <c r="T59" s="34">
        <f t="shared" si="26"/>
        <v>1.44</v>
      </c>
      <c r="U59" s="1">
        <v>17</v>
      </c>
      <c r="AD59" s="101"/>
    </row>
    <row r="60" spans="1:30" ht="24" customHeight="1">
      <c r="A60" s="81">
        <v>10</v>
      </c>
      <c r="B60" s="31" t="s">
        <v>55</v>
      </c>
      <c r="C60" s="103" t="s">
        <v>210</v>
      </c>
      <c r="D60" s="103" t="s">
        <v>194</v>
      </c>
      <c r="E60" s="178" t="s">
        <v>211</v>
      </c>
      <c r="F60" s="104">
        <v>298966.09999999998</v>
      </c>
      <c r="G60" s="104">
        <v>298966.09999999998</v>
      </c>
      <c r="H60" s="104">
        <f t="shared" si="19"/>
        <v>0</v>
      </c>
      <c r="I60" s="110">
        <v>27108.58</v>
      </c>
      <c r="J60" s="111">
        <v>0</v>
      </c>
      <c r="K60" s="10">
        <f t="shared" si="20"/>
        <v>0</v>
      </c>
      <c r="L60" s="104">
        <v>298966.09999999998</v>
      </c>
      <c r="M60" s="106">
        <f>L60-G60</f>
        <v>0</v>
      </c>
      <c r="N60" s="110">
        <v>27108.58</v>
      </c>
      <c r="O60" s="107">
        <f t="shared" si="22"/>
        <v>0</v>
      </c>
      <c r="P60" s="111">
        <v>0</v>
      </c>
      <c r="Q60" s="28">
        <f t="shared" si="23"/>
        <v>0</v>
      </c>
      <c r="R60" s="84">
        <f t="shared" si="24"/>
        <v>0</v>
      </c>
      <c r="S60" s="79">
        <f t="shared" si="25"/>
        <v>0</v>
      </c>
      <c r="T60" s="34">
        <f t="shared" si="26"/>
        <v>0</v>
      </c>
      <c r="U60" s="1">
        <v>0</v>
      </c>
      <c r="AD60" s="101"/>
    </row>
    <row r="61" spans="1:30" ht="24" customHeight="1">
      <c r="A61" s="81">
        <v>11</v>
      </c>
      <c r="B61" s="31" t="s">
        <v>56</v>
      </c>
      <c r="C61" s="103" t="s">
        <v>210</v>
      </c>
      <c r="D61" s="103" t="s">
        <v>194</v>
      </c>
      <c r="E61" s="178" t="s">
        <v>211</v>
      </c>
      <c r="F61" s="104">
        <v>341845</v>
      </c>
      <c r="G61" s="104">
        <v>341845</v>
      </c>
      <c r="H61" s="104">
        <f t="shared" si="19"/>
        <v>0</v>
      </c>
      <c r="I61" s="110">
        <v>27024.46</v>
      </c>
      <c r="J61" s="111">
        <v>0</v>
      </c>
      <c r="K61" s="10">
        <f t="shared" si="20"/>
        <v>0</v>
      </c>
      <c r="L61" s="104">
        <v>341845</v>
      </c>
      <c r="M61" s="106">
        <f>L61-G61</f>
        <v>0</v>
      </c>
      <c r="N61" s="110">
        <v>27024.46</v>
      </c>
      <c r="O61" s="107">
        <f t="shared" si="22"/>
        <v>0</v>
      </c>
      <c r="P61" s="111">
        <v>0</v>
      </c>
      <c r="Q61" s="28">
        <f t="shared" si="23"/>
        <v>0</v>
      </c>
      <c r="R61" s="84">
        <f t="shared" si="24"/>
        <v>0</v>
      </c>
      <c r="S61" s="79">
        <f t="shared" si="25"/>
        <v>0</v>
      </c>
      <c r="T61" s="34">
        <f t="shared" si="26"/>
        <v>0</v>
      </c>
      <c r="U61" s="1">
        <v>0</v>
      </c>
      <c r="AD61" s="101"/>
    </row>
    <row r="62" spans="1:30" ht="24" customHeight="1">
      <c r="A62" s="81">
        <v>12</v>
      </c>
      <c r="B62" s="31" t="s">
        <v>57</v>
      </c>
      <c r="C62" s="103" t="s">
        <v>210</v>
      </c>
      <c r="D62" s="103" t="s">
        <v>194</v>
      </c>
      <c r="E62" s="178" t="s">
        <v>211</v>
      </c>
      <c r="F62" s="104">
        <v>344876.4</v>
      </c>
      <c r="G62" s="104">
        <v>344876.4</v>
      </c>
      <c r="H62" s="104">
        <f t="shared" si="19"/>
        <v>0</v>
      </c>
      <c r="I62" s="110">
        <v>26835.33</v>
      </c>
      <c r="J62" s="111">
        <v>0</v>
      </c>
      <c r="K62" s="10">
        <f t="shared" si="20"/>
        <v>0</v>
      </c>
      <c r="L62" s="104">
        <v>344876.4</v>
      </c>
      <c r="M62" s="106">
        <f>L62-G62</f>
        <v>0</v>
      </c>
      <c r="N62" s="110">
        <v>26835.33</v>
      </c>
      <c r="O62" s="107">
        <f t="shared" si="22"/>
        <v>0</v>
      </c>
      <c r="P62" s="111">
        <v>0</v>
      </c>
      <c r="Q62" s="28">
        <f t="shared" si="23"/>
        <v>0</v>
      </c>
      <c r="R62" s="84">
        <f t="shared" si="24"/>
        <v>0</v>
      </c>
      <c r="S62" s="79">
        <f t="shared" si="25"/>
        <v>0</v>
      </c>
      <c r="T62" s="34">
        <f t="shared" si="26"/>
        <v>0</v>
      </c>
      <c r="U62" s="1">
        <v>0</v>
      </c>
      <c r="AD62" s="101"/>
    </row>
    <row r="63" spans="1:30" ht="24" customHeight="1">
      <c r="A63" s="81">
        <v>13</v>
      </c>
      <c r="B63" s="31" t="s">
        <v>58</v>
      </c>
      <c r="C63" s="103" t="s">
        <v>210</v>
      </c>
      <c r="D63" s="103" t="s">
        <v>194</v>
      </c>
      <c r="E63" s="178" t="s">
        <v>211</v>
      </c>
      <c r="F63" s="35">
        <v>301736.7</v>
      </c>
      <c r="G63" s="35">
        <v>301809.8</v>
      </c>
      <c r="H63" s="104">
        <f t="shared" si="19"/>
        <v>73.099999999976717</v>
      </c>
      <c r="I63" s="110">
        <v>26838.12</v>
      </c>
      <c r="J63" s="111">
        <v>140.74</v>
      </c>
      <c r="K63" s="10">
        <f t="shared" si="20"/>
        <v>0.51939747051283724</v>
      </c>
      <c r="L63" s="35">
        <v>301866.5</v>
      </c>
      <c r="M63" s="106">
        <f t="shared" si="21"/>
        <v>56.700000000011642</v>
      </c>
      <c r="N63" s="110">
        <v>26853.56</v>
      </c>
      <c r="O63" s="107">
        <f t="shared" si="22"/>
        <v>15.440000000002328</v>
      </c>
      <c r="P63" s="112">
        <v>105</v>
      </c>
      <c r="Q63" s="28">
        <f>IFERROR(M63/P63,0)</f>
        <v>0.54000000000011084</v>
      </c>
      <c r="R63" s="84">
        <f t="shared" si="24"/>
        <v>129.79999999998836</v>
      </c>
      <c r="S63" s="79">
        <f t="shared" si="25"/>
        <v>245.74</v>
      </c>
      <c r="T63" s="34">
        <f t="shared" si="26"/>
        <v>0.52820053715304127</v>
      </c>
      <c r="U63" s="1">
        <v>29</v>
      </c>
      <c r="X63" s="113"/>
    </row>
    <row r="64" spans="1:30" ht="24" customHeight="1">
      <c r="A64" s="81">
        <v>14</v>
      </c>
      <c r="B64" s="31" t="s">
        <v>59</v>
      </c>
      <c r="C64" s="103" t="s">
        <v>210</v>
      </c>
      <c r="D64" s="103" t="s">
        <v>194</v>
      </c>
      <c r="E64" s="178" t="s">
        <v>211</v>
      </c>
      <c r="F64" s="35">
        <v>273665.59999999998</v>
      </c>
      <c r="G64" s="35">
        <v>273665.59999999998</v>
      </c>
      <c r="H64" s="104">
        <f t="shared" si="19"/>
        <v>0</v>
      </c>
      <c r="I64" s="110">
        <v>25593.43</v>
      </c>
      <c r="J64" s="111">
        <v>0</v>
      </c>
      <c r="K64" s="10">
        <f t="shared" si="20"/>
        <v>0</v>
      </c>
      <c r="L64" s="35">
        <v>273665.59999999998</v>
      </c>
      <c r="M64" s="106">
        <f>L64-G64</f>
        <v>0</v>
      </c>
      <c r="N64" s="110">
        <v>25593.43</v>
      </c>
      <c r="O64" s="107">
        <f t="shared" si="22"/>
        <v>0</v>
      </c>
      <c r="P64" s="111">
        <v>0</v>
      </c>
      <c r="Q64" s="28">
        <f>IFERROR(M64/P64,0)</f>
        <v>0</v>
      </c>
      <c r="R64" s="84">
        <f t="shared" si="24"/>
        <v>0</v>
      </c>
      <c r="S64" s="79">
        <f t="shared" si="25"/>
        <v>0</v>
      </c>
      <c r="T64" s="34">
        <f t="shared" si="26"/>
        <v>0</v>
      </c>
      <c r="U64" s="1">
        <v>14</v>
      </c>
      <c r="AA64" t="s">
        <v>60</v>
      </c>
    </row>
    <row r="65" spans="1:21" ht="24" customHeight="1">
      <c r="A65" s="81">
        <v>15</v>
      </c>
      <c r="B65" s="31" t="s">
        <v>61</v>
      </c>
      <c r="C65" s="103" t="s">
        <v>210</v>
      </c>
      <c r="D65" s="103" t="s">
        <v>194</v>
      </c>
      <c r="E65" s="178" t="s">
        <v>211</v>
      </c>
      <c r="F65" s="104">
        <v>286761.59999999998</v>
      </c>
      <c r="G65" s="104">
        <v>286761.59999999998</v>
      </c>
      <c r="H65" s="104">
        <f t="shared" si="19"/>
        <v>0</v>
      </c>
      <c r="I65" s="110">
        <v>26775.52</v>
      </c>
      <c r="J65" s="111">
        <v>0</v>
      </c>
      <c r="K65" s="10">
        <f t="shared" si="20"/>
        <v>0</v>
      </c>
      <c r="L65" s="104">
        <v>286761.59999999998</v>
      </c>
      <c r="M65" s="106">
        <f>L65-G65</f>
        <v>0</v>
      </c>
      <c r="N65" s="110">
        <v>26775.52</v>
      </c>
      <c r="O65" s="107">
        <f t="shared" si="22"/>
        <v>0</v>
      </c>
      <c r="P65" s="112">
        <v>0</v>
      </c>
      <c r="Q65" s="28">
        <f t="shared" si="23"/>
        <v>0</v>
      </c>
      <c r="R65" s="84">
        <f t="shared" si="24"/>
        <v>0</v>
      </c>
      <c r="S65" s="79">
        <f t="shared" si="25"/>
        <v>0</v>
      </c>
      <c r="T65" s="34">
        <f t="shared" si="26"/>
        <v>0</v>
      </c>
      <c r="U65" s="1">
        <v>0</v>
      </c>
    </row>
    <row r="66" spans="1:21" ht="24" customHeight="1">
      <c r="A66" s="81">
        <v>16</v>
      </c>
      <c r="B66" s="31" t="s">
        <v>62</v>
      </c>
      <c r="C66" s="103" t="s">
        <v>210</v>
      </c>
      <c r="D66" s="103" t="s">
        <v>194</v>
      </c>
      <c r="E66" s="178" t="s">
        <v>211</v>
      </c>
      <c r="F66" s="35">
        <v>304622</v>
      </c>
      <c r="G66" s="35">
        <v>304622</v>
      </c>
      <c r="H66" s="104">
        <f t="shared" si="19"/>
        <v>0</v>
      </c>
      <c r="I66" s="110">
        <v>27412.22</v>
      </c>
      <c r="J66" s="111">
        <v>0</v>
      </c>
      <c r="K66" s="10">
        <f t="shared" si="20"/>
        <v>0</v>
      </c>
      <c r="L66" s="35">
        <v>304684.09999999998</v>
      </c>
      <c r="M66" s="106">
        <f t="shared" si="21"/>
        <v>62.099999999976717</v>
      </c>
      <c r="N66" s="110">
        <v>27412.22</v>
      </c>
      <c r="O66" s="107">
        <f t="shared" si="22"/>
        <v>0</v>
      </c>
      <c r="P66" s="112">
        <v>106</v>
      </c>
      <c r="Q66" s="28">
        <f t="shared" si="23"/>
        <v>0.58584905660355391</v>
      </c>
      <c r="R66" s="84">
        <f t="shared" si="24"/>
        <v>62.099999999976717</v>
      </c>
      <c r="S66" s="79">
        <f t="shared" si="25"/>
        <v>106</v>
      </c>
      <c r="T66" s="34">
        <f t="shared" si="26"/>
        <v>0.58584905660355391</v>
      </c>
      <c r="U66" s="1">
        <v>20</v>
      </c>
    </row>
    <row r="67" spans="1:21" ht="24" customHeight="1">
      <c r="A67" s="81">
        <v>17</v>
      </c>
      <c r="B67" s="31" t="s">
        <v>158</v>
      </c>
      <c r="C67" s="103" t="s">
        <v>210</v>
      </c>
      <c r="D67" s="103" t="s">
        <v>194</v>
      </c>
      <c r="E67" s="178" t="s">
        <v>222</v>
      </c>
      <c r="F67" s="17">
        <v>276563</v>
      </c>
      <c r="G67" s="17">
        <v>276563</v>
      </c>
      <c r="H67" s="104">
        <f t="shared" si="19"/>
        <v>0</v>
      </c>
      <c r="I67" s="110">
        <v>25223</v>
      </c>
      <c r="J67" s="111">
        <v>0</v>
      </c>
      <c r="K67" s="10">
        <f t="shared" si="20"/>
        <v>0</v>
      </c>
      <c r="L67" s="17">
        <v>276630</v>
      </c>
      <c r="M67" s="106">
        <f t="shared" si="21"/>
        <v>67</v>
      </c>
      <c r="N67" s="110">
        <v>25228</v>
      </c>
      <c r="O67" s="107">
        <f t="shared" si="22"/>
        <v>5</v>
      </c>
      <c r="P67" s="111">
        <v>126</v>
      </c>
      <c r="Q67" s="28">
        <f t="shared" si="23"/>
        <v>0.53174603174603174</v>
      </c>
      <c r="R67" s="84">
        <f t="shared" si="24"/>
        <v>67</v>
      </c>
      <c r="S67" s="79">
        <f t="shared" si="25"/>
        <v>126</v>
      </c>
      <c r="T67" s="34">
        <f t="shared" si="26"/>
        <v>0.53174603174603174</v>
      </c>
      <c r="U67" s="1">
        <v>23</v>
      </c>
    </row>
    <row r="68" spans="1:21" ht="24" customHeight="1">
      <c r="A68" s="81">
        <v>18</v>
      </c>
      <c r="B68" s="31" t="s">
        <v>159</v>
      </c>
      <c r="C68" s="103" t="s">
        <v>210</v>
      </c>
      <c r="D68" s="103" t="s">
        <v>194</v>
      </c>
      <c r="E68" s="178" t="s">
        <v>222</v>
      </c>
      <c r="F68" s="17">
        <v>279927</v>
      </c>
      <c r="G68" s="17">
        <v>279927</v>
      </c>
      <c r="H68" s="104">
        <f t="shared" si="19"/>
        <v>0</v>
      </c>
      <c r="I68" s="110">
        <v>26079</v>
      </c>
      <c r="J68" s="111">
        <v>0</v>
      </c>
      <c r="K68" s="10">
        <f t="shared" si="20"/>
        <v>0</v>
      </c>
      <c r="L68" s="17">
        <v>279927</v>
      </c>
      <c r="M68" s="106">
        <f t="shared" si="21"/>
        <v>0</v>
      </c>
      <c r="N68" s="110">
        <v>26079</v>
      </c>
      <c r="O68" s="107">
        <f t="shared" si="22"/>
        <v>0</v>
      </c>
      <c r="P68" s="111">
        <v>0</v>
      </c>
      <c r="Q68" s="28">
        <f t="shared" si="23"/>
        <v>0</v>
      </c>
      <c r="R68" s="84">
        <f t="shared" si="24"/>
        <v>0</v>
      </c>
      <c r="S68" s="79">
        <f t="shared" si="25"/>
        <v>0</v>
      </c>
      <c r="T68" s="34">
        <f t="shared" si="26"/>
        <v>0</v>
      </c>
      <c r="U68" s="1">
        <v>19</v>
      </c>
    </row>
    <row r="69" spans="1:21" ht="24" customHeight="1">
      <c r="A69" s="81">
        <v>19</v>
      </c>
      <c r="B69" s="31" t="s">
        <v>160</v>
      </c>
      <c r="C69" s="103" t="s">
        <v>210</v>
      </c>
      <c r="D69" s="103" t="s">
        <v>194</v>
      </c>
      <c r="E69" s="178" t="s">
        <v>222</v>
      </c>
      <c r="F69" s="17">
        <v>306717</v>
      </c>
      <c r="G69" s="17">
        <v>306717</v>
      </c>
      <c r="H69" s="104">
        <f t="shared" si="19"/>
        <v>0</v>
      </c>
      <c r="I69" s="110">
        <v>25242</v>
      </c>
      <c r="J69" s="111">
        <v>0</v>
      </c>
      <c r="K69" s="10">
        <f t="shared" si="20"/>
        <v>0</v>
      </c>
      <c r="L69" s="17">
        <v>306818</v>
      </c>
      <c r="M69" s="106">
        <f t="shared" si="21"/>
        <v>101</v>
      </c>
      <c r="N69" s="110">
        <v>25252</v>
      </c>
      <c r="O69" s="107">
        <f t="shared" si="22"/>
        <v>10</v>
      </c>
      <c r="P69" s="111">
        <v>137</v>
      </c>
      <c r="Q69" s="28">
        <f t="shared" si="23"/>
        <v>0.73722627737226276</v>
      </c>
      <c r="R69" s="84">
        <f t="shared" si="24"/>
        <v>101</v>
      </c>
      <c r="S69" s="79">
        <f t="shared" si="25"/>
        <v>137</v>
      </c>
      <c r="T69" s="34">
        <f t="shared" si="26"/>
        <v>0.73722627737226276</v>
      </c>
      <c r="U69" s="1">
        <v>12</v>
      </c>
    </row>
    <row r="70" spans="1:21" ht="24" customHeight="1">
      <c r="A70" s="81">
        <v>20</v>
      </c>
      <c r="B70" s="31" t="s">
        <v>161</v>
      </c>
      <c r="C70" s="103" t="s">
        <v>210</v>
      </c>
      <c r="D70" s="103" t="s">
        <v>194</v>
      </c>
      <c r="E70" s="178" t="s">
        <v>222</v>
      </c>
      <c r="F70" s="17">
        <v>306411</v>
      </c>
      <c r="G70" s="17">
        <v>306411</v>
      </c>
      <c r="H70" s="104">
        <f t="shared" si="19"/>
        <v>0</v>
      </c>
      <c r="I70" s="110">
        <v>25606</v>
      </c>
      <c r="J70" s="116">
        <v>0</v>
      </c>
      <c r="K70" s="10">
        <f t="shared" si="20"/>
        <v>0</v>
      </c>
      <c r="L70" s="17">
        <v>306471</v>
      </c>
      <c r="M70" s="106">
        <f t="shared" si="21"/>
        <v>60</v>
      </c>
      <c r="N70" s="110">
        <v>25612</v>
      </c>
      <c r="O70" s="107">
        <f t="shared" si="22"/>
        <v>6</v>
      </c>
      <c r="P70" s="111">
        <v>102</v>
      </c>
      <c r="Q70" s="28">
        <f t="shared" si="23"/>
        <v>0.58823529411764708</v>
      </c>
      <c r="R70" s="84">
        <f t="shared" si="24"/>
        <v>60</v>
      </c>
      <c r="S70" s="79">
        <f t="shared" si="25"/>
        <v>102</v>
      </c>
      <c r="T70" s="34">
        <f t="shared" si="26"/>
        <v>0.58823529411764708</v>
      </c>
      <c r="U70" s="1">
        <v>29</v>
      </c>
    </row>
    <row r="71" spans="1:21" ht="24" customHeight="1">
      <c r="A71" s="81">
        <v>21</v>
      </c>
      <c r="B71" s="31" t="s">
        <v>162</v>
      </c>
      <c r="C71" s="103" t="s">
        <v>210</v>
      </c>
      <c r="D71" s="103" t="s">
        <v>194</v>
      </c>
      <c r="E71" s="178" t="s">
        <v>222</v>
      </c>
      <c r="F71" s="17">
        <v>322496</v>
      </c>
      <c r="G71" s="17">
        <v>322496</v>
      </c>
      <c r="H71" s="104">
        <f t="shared" si="19"/>
        <v>0</v>
      </c>
      <c r="I71" s="110">
        <v>26760</v>
      </c>
      <c r="J71" s="111">
        <v>0</v>
      </c>
      <c r="K71" s="10">
        <f t="shared" si="20"/>
        <v>0</v>
      </c>
      <c r="L71" s="17">
        <v>322531</v>
      </c>
      <c r="M71" s="106">
        <f t="shared" si="21"/>
        <v>35</v>
      </c>
      <c r="N71" s="110">
        <v>26764</v>
      </c>
      <c r="O71" s="107">
        <f t="shared" si="22"/>
        <v>4</v>
      </c>
      <c r="P71" s="111">
        <v>81</v>
      </c>
      <c r="Q71" s="28">
        <f t="shared" si="23"/>
        <v>0.43209876543209874</v>
      </c>
      <c r="R71" s="84">
        <f t="shared" si="24"/>
        <v>35</v>
      </c>
      <c r="S71" s="79">
        <f t="shared" si="25"/>
        <v>81</v>
      </c>
      <c r="T71" s="34">
        <f t="shared" si="26"/>
        <v>0.43209876543209874</v>
      </c>
      <c r="U71" s="1">
        <v>21</v>
      </c>
    </row>
    <row r="72" spans="1:21" ht="24" customHeight="1">
      <c r="A72" s="81">
        <v>22</v>
      </c>
      <c r="B72" s="31" t="s">
        <v>68</v>
      </c>
      <c r="C72" s="103" t="s">
        <v>210</v>
      </c>
      <c r="D72" s="103" t="s">
        <v>194</v>
      </c>
      <c r="E72" s="178" t="s">
        <v>211</v>
      </c>
      <c r="F72" s="17">
        <v>278646.59999999998</v>
      </c>
      <c r="G72" s="17">
        <v>278646.59999999998</v>
      </c>
      <c r="H72" s="104">
        <f t="shared" si="19"/>
        <v>0</v>
      </c>
      <c r="I72" s="110">
        <v>22643</v>
      </c>
      <c r="J72" s="111">
        <v>0</v>
      </c>
      <c r="K72" s="10">
        <f t="shared" si="20"/>
        <v>0</v>
      </c>
      <c r="L72" s="17">
        <v>278646.59999999998</v>
      </c>
      <c r="M72" s="106">
        <f t="shared" si="21"/>
        <v>0</v>
      </c>
      <c r="N72" s="110">
        <v>22643</v>
      </c>
      <c r="O72" s="107">
        <f t="shared" si="22"/>
        <v>0</v>
      </c>
      <c r="P72" s="112">
        <v>0</v>
      </c>
      <c r="Q72" s="28">
        <f t="shared" si="23"/>
        <v>0</v>
      </c>
      <c r="R72" s="84">
        <f t="shared" si="24"/>
        <v>0</v>
      </c>
      <c r="S72" s="79">
        <f t="shared" si="25"/>
        <v>0</v>
      </c>
      <c r="T72" s="34">
        <f t="shared" si="26"/>
        <v>0</v>
      </c>
      <c r="U72" s="1">
        <v>3</v>
      </c>
    </row>
    <row r="73" spans="1:21" ht="24" customHeight="1">
      <c r="A73" s="81">
        <v>23</v>
      </c>
      <c r="B73" s="31" t="s">
        <v>69</v>
      </c>
      <c r="C73" s="103" t="s">
        <v>210</v>
      </c>
      <c r="D73" s="103" t="s">
        <v>194</v>
      </c>
      <c r="E73" s="178" t="s">
        <v>211</v>
      </c>
      <c r="F73" s="17">
        <v>260588</v>
      </c>
      <c r="G73" s="17">
        <v>260623.6</v>
      </c>
      <c r="H73" s="104">
        <f t="shared" si="19"/>
        <v>35.600000000005821</v>
      </c>
      <c r="I73" s="110">
        <v>19995</v>
      </c>
      <c r="J73" s="111">
        <v>55</v>
      </c>
      <c r="K73" s="10">
        <f t="shared" si="20"/>
        <v>0.64727272727283314</v>
      </c>
      <c r="L73" s="17">
        <v>260623.6</v>
      </c>
      <c r="M73" s="106">
        <f t="shared" si="21"/>
        <v>0</v>
      </c>
      <c r="N73" s="110">
        <v>19995</v>
      </c>
      <c r="O73" s="107">
        <f t="shared" si="22"/>
        <v>0</v>
      </c>
      <c r="P73" s="112">
        <v>0</v>
      </c>
      <c r="Q73" s="28">
        <f t="shared" si="23"/>
        <v>0</v>
      </c>
      <c r="R73" s="84">
        <f t="shared" si="24"/>
        <v>35.600000000005821</v>
      </c>
      <c r="S73" s="79">
        <f t="shared" si="25"/>
        <v>55</v>
      </c>
      <c r="T73" s="34">
        <f t="shared" si="26"/>
        <v>0.64727272727283314</v>
      </c>
      <c r="U73" s="1">
        <v>0</v>
      </c>
    </row>
    <row r="74" spans="1:21" ht="24" customHeight="1">
      <c r="A74" s="81">
        <v>24</v>
      </c>
      <c r="B74" s="31" t="s">
        <v>70</v>
      </c>
      <c r="C74" s="103" t="s">
        <v>210</v>
      </c>
      <c r="D74" s="103" t="s">
        <v>194</v>
      </c>
      <c r="E74" s="178" t="s">
        <v>211</v>
      </c>
      <c r="F74" s="104">
        <v>305153.2</v>
      </c>
      <c r="G74" s="104">
        <v>305202.7</v>
      </c>
      <c r="H74" s="104">
        <f t="shared" si="19"/>
        <v>49.5</v>
      </c>
      <c r="I74" s="110">
        <v>5200</v>
      </c>
      <c r="J74" s="111">
        <v>100</v>
      </c>
      <c r="K74" s="10">
        <f t="shared" si="20"/>
        <v>0.495</v>
      </c>
      <c r="L74" s="104">
        <v>305292.2</v>
      </c>
      <c r="M74" s="106">
        <f t="shared" si="21"/>
        <v>89.5</v>
      </c>
      <c r="N74" s="110">
        <v>5216</v>
      </c>
      <c r="O74" s="107">
        <f t="shared" si="22"/>
        <v>16</v>
      </c>
      <c r="P74" s="111">
        <v>130</v>
      </c>
      <c r="Q74" s="28">
        <f t="shared" si="23"/>
        <v>0.68846153846153846</v>
      </c>
      <c r="R74" s="84">
        <f t="shared" si="24"/>
        <v>139</v>
      </c>
      <c r="S74" s="79">
        <f t="shared" si="25"/>
        <v>230</v>
      </c>
      <c r="T74" s="34">
        <f t="shared" si="26"/>
        <v>0.60434782608695647</v>
      </c>
      <c r="U74" s="1">
        <v>16</v>
      </c>
    </row>
    <row r="75" spans="1:21" ht="24" customHeight="1">
      <c r="A75" s="81">
        <v>25</v>
      </c>
      <c r="B75" s="31" t="s">
        <v>71</v>
      </c>
      <c r="C75" s="103" t="s">
        <v>210</v>
      </c>
      <c r="D75" s="103" t="s">
        <v>194</v>
      </c>
      <c r="E75" s="178" t="s">
        <v>211</v>
      </c>
      <c r="F75" s="35">
        <v>315041.09999999998</v>
      </c>
      <c r="G75" s="35">
        <v>315093.59999999998</v>
      </c>
      <c r="H75" s="104">
        <f t="shared" si="19"/>
        <v>52.5</v>
      </c>
      <c r="I75" s="110">
        <v>23078</v>
      </c>
      <c r="J75" s="111">
        <v>112</v>
      </c>
      <c r="K75" s="10">
        <f t="shared" si="20"/>
        <v>0.46875</v>
      </c>
      <c r="L75" s="35">
        <v>315176.5</v>
      </c>
      <c r="M75" s="106">
        <f t="shared" si="21"/>
        <v>82.900000000023283</v>
      </c>
      <c r="N75" s="110">
        <v>23098</v>
      </c>
      <c r="O75" s="107">
        <f t="shared" si="22"/>
        <v>20</v>
      </c>
      <c r="P75" s="111">
        <v>144</v>
      </c>
      <c r="Q75" s="28">
        <f>IFERROR(M75/P75,0)</f>
        <v>0.57569444444460616</v>
      </c>
      <c r="R75" s="84">
        <f t="shared" si="24"/>
        <v>135.40000000002328</v>
      </c>
      <c r="S75" s="79">
        <f>J75+P75</f>
        <v>256</v>
      </c>
      <c r="T75" s="34">
        <f t="shared" si="26"/>
        <v>0.52890625000009095</v>
      </c>
      <c r="U75" s="1">
        <v>37</v>
      </c>
    </row>
    <row r="76" spans="1:21" ht="24" customHeight="1">
      <c r="A76" s="81">
        <v>26</v>
      </c>
      <c r="B76" s="31" t="s">
        <v>72</v>
      </c>
      <c r="C76" s="103" t="s">
        <v>210</v>
      </c>
      <c r="D76" s="103" t="s">
        <v>194</v>
      </c>
      <c r="E76" s="178" t="s">
        <v>211</v>
      </c>
      <c r="F76" s="35">
        <v>285795.59999999998</v>
      </c>
      <c r="G76" s="35">
        <v>285881.40000000002</v>
      </c>
      <c r="H76" s="104">
        <f t="shared" si="19"/>
        <v>85.800000000046566</v>
      </c>
      <c r="I76" s="110">
        <v>20716</v>
      </c>
      <c r="J76" s="111">
        <v>124.59</v>
      </c>
      <c r="K76" s="10">
        <f t="shared" si="20"/>
        <v>0.68865880086721698</v>
      </c>
      <c r="L76" s="35">
        <v>285967.40000000002</v>
      </c>
      <c r="M76" s="106">
        <f t="shared" si="21"/>
        <v>86</v>
      </c>
      <c r="N76" s="110">
        <v>20735</v>
      </c>
      <c r="O76" s="107">
        <f t="shared" si="22"/>
        <v>19</v>
      </c>
      <c r="P76" s="112">
        <v>141</v>
      </c>
      <c r="Q76" s="28">
        <f t="shared" si="23"/>
        <v>0.60992907801418439</v>
      </c>
      <c r="R76" s="84">
        <f t="shared" si="24"/>
        <v>171.80000000004657</v>
      </c>
      <c r="S76" s="79">
        <f t="shared" si="25"/>
        <v>265.59000000000003</v>
      </c>
      <c r="T76" s="34">
        <f t="shared" si="26"/>
        <v>0.64686170413060184</v>
      </c>
      <c r="U76" s="1">
        <v>41</v>
      </c>
    </row>
    <row r="77" spans="1:21" ht="24" customHeight="1">
      <c r="A77" s="81">
        <v>27</v>
      </c>
      <c r="B77" s="31" t="s">
        <v>73</v>
      </c>
      <c r="C77" s="103" t="s">
        <v>210</v>
      </c>
      <c r="D77" s="103" t="s">
        <v>194</v>
      </c>
      <c r="E77" s="178" t="s">
        <v>211</v>
      </c>
      <c r="F77" s="104">
        <v>314065.90000000002</v>
      </c>
      <c r="G77" s="104">
        <v>314141.59999999998</v>
      </c>
      <c r="H77" s="104">
        <f t="shared" si="19"/>
        <v>75.699999999953434</v>
      </c>
      <c r="I77" s="110">
        <v>22848</v>
      </c>
      <c r="J77" s="111">
        <v>128.21</v>
      </c>
      <c r="K77" s="10">
        <f t="shared" si="20"/>
        <v>0.59043756337222864</v>
      </c>
      <c r="L77" s="104">
        <v>314234.8</v>
      </c>
      <c r="M77" s="106">
        <f t="shared" si="21"/>
        <v>93.200000000011642</v>
      </c>
      <c r="N77" s="110">
        <v>22866</v>
      </c>
      <c r="O77" s="107">
        <f t="shared" si="22"/>
        <v>18</v>
      </c>
      <c r="P77" s="112">
        <v>156</v>
      </c>
      <c r="Q77" s="28">
        <f t="shared" si="23"/>
        <v>0.59743589743597203</v>
      </c>
      <c r="R77" s="84">
        <f t="shared" si="24"/>
        <v>168.89999999996508</v>
      </c>
      <c r="S77" s="79">
        <f t="shared" si="25"/>
        <v>284.21000000000004</v>
      </c>
      <c r="T77" s="34">
        <f t="shared" si="26"/>
        <v>0.59427887829409609</v>
      </c>
      <c r="U77" s="1">
        <v>47</v>
      </c>
    </row>
    <row r="78" spans="1:21" ht="24" customHeight="1">
      <c r="A78" s="81">
        <v>28</v>
      </c>
      <c r="B78" s="31" t="s">
        <v>74</v>
      </c>
      <c r="C78" s="103" t="s">
        <v>210</v>
      </c>
      <c r="D78" s="103" t="s">
        <v>194</v>
      </c>
      <c r="E78" s="178" t="s">
        <v>211</v>
      </c>
      <c r="F78" s="35">
        <v>284366.59999999998</v>
      </c>
      <c r="G78" s="35">
        <v>284420.90000000002</v>
      </c>
      <c r="H78" s="104">
        <f t="shared" si="19"/>
        <v>54.300000000046566</v>
      </c>
      <c r="I78" s="110">
        <v>4378</v>
      </c>
      <c r="J78" s="111">
        <v>102</v>
      </c>
      <c r="K78" s="10">
        <f t="shared" si="20"/>
        <v>0.53235294117692711</v>
      </c>
      <c r="L78" s="35">
        <v>284462.59999999998</v>
      </c>
      <c r="M78" s="106">
        <f t="shared" si="21"/>
        <v>41.699999999953434</v>
      </c>
      <c r="N78" s="110">
        <v>4394</v>
      </c>
      <c r="O78" s="107">
        <f>N78-I78</f>
        <v>16</v>
      </c>
      <c r="P78" s="111">
        <v>88</v>
      </c>
      <c r="Q78" s="28">
        <f t="shared" si="23"/>
        <v>0.47386363636310719</v>
      </c>
      <c r="R78" s="84">
        <f t="shared" si="24"/>
        <v>96</v>
      </c>
      <c r="S78" s="79">
        <f t="shared" si="25"/>
        <v>190</v>
      </c>
      <c r="T78" s="34">
        <f t="shared" si="26"/>
        <v>0.50526315789473686</v>
      </c>
      <c r="U78" s="1">
        <v>30</v>
      </c>
    </row>
    <row r="79" spans="1:21" ht="24" customHeight="1">
      <c r="A79" s="81">
        <v>29</v>
      </c>
      <c r="B79" s="31" t="s">
        <v>75</v>
      </c>
      <c r="C79" s="103" t="s">
        <v>210</v>
      </c>
      <c r="D79" s="103" t="s">
        <v>194</v>
      </c>
      <c r="E79" s="178" t="s">
        <v>211</v>
      </c>
      <c r="F79" s="104">
        <v>302090.2</v>
      </c>
      <c r="G79" s="104">
        <v>302134.40000000002</v>
      </c>
      <c r="H79" s="104">
        <f t="shared" si="19"/>
        <v>44.200000000011642</v>
      </c>
      <c r="I79" s="110">
        <v>21795</v>
      </c>
      <c r="J79" s="111">
        <v>79</v>
      </c>
      <c r="K79" s="10">
        <f t="shared" si="20"/>
        <v>0.55949367088622326</v>
      </c>
      <c r="L79" s="104">
        <v>302179.3</v>
      </c>
      <c r="M79" s="106">
        <f t="shared" si="21"/>
        <v>44.899999999965075</v>
      </c>
      <c r="N79" s="110">
        <v>21809</v>
      </c>
      <c r="O79" s="107">
        <f t="shared" si="22"/>
        <v>14</v>
      </c>
      <c r="P79" s="112">
        <v>89</v>
      </c>
      <c r="Q79" s="28">
        <f t="shared" si="23"/>
        <v>0.50449438202207952</v>
      </c>
      <c r="R79" s="84">
        <f t="shared" si="24"/>
        <v>89.099999999976717</v>
      </c>
      <c r="S79" s="79">
        <f t="shared" si="25"/>
        <v>168</v>
      </c>
      <c r="T79" s="34">
        <f t="shared" si="26"/>
        <v>0.5303571428570043</v>
      </c>
      <c r="U79" s="1">
        <v>25</v>
      </c>
    </row>
    <row r="80" spans="1:21" ht="24" customHeight="1">
      <c r="A80" s="81">
        <v>30</v>
      </c>
      <c r="B80" s="31" t="s">
        <v>76</v>
      </c>
      <c r="C80" s="103" t="s">
        <v>210</v>
      </c>
      <c r="D80" s="103" t="s">
        <v>194</v>
      </c>
      <c r="E80" s="178" t="s">
        <v>211</v>
      </c>
      <c r="F80" s="104">
        <v>266728.59999999998</v>
      </c>
      <c r="G80" s="104">
        <v>266773.09999999998</v>
      </c>
      <c r="H80" s="104">
        <f t="shared" si="19"/>
        <v>44.5</v>
      </c>
      <c r="I80" s="110">
        <v>19748</v>
      </c>
      <c r="J80" s="111">
        <v>77</v>
      </c>
      <c r="K80" s="10">
        <f t="shared" si="20"/>
        <v>0.57792207792207795</v>
      </c>
      <c r="L80" s="104">
        <v>266865</v>
      </c>
      <c r="M80" s="106">
        <f t="shared" si="21"/>
        <v>91.900000000023283</v>
      </c>
      <c r="N80" s="110">
        <v>19767</v>
      </c>
      <c r="O80" s="107">
        <f t="shared" si="22"/>
        <v>19</v>
      </c>
      <c r="P80" s="111">
        <v>145</v>
      </c>
      <c r="Q80" s="28">
        <f t="shared" si="23"/>
        <v>0.63379310344843642</v>
      </c>
      <c r="R80" s="84">
        <f t="shared" si="24"/>
        <v>136.40000000002328</v>
      </c>
      <c r="S80" s="79">
        <f t="shared" si="25"/>
        <v>222</v>
      </c>
      <c r="T80" s="34">
        <f t="shared" si="26"/>
        <v>0.61441441441451927</v>
      </c>
      <c r="U80" s="1">
        <v>27</v>
      </c>
    </row>
    <row r="81" spans="1:21" ht="24" customHeight="1">
      <c r="A81" s="81">
        <v>31</v>
      </c>
      <c r="B81" s="31" t="s">
        <v>77</v>
      </c>
      <c r="C81" s="103" t="s">
        <v>210</v>
      </c>
      <c r="D81" s="103" t="s">
        <v>194</v>
      </c>
      <c r="E81" s="178" t="s">
        <v>211</v>
      </c>
      <c r="F81" s="83">
        <v>264209.90000000002</v>
      </c>
      <c r="G81" s="83">
        <v>264209.90000000002</v>
      </c>
      <c r="H81" s="104">
        <f t="shared" si="19"/>
        <v>0</v>
      </c>
      <c r="I81" s="110">
        <v>19398</v>
      </c>
      <c r="J81" s="111">
        <v>0</v>
      </c>
      <c r="K81" s="10">
        <f t="shared" si="20"/>
        <v>0</v>
      </c>
      <c r="L81" s="83">
        <v>264209.90000000002</v>
      </c>
      <c r="M81" s="106">
        <f t="shared" si="21"/>
        <v>0</v>
      </c>
      <c r="N81" s="110">
        <v>19398</v>
      </c>
      <c r="O81" s="107">
        <f>N81-I81</f>
        <v>0</v>
      </c>
      <c r="P81" s="111">
        <v>0</v>
      </c>
      <c r="Q81" s="28">
        <f t="shared" si="23"/>
        <v>0</v>
      </c>
      <c r="R81" s="84">
        <f t="shared" si="24"/>
        <v>0</v>
      </c>
      <c r="S81" s="79">
        <f t="shared" si="25"/>
        <v>0</v>
      </c>
      <c r="T81" s="34">
        <f t="shared" si="26"/>
        <v>0</v>
      </c>
      <c r="U81" s="1">
        <v>17</v>
      </c>
    </row>
    <row r="82" spans="1:21" ht="24" customHeight="1">
      <c r="A82" s="81">
        <v>32</v>
      </c>
      <c r="B82" s="31" t="s">
        <v>78</v>
      </c>
      <c r="C82" s="103" t="s">
        <v>210</v>
      </c>
      <c r="D82" s="103" t="s">
        <v>194</v>
      </c>
      <c r="E82" s="178" t="s">
        <v>211</v>
      </c>
      <c r="F82" s="104">
        <v>290552.7</v>
      </c>
      <c r="G82" s="104">
        <v>290604.3</v>
      </c>
      <c r="H82" s="104">
        <f t="shared" si="19"/>
        <v>51.599999999976717</v>
      </c>
      <c r="I82" s="110">
        <v>21023</v>
      </c>
      <c r="J82" s="111">
        <v>100</v>
      </c>
      <c r="K82" s="10">
        <f t="shared" si="20"/>
        <v>0.5159999999997672</v>
      </c>
      <c r="L82" s="104">
        <v>290651.8</v>
      </c>
      <c r="M82" s="106">
        <f t="shared" si="21"/>
        <v>47.5</v>
      </c>
      <c r="N82" s="110">
        <v>21040</v>
      </c>
      <c r="O82" s="107">
        <f t="shared" si="22"/>
        <v>17</v>
      </c>
      <c r="P82" s="111">
        <v>76</v>
      </c>
      <c r="Q82" s="28">
        <f t="shared" si="23"/>
        <v>0.625</v>
      </c>
      <c r="R82" s="84">
        <f t="shared" si="24"/>
        <v>99.099999999976717</v>
      </c>
      <c r="S82" s="79">
        <f t="shared" si="25"/>
        <v>176</v>
      </c>
      <c r="T82" s="34">
        <f t="shared" si="26"/>
        <v>0.56306818181804952</v>
      </c>
      <c r="U82" s="1">
        <v>12</v>
      </c>
    </row>
    <row r="83" spans="1:21" ht="24" customHeight="1">
      <c r="A83" s="81">
        <v>33</v>
      </c>
      <c r="B83" s="31" t="s">
        <v>79</v>
      </c>
      <c r="C83" s="103" t="s">
        <v>210</v>
      </c>
      <c r="D83" s="103" t="s">
        <v>194</v>
      </c>
      <c r="E83" s="178" t="s">
        <v>211</v>
      </c>
      <c r="F83" s="104">
        <v>305272</v>
      </c>
      <c r="G83" s="104">
        <v>305353.5</v>
      </c>
      <c r="H83" s="104">
        <f t="shared" si="19"/>
        <v>81.5</v>
      </c>
      <c r="I83" s="110">
        <v>21759</v>
      </c>
      <c r="J83" s="111">
        <v>125.14</v>
      </c>
      <c r="K83" s="10">
        <f t="shared" si="20"/>
        <v>0.65127057695381174</v>
      </c>
      <c r="L83" s="104">
        <v>305455.59999999998</v>
      </c>
      <c r="M83" s="106">
        <f t="shared" si="21"/>
        <v>102.09999999997672</v>
      </c>
      <c r="N83" s="110">
        <v>21779</v>
      </c>
      <c r="O83" s="107">
        <f t="shared" si="22"/>
        <v>20</v>
      </c>
      <c r="P83" s="111">
        <v>176</v>
      </c>
      <c r="Q83" s="28">
        <f t="shared" si="23"/>
        <v>0.5801136363635041</v>
      </c>
      <c r="R83" s="84">
        <f t="shared" si="24"/>
        <v>183.59999999997672</v>
      </c>
      <c r="S83" s="79">
        <f t="shared" si="25"/>
        <v>301.14</v>
      </c>
      <c r="T83" s="34">
        <f t="shared" si="26"/>
        <v>0.60968320382538599</v>
      </c>
      <c r="U83" s="1">
        <v>50</v>
      </c>
    </row>
    <row r="84" spans="1:21" ht="24" customHeight="1">
      <c r="A84" s="81">
        <v>34</v>
      </c>
      <c r="B84" s="31" t="s">
        <v>163</v>
      </c>
      <c r="C84" s="103" t="s">
        <v>210</v>
      </c>
      <c r="D84" s="103" t="s">
        <v>194</v>
      </c>
      <c r="E84" s="178" t="s">
        <v>211</v>
      </c>
      <c r="F84" s="104">
        <v>246355.1</v>
      </c>
      <c r="G84" s="104">
        <v>246417.9</v>
      </c>
      <c r="H84" s="104">
        <f t="shared" si="19"/>
        <v>62.799999999988358</v>
      </c>
      <c r="I84" s="110">
        <v>18418</v>
      </c>
      <c r="J84" s="111">
        <v>115</v>
      </c>
      <c r="K84" s="10">
        <f t="shared" si="20"/>
        <v>0.54608695652163786</v>
      </c>
      <c r="L84" s="104">
        <v>246417.9</v>
      </c>
      <c r="M84" s="106">
        <f t="shared" si="21"/>
        <v>0</v>
      </c>
      <c r="N84" s="110">
        <v>18431</v>
      </c>
      <c r="O84" s="107">
        <f t="shared" si="22"/>
        <v>13</v>
      </c>
      <c r="P84" s="111">
        <v>0</v>
      </c>
      <c r="Q84" s="28">
        <f t="shared" si="23"/>
        <v>0</v>
      </c>
      <c r="R84" s="84">
        <f t="shared" si="24"/>
        <v>62.799999999988358</v>
      </c>
      <c r="S84" s="79">
        <f t="shared" si="25"/>
        <v>115</v>
      </c>
      <c r="T84" s="34">
        <f t="shared" si="26"/>
        <v>0.54608695652163786</v>
      </c>
      <c r="U84" s="1">
        <v>18</v>
      </c>
    </row>
    <row r="85" spans="1:21" ht="24" customHeight="1">
      <c r="A85" s="81">
        <v>35</v>
      </c>
      <c r="B85" s="31" t="s">
        <v>164</v>
      </c>
      <c r="C85" s="103" t="s">
        <v>210</v>
      </c>
      <c r="D85" s="103" t="s">
        <v>194</v>
      </c>
      <c r="E85" s="178" t="s">
        <v>211</v>
      </c>
      <c r="F85" s="104">
        <v>245958.2</v>
      </c>
      <c r="G85" s="104">
        <v>245990.1</v>
      </c>
      <c r="H85" s="104">
        <f t="shared" si="19"/>
        <v>31.899999999994179</v>
      </c>
      <c r="I85" s="110">
        <v>18406</v>
      </c>
      <c r="J85" s="111">
        <v>77</v>
      </c>
      <c r="K85" s="10">
        <f t="shared" si="20"/>
        <v>0.41428571428563871</v>
      </c>
      <c r="L85" s="104">
        <v>245990.1</v>
      </c>
      <c r="M85" s="106">
        <f t="shared" si="21"/>
        <v>0</v>
      </c>
      <c r="N85" s="110">
        <v>18413</v>
      </c>
      <c r="O85" s="107">
        <f t="shared" si="22"/>
        <v>7</v>
      </c>
      <c r="P85" s="111">
        <v>0</v>
      </c>
      <c r="Q85" s="28">
        <f t="shared" si="23"/>
        <v>0</v>
      </c>
      <c r="R85" s="84">
        <f t="shared" si="24"/>
        <v>31.899999999994179</v>
      </c>
      <c r="S85" s="79">
        <f t="shared" si="25"/>
        <v>77</v>
      </c>
      <c r="T85" s="34">
        <f t="shared" si="26"/>
        <v>0.41428571428563871</v>
      </c>
      <c r="U85" s="1">
        <v>47</v>
      </c>
    </row>
    <row r="86" spans="1:21" ht="24" customHeight="1">
      <c r="A86" s="81">
        <v>36</v>
      </c>
      <c r="B86" s="31" t="s">
        <v>165</v>
      </c>
      <c r="C86" s="103" t="s">
        <v>210</v>
      </c>
      <c r="D86" s="103" t="s">
        <v>194</v>
      </c>
      <c r="E86" s="178" t="s">
        <v>211</v>
      </c>
      <c r="F86" s="104">
        <v>252708.3</v>
      </c>
      <c r="G86" s="104">
        <v>252708.3</v>
      </c>
      <c r="H86" s="104">
        <f t="shared" si="19"/>
        <v>0</v>
      </c>
      <c r="I86" s="110">
        <v>18046</v>
      </c>
      <c r="J86" s="111">
        <v>0</v>
      </c>
      <c r="K86" s="10">
        <f t="shared" si="20"/>
        <v>0</v>
      </c>
      <c r="L86" s="104">
        <v>252782.1</v>
      </c>
      <c r="M86" s="106">
        <f t="shared" si="21"/>
        <v>73.800000000017462</v>
      </c>
      <c r="N86" s="110">
        <v>18054</v>
      </c>
      <c r="O86" s="107">
        <f t="shared" si="22"/>
        <v>8</v>
      </c>
      <c r="P86" s="112">
        <v>119</v>
      </c>
      <c r="Q86" s="28">
        <f t="shared" si="23"/>
        <v>0.62016806722703754</v>
      </c>
      <c r="R86" s="84">
        <f t="shared" si="24"/>
        <v>73.800000000017462</v>
      </c>
      <c r="S86" s="79">
        <f t="shared" si="25"/>
        <v>119</v>
      </c>
      <c r="T86" s="34">
        <f t="shared" si="26"/>
        <v>0.62016806722703754</v>
      </c>
      <c r="U86" s="1">
        <v>24</v>
      </c>
    </row>
    <row r="87" spans="1:21" ht="24" customHeight="1">
      <c r="A87" s="81">
        <v>37</v>
      </c>
      <c r="B87" s="31" t="s">
        <v>83</v>
      </c>
      <c r="C87" s="103" t="s">
        <v>210</v>
      </c>
      <c r="D87" s="103" t="s">
        <v>194</v>
      </c>
      <c r="E87" s="178" t="s">
        <v>211</v>
      </c>
      <c r="F87" s="104">
        <v>261329.1</v>
      </c>
      <c r="G87" s="104">
        <v>261393</v>
      </c>
      <c r="H87" s="104">
        <f t="shared" si="19"/>
        <v>63.899999999994179</v>
      </c>
      <c r="I87" s="110">
        <v>18577</v>
      </c>
      <c r="J87" s="111">
        <v>120</v>
      </c>
      <c r="K87" s="10">
        <f t="shared" si="20"/>
        <v>0.53249999999995146</v>
      </c>
      <c r="L87" s="104">
        <v>261393</v>
      </c>
      <c r="M87" s="106">
        <f t="shared" si="21"/>
        <v>0</v>
      </c>
      <c r="N87" s="110">
        <v>18589</v>
      </c>
      <c r="O87" s="107">
        <f t="shared" si="22"/>
        <v>12</v>
      </c>
      <c r="P87" s="112">
        <v>0</v>
      </c>
      <c r="Q87" s="28">
        <f t="shared" si="23"/>
        <v>0</v>
      </c>
      <c r="R87" s="84">
        <f t="shared" si="24"/>
        <v>63.899999999994179</v>
      </c>
      <c r="S87" s="79">
        <f t="shared" si="25"/>
        <v>120</v>
      </c>
      <c r="T87" s="34">
        <f t="shared" si="26"/>
        <v>0.53249999999995146</v>
      </c>
      <c r="U87" s="1">
        <v>25</v>
      </c>
    </row>
    <row r="88" spans="1:21" ht="24" customHeight="1">
      <c r="A88" s="81">
        <v>38</v>
      </c>
      <c r="B88" s="31" t="s">
        <v>84</v>
      </c>
      <c r="C88" s="103" t="s">
        <v>210</v>
      </c>
      <c r="D88" s="103" t="s">
        <v>194</v>
      </c>
      <c r="E88" s="178" t="s">
        <v>211</v>
      </c>
      <c r="F88" s="104">
        <v>273056</v>
      </c>
      <c r="G88" s="104">
        <v>273117</v>
      </c>
      <c r="H88" s="104">
        <f t="shared" si="19"/>
        <v>61</v>
      </c>
      <c r="I88" s="110">
        <v>17941</v>
      </c>
      <c r="J88" s="111">
        <v>88</v>
      </c>
      <c r="K88" s="10">
        <f t="shared" si="20"/>
        <v>0.69318181818181823</v>
      </c>
      <c r="L88" s="104">
        <v>273190.2</v>
      </c>
      <c r="M88" s="106">
        <f t="shared" si="21"/>
        <v>73.200000000011642</v>
      </c>
      <c r="N88" s="110">
        <v>17959</v>
      </c>
      <c r="O88" s="107">
        <f t="shared" si="22"/>
        <v>18</v>
      </c>
      <c r="P88" s="112">
        <v>122</v>
      </c>
      <c r="Q88" s="28">
        <f t="shared" si="23"/>
        <v>0.60000000000009546</v>
      </c>
      <c r="R88" s="84">
        <f t="shared" si="24"/>
        <v>134.20000000001164</v>
      </c>
      <c r="S88" s="79">
        <f t="shared" si="25"/>
        <v>210</v>
      </c>
      <c r="T88" s="34">
        <f t="shared" si="26"/>
        <v>0.63904761904767449</v>
      </c>
      <c r="U88" s="1">
        <v>21</v>
      </c>
    </row>
    <row r="89" spans="1:21" ht="24" customHeight="1">
      <c r="A89" s="81">
        <v>39</v>
      </c>
      <c r="B89" s="31" t="s">
        <v>85</v>
      </c>
      <c r="C89" s="103" t="s">
        <v>210</v>
      </c>
      <c r="D89" s="103" t="s">
        <v>194</v>
      </c>
      <c r="E89" s="178" t="s">
        <v>211</v>
      </c>
      <c r="F89" s="35">
        <v>280879.5</v>
      </c>
      <c r="G89" s="35">
        <v>280958</v>
      </c>
      <c r="H89" s="104">
        <f t="shared" si="19"/>
        <v>78.5</v>
      </c>
      <c r="I89" s="110">
        <v>19865</v>
      </c>
      <c r="J89" s="111">
        <v>158</v>
      </c>
      <c r="K89" s="10">
        <f t="shared" si="20"/>
        <v>0.49683544303797467</v>
      </c>
      <c r="L89" s="35">
        <v>281046.5</v>
      </c>
      <c r="M89" s="106">
        <f t="shared" si="21"/>
        <v>88.5</v>
      </c>
      <c r="N89" s="110">
        <v>19891</v>
      </c>
      <c r="O89" s="107">
        <f t="shared" si="22"/>
        <v>26</v>
      </c>
      <c r="P89" s="112">
        <v>142</v>
      </c>
      <c r="Q89" s="28">
        <f t="shared" si="23"/>
        <v>0.62323943661971826</v>
      </c>
      <c r="R89" s="84">
        <f t="shared" si="24"/>
        <v>167</v>
      </c>
      <c r="S89" s="79">
        <f t="shared" si="25"/>
        <v>300</v>
      </c>
      <c r="T89" s="34">
        <f t="shared" si="26"/>
        <v>0.55666666666666664</v>
      </c>
      <c r="U89" s="1">
        <v>40</v>
      </c>
    </row>
    <row r="90" spans="1:21" ht="24" customHeight="1">
      <c r="A90" s="81">
        <v>40</v>
      </c>
      <c r="B90" s="31" t="s">
        <v>86</v>
      </c>
      <c r="C90" s="103" t="s">
        <v>210</v>
      </c>
      <c r="D90" s="103" t="s">
        <v>194</v>
      </c>
      <c r="E90" s="178" t="s">
        <v>211</v>
      </c>
      <c r="F90" s="104">
        <v>251655.1</v>
      </c>
      <c r="G90" s="104">
        <v>251655.1</v>
      </c>
      <c r="H90" s="104">
        <f t="shared" si="19"/>
        <v>0</v>
      </c>
      <c r="I90" s="110">
        <v>17919</v>
      </c>
      <c r="J90" s="111">
        <v>0</v>
      </c>
      <c r="K90" s="10">
        <f t="shared" si="20"/>
        <v>0</v>
      </c>
      <c r="L90" s="104">
        <v>251784.9</v>
      </c>
      <c r="M90" s="106">
        <f t="shared" si="21"/>
        <v>129.79999999998836</v>
      </c>
      <c r="N90" s="110">
        <v>17937</v>
      </c>
      <c r="O90" s="107">
        <f t="shared" si="22"/>
        <v>18</v>
      </c>
      <c r="P90" s="112">
        <v>220</v>
      </c>
      <c r="Q90" s="28">
        <f t="shared" si="23"/>
        <v>0.58999999999994712</v>
      </c>
      <c r="R90" s="84">
        <f t="shared" si="24"/>
        <v>129.79999999998836</v>
      </c>
      <c r="S90" s="79">
        <f t="shared" si="25"/>
        <v>220</v>
      </c>
      <c r="T90" s="34">
        <f t="shared" si="26"/>
        <v>0.58999999999994712</v>
      </c>
      <c r="U90" s="1">
        <v>39</v>
      </c>
    </row>
    <row r="91" spans="1:21" ht="24" customHeight="1">
      <c r="A91" s="81">
        <v>41</v>
      </c>
      <c r="B91" s="31" t="s">
        <v>87</v>
      </c>
      <c r="C91" s="103" t="s">
        <v>210</v>
      </c>
      <c r="D91" s="103" t="s">
        <v>194</v>
      </c>
      <c r="E91" s="178" t="s">
        <v>211</v>
      </c>
      <c r="F91" s="104">
        <v>280409.09999999998</v>
      </c>
      <c r="G91" s="104">
        <v>280497.2</v>
      </c>
      <c r="H91" s="104">
        <f t="shared" si="19"/>
        <v>88.100000000034925</v>
      </c>
      <c r="I91" s="110">
        <v>19393</v>
      </c>
      <c r="J91" s="111">
        <v>128</v>
      </c>
      <c r="K91" s="10">
        <f t="shared" si="20"/>
        <v>0.68828125000027285</v>
      </c>
      <c r="L91" s="104">
        <v>280586.3</v>
      </c>
      <c r="M91" s="106">
        <f t="shared" si="21"/>
        <v>89.099999999976717</v>
      </c>
      <c r="N91" s="110">
        <v>19412</v>
      </c>
      <c r="O91" s="107">
        <f t="shared" si="22"/>
        <v>19</v>
      </c>
      <c r="P91" s="111">
        <v>132</v>
      </c>
      <c r="Q91" s="28">
        <f t="shared" si="23"/>
        <v>0.67499999999982363</v>
      </c>
      <c r="R91" s="84">
        <f t="shared" si="24"/>
        <v>177.20000000001164</v>
      </c>
      <c r="S91" s="79">
        <f t="shared" si="25"/>
        <v>260</v>
      </c>
      <c r="T91" s="34">
        <f t="shared" si="26"/>
        <v>0.68153846153850628</v>
      </c>
      <c r="U91" s="1">
        <v>40</v>
      </c>
    </row>
    <row r="92" spans="1:21" ht="24" customHeight="1">
      <c r="A92" s="81">
        <v>42</v>
      </c>
      <c r="B92" s="31" t="s">
        <v>88</v>
      </c>
      <c r="C92" s="103" t="s">
        <v>210</v>
      </c>
      <c r="D92" s="103" t="s">
        <v>194</v>
      </c>
      <c r="E92" s="178" t="s">
        <v>211</v>
      </c>
      <c r="F92" s="104">
        <v>276293.5</v>
      </c>
      <c r="G92" s="104">
        <v>276342.7</v>
      </c>
      <c r="H92" s="104">
        <f t="shared" si="19"/>
        <v>49.200000000011642</v>
      </c>
      <c r="I92" s="110">
        <v>18787</v>
      </c>
      <c r="J92" s="111">
        <v>84</v>
      </c>
      <c r="K92" s="10">
        <f t="shared" si="20"/>
        <v>0.5857142857144243</v>
      </c>
      <c r="L92" s="104">
        <v>276421.3</v>
      </c>
      <c r="M92" s="106">
        <f t="shared" si="21"/>
        <v>78.599999999976717</v>
      </c>
      <c r="N92" s="110">
        <v>18806</v>
      </c>
      <c r="O92" s="107">
        <f t="shared" si="22"/>
        <v>19</v>
      </c>
      <c r="P92" s="111">
        <v>134</v>
      </c>
      <c r="Q92" s="28">
        <f t="shared" si="23"/>
        <v>0.58656716417893073</v>
      </c>
      <c r="R92" s="84">
        <f t="shared" si="24"/>
        <v>127.79999999998836</v>
      </c>
      <c r="S92" s="79">
        <f t="shared" si="25"/>
        <v>218</v>
      </c>
      <c r="T92" s="34">
        <f t="shared" si="26"/>
        <v>0.58623853211003829</v>
      </c>
      <c r="U92" s="1">
        <v>28</v>
      </c>
    </row>
    <row r="93" spans="1:21" ht="24" customHeight="1">
      <c r="A93" s="81">
        <v>43</v>
      </c>
      <c r="B93" s="31" t="s">
        <v>89</v>
      </c>
      <c r="C93" s="103" t="s">
        <v>210</v>
      </c>
      <c r="D93" s="103" t="s">
        <v>194</v>
      </c>
      <c r="E93" s="178" t="s">
        <v>211</v>
      </c>
      <c r="F93" s="35">
        <v>268812.40000000002</v>
      </c>
      <c r="G93" s="35">
        <v>268872.7</v>
      </c>
      <c r="H93" s="104">
        <f t="shared" si="19"/>
        <v>60.299999999988358</v>
      </c>
      <c r="I93" s="110">
        <v>18441</v>
      </c>
      <c r="J93" s="111">
        <v>107</v>
      </c>
      <c r="K93" s="10">
        <f t="shared" si="20"/>
        <v>0.56355140186905006</v>
      </c>
      <c r="L93" s="35">
        <v>268959.2</v>
      </c>
      <c r="M93" s="106">
        <f t="shared" si="21"/>
        <v>86.5</v>
      </c>
      <c r="N93" s="110">
        <v>18461</v>
      </c>
      <c r="O93" s="107">
        <f t="shared" si="22"/>
        <v>20</v>
      </c>
      <c r="P93" s="111">
        <v>140</v>
      </c>
      <c r="Q93" s="28">
        <f t="shared" si="23"/>
        <v>0.61785714285714288</v>
      </c>
      <c r="R93" s="84">
        <f t="shared" si="24"/>
        <v>146.79999999998836</v>
      </c>
      <c r="S93" s="79">
        <f t="shared" si="25"/>
        <v>247</v>
      </c>
      <c r="T93" s="34">
        <f t="shared" si="26"/>
        <v>0.59433198380562091</v>
      </c>
      <c r="U93" s="1">
        <v>38</v>
      </c>
    </row>
    <row r="94" spans="1:21" ht="24" customHeight="1">
      <c r="A94" s="81">
        <v>44</v>
      </c>
      <c r="B94" s="31" t="s">
        <v>90</v>
      </c>
      <c r="C94" s="103" t="s">
        <v>210</v>
      </c>
      <c r="D94" s="103" t="s">
        <v>194</v>
      </c>
      <c r="E94" s="178" t="s">
        <v>211</v>
      </c>
      <c r="F94" s="104">
        <v>245781.1</v>
      </c>
      <c r="G94" s="104">
        <v>245854.1</v>
      </c>
      <c r="H94" s="104">
        <f t="shared" si="19"/>
        <v>73</v>
      </c>
      <c r="I94" s="110">
        <v>17747</v>
      </c>
      <c r="J94" s="111">
        <v>140</v>
      </c>
      <c r="K94" s="10">
        <f>IFERROR(H94/J94,0)</f>
        <v>0.52142857142857146</v>
      </c>
      <c r="L94" s="104">
        <v>245854.1</v>
      </c>
      <c r="M94" s="106">
        <f t="shared" si="21"/>
        <v>0</v>
      </c>
      <c r="N94" s="110">
        <v>17759</v>
      </c>
      <c r="O94" s="107">
        <f t="shared" si="22"/>
        <v>12</v>
      </c>
      <c r="P94" s="111">
        <v>0</v>
      </c>
      <c r="Q94" s="28">
        <f t="shared" si="23"/>
        <v>0</v>
      </c>
      <c r="R94" s="84">
        <f t="shared" si="24"/>
        <v>73</v>
      </c>
      <c r="S94" s="79">
        <f t="shared" si="25"/>
        <v>140</v>
      </c>
      <c r="T94" s="34">
        <f t="shared" si="26"/>
        <v>0.52142857142857146</v>
      </c>
      <c r="U94" s="1">
        <v>25</v>
      </c>
    </row>
    <row r="95" spans="1:21" ht="24" customHeight="1">
      <c r="A95" s="81">
        <v>45</v>
      </c>
      <c r="B95" s="31" t="s">
        <v>91</v>
      </c>
      <c r="C95" s="103" t="s">
        <v>210</v>
      </c>
      <c r="D95" s="103" t="s">
        <v>194</v>
      </c>
      <c r="E95" s="178" t="s">
        <v>211</v>
      </c>
      <c r="F95" s="104">
        <v>254153.9</v>
      </c>
      <c r="G95" s="104">
        <v>254153.9</v>
      </c>
      <c r="H95" s="104">
        <f t="shared" si="19"/>
        <v>0</v>
      </c>
      <c r="I95" s="110">
        <v>17731</v>
      </c>
      <c r="J95" s="111">
        <v>0</v>
      </c>
      <c r="K95" s="10">
        <f t="shared" si="20"/>
        <v>0</v>
      </c>
      <c r="L95" s="104">
        <v>254153.9</v>
      </c>
      <c r="M95" s="106">
        <f t="shared" si="21"/>
        <v>0</v>
      </c>
      <c r="N95" s="110">
        <v>17731</v>
      </c>
      <c r="O95" s="107">
        <f t="shared" si="22"/>
        <v>0</v>
      </c>
      <c r="P95" s="111">
        <v>0</v>
      </c>
      <c r="Q95" s="28">
        <f t="shared" si="23"/>
        <v>0</v>
      </c>
      <c r="R95" s="84">
        <f t="shared" si="24"/>
        <v>0</v>
      </c>
      <c r="S95" s="79">
        <f t="shared" si="25"/>
        <v>0</v>
      </c>
      <c r="T95" s="34">
        <f t="shared" si="26"/>
        <v>0</v>
      </c>
      <c r="U95" s="1">
        <v>0</v>
      </c>
    </row>
    <row r="96" spans="1:21" ht="24" customHeight="1">
      <c r="A96" s="81">
        <v>46</v>
      </c>
      <c r="B96" s="31" t="s">
        <v>92</v>
      </c>
      <c r="C96" s="103" t="s">
        <v>210</v>
      </c>
      <c r="D96" s="103" t="s">
        <v>194</v>
      </c>
      <c r="E96" s="178" t="s">
        <v>211</v>
      </c>
      <c r="F96" s="35">
        <v>240450.2</v>
      </c>
      <c r="G96" s="35">
        <v>240490.9</v>
      </c>
      <c r="H96" s="104">
        <f>G96-F96</f>
        <v>40.699999999982538</v>
      </c>
      <c r="I96" s="110">
        <v>17453</v>
      </c>
      <c r="J96" s="111">
        <v>65</v>
      </c>
      <c r="K96" s="10">
        <f t="shared" si="20"/>
        <v>0.6261538461535775</v>
      </c>
      <c r="L96" s="35">
        <v>240572.1</v>
      </c>
      <c r="M96" s="106">
        <f>L96-G96</f>
        <v>81.200000000011642</v>
      </c>
      <c r="N96" s="110">
        <v>17467</v>
      </c>
      <c r="O96" s="107">
        <f t="shared" si="22"/>
        <v>14</v>
      </c>
      <c r="P96" s="111">
        <v>117</v>
      </c>
      <c r="Q96" s="28">
        <f t="shared" si="23"/>
        <v>0.69401709401719347</v>
      </c>
      <c r="R96" s="84">
        <f t="shared" si="24"/>
        <v>121.89999999999418</v>
      </c>
      <c r="S96" s="79">
        <f>J96+P96</f>
        <v>182</v>
      </c>
      <c r="T96" s="34">
        <f t="shared" si="26"/>
        <v>0.66978021978018776</v>
      </c>
      <c r="U96" s="1">
        <v>38</v>
      </c>
    </row>
    <row r="97" spans="1:22" ht="24" customHeight="1">
      <c r="A97" s="81">
        <v>47</v>
      </c>
      <c r="B97" s="31" t="s">
        <v>93</v>
      </c>
      <c r="C97" s="103" t="s">
        <v>210</v>
      </c>
      <c r="D97" s="103" t="s">
        <v>194</v>
      </c>
      <c r="E97" s="178" t="s">
        <v>211</v>
      </c>
      <c r="F97" s="104">
        <v>248842</v>
      </c>
      <c r="G97" s="104">
        <v>248918.39999999999</v>
      </c>
      <c r="H97" s="104">
        <f>G97-F97</f>
        <v>76.399999999994179</v>
      </c>
      <c r="I97" s="110">
        <v>16899</v>
      </c>
      <c r="J97" s="111">
        <v>145</v>
      </c>
      <c r="K97" s="10">
        <f t="shared" si="20"/>
        <v>0.52689655172409777</v>
      </c>
      <c r="L97" s="104">
        <v>249015.6</v>
      </c>
      <c r="M97" s="106">
        <f>L97-G97</f>
        <v>97.200000000011642</v>
      </c>
      <c r="N97" s="110">
        <v>16919</v>
      </c>
      <c r="O97" s="107">
        <f t="shared" si="22"/>
        <v>20</v>
      </c>
      <c r="P97" s="111">
        <v>141</v>
      </c>
      <c r="Q97" s="28">
        <f t="shared" si="23"/>
        <v>0.68936170212774217</v>
      </c>
      <c r="R97" s="84">
        <f t="shared" si="24"/>
        <v>173.60000000000582</v>
      </c>
      <c r="S97" s="79">
        <f t="shared" si="25"/>
        <v>286</v>
      </c>
      <c r="T97" s="34">
        <f t="shared" si="26"/>
        <v>0.60699300699302738</v>
      </c>
      <c r="U97" s="1">
        <v>28</v>
      </c>
      <c r="V97" t="s">
        <v>94</v>
      </c>
    </row>
    <row r="98" spans="1:22" ht="24" customHeight="1">
      <c r="A98" s="81">
        <v>48</v>
      </c>
      <c r="B98" s="31" t="s">
        <v>95</v>
      </c>
      <c r="C98" s="103" t="s">
        <v>210</v>
      </c>
      <c r="D98" s="103" t="s">
        <v>194</v>
      </c>
      <c r="E98" s="178" t="s">
        <v>211</v>
      </c>
      <c r="F98" s="104">
        <v>245702.3</v>
      </c>
      <c r="G98" s="104">
        <v>245765.7</v>
      </c>
      <c r="H98" s="104">
        <f t="shared" si="19"/>
        <v>63.400000000023283</v>
      </c>
      <c r="I98" s="110">
        <v>18318</v>
      </c>
      <c r="J98" s="111">
        <v>111</v>
      </c>
      <c r="K98" s="10">
        <f t="shared" si="20"/>
        <v>0.57117117117138094</v>
      </c>
      <c r="L98" s="104">
        <v>245864.5</v>
      </c>
      <c r="M98" s="106">
        <f t="shared" si="21"/>
        <v>98.799999999988358</v>
      </c>
      <c r="N98" s="110">
        <v>18338</v>
      </c>
      <c r="O98" s="107">
        <f t="shared" si="22"/>
        <v>20</v>
      </c>
      <c r="P98" s="111">
        <v>156</v>
      </c>
      <c r="Q98" s="28">
        <f t="shared" si="23"/>
        <v>0.6333333333332587</v>
      </c>
      <c r="R98" s="84">
        <f t="shared" si="24"/>
        <v>162.20000000001164</v>
      </c>
      <c r="S98" s="79">
        <f t="shared" si="25"/>
        <v>267</v>
      </c>
      <c r="T98" s="34">
        <f t="shared" si="26"/>
        <v>0.60749063670416348</v>
      </c>
      <c r="U98" s="1">
        <v>32</v>
      </c>
    </row>
    <row r="99" spans="1:22" ht="24" customHeight="1">
      <c r="A99" s="81">
        <v>49</v>
      </c>
      <c r="B99" s="31" t="s">
        <v>96</v>
      </c>
      <c r="C99" s="103" t="s">
        <v>210</v>
      </c>
      <c r="D99" s="103" t="s">
        <v>194</v>
      </c>
      <c r="E99" s="178" t="s">
        <v>211</v>
      </c>
      <c r="F99" s="35">
        <v>250459.5</v>
      </c>
      <c r="G99" s="35">
        <v>250520.3</v>
      </c>
      <c r="H99" s="104">
        <f t="shared" si="19"/>
        <v>60.799999999988358</v>
      </c>
      <c r="I99" s="110">
        <v>18029</v>
      </c>
      <c r="J99" s="111">
        <v>110</v>
      </c>
      <c r="K99" s="10">
        <f>IFERROR(H99/J99,0)</f>
        <v>0.55272727272716693</v>
      </c>
      <c r="L99" s="35">
        <v>250562.8</v>
      </c>
      <c r="M99" s="106">
        <f t="shared" si="21"/>
        <v>42.5</v>
      </c>
      <c r="N99" s="110">
        <v>18045</v>
      </c>
      <c r="O99" s="107">
        <f t="shared" si="22"/>
        <v>16</v>
      </c>
      <c r="P99" s="111">
        <v>74</v>
      </c>
      <c r="Q99" s="28">
        <f t="shared" si="23"/>
        <v>0.57432432432432434</v>
      </c>
      <c r="R99" s="84">
        <f t="shared" si="24"/>
        <v>103.29999999998836</v>
      </c>
      <c r="S99" s="79">
        <f t="shared" si="25"/>
        <v>184</v>
      </c>
      <c r="T99" s="34">
        <f t="shared" si="26"/>
        <v>0.56141304347819765</v>
      </c>
      <c r="U99" s="1">
        <v>21</v>
      </c>
    </row>
    <row r="100" spans="1:22" ht="24" customHeight="1">
      <c r="A100" s="81">
        <v>50</v>
      </c>
      <c r="B100" s="31" t="s">
        <v>97</v>
      </c>
      <c r="C100" s="103" t="s">
        <v>210</v>
      </c>
      <c r="D100" s="103" t="s">
        <v>194</v>
      </c>
      <c r="E100" s="178" t="s">
        <v>211</v>
      </c>
      <c r="F100" s="104">
        <v>239197.7</v>
      </c>
      <c r="G100" s="104">
        <v>239256.4</v>
      </c>
      <c r="H100" s="104">
        <f t="shared" si="19"/>
        <v>58.699999999982538</v>
      </c>
      <c r="I100" s="110">
        <v>16542</v>
      </c>
      <c r="J100" s="111">
        <v>120</v>
      </c>
      <c r="K100" s="10">
        <f t="shared" si="20"/>
        <v>0.48916666666652114</v>
      </c>
      <c r="L100" s="104">
        <v>239321.7</v>
      </c>
      <c r="M100" s="106">
        <f t="shared" si="21"/>
        <v>65.300000000017462</v>
      </c>
      <c r="N100" s="110">
        <v>16560</v>
      </c>
      <c r="O100" s="107">
        <f t="shared" si="22"/>
        <v>18</v>
      </c>
      <c r="P100" s="111">
        <v>98</v>
      </c>
      <c r="Q100" s="28">
        <f t="shared" si="23"/>
        <v>0.66632653061242308</v>
      </c>
      <c r="R100" s="84">
        <f t="shared" si="24"/>
        <v>124</v>
      </c>
      <c r="S100" s="79">
        <f t="shared" si="25"/>
        <v>218</v>
      </c>
      <c r="T100" s="34">
        <f t="shared" si="26"/>
        <v>0.56880733944954132</v>
      </c>
      <c r="U100" s="1">
        <v>39</v>
      </c>
    </row>
    <row r="101" spans="1:22" ht="24" customHeight="1">
      <c r="A101" s="81">
        <v>51</v>
      </c>
      <c r="B101" s="121" t="s">
        <v>166</v>
      </c>
      <c r="C101" s="103" t="s">
        <v>210</v>
      </c>
      <c r="D101" s="103" t="s">
        <v>194</v>
      </c>
      <c r="E101" s="178" t="s">
        <v>222</v>
      </c>
      <c r="F101" s="104">
        <v>206719</v>
      </c>
      <c r="G101" s="104">
        <v>206719</v>
      </c>
      <c r="H101" s="118">
        <f t="shared" si="19"/>
        <v>0</v>
      </c>
      <c r="I101" s="110">
        <v>17606</v>
      </c>
      <c r="J101" s="111">
        <v>0</v>
      </c>
      <c r="K101" s="55">
        <f t="shared" si="20"/>
        <v>0</v>
      </c>
      <c r="L101" s="104">
        <v>206719</v>
      </c>
      <c r="M101" s="119">
        <f t="shared" si="21"/>
        <v>0</v>
      </c>
      <c r="N101" s="110">
        <v>17606</v>
      </c>
      <c r="O101" s="120">
        <f t="shared" si="22"/>
        <v>0</v>
      </c>
      <c r="P101" s="111">
        <v>0</v>
      </c>
      <c r="Q101" s="28">
        <f t="shared" si="23"/>
        <v>0</v>
      </c>
      <c r="R101" s="58">
        <f t="shared" si="24"/>
        <v>0</v>
      </c>
      <c r="S101" s="79">
        <f t="shared" si="25"/>
        <v>0</v>
      </c>
      <c r="T101" s="34">
        <f t="shared" si="26"/>
        <v>0</v>
      </c>
      <c r="U101" s="1">
        <v>13</v>
      </c>
    </row>
    <row r="102" spans="1:22" ht="24" customHeight="1">
      <c r="A102" s="81">
        <v>52</v>
      </c>
      <c r="B102" s="121" t="s">
        <v>167</v>
      </c>
      <c r="C102" s="103" t="s">
        <v>210</v>
      </c>
      <c r="D102" s="103" t="s">
        <v>194</v>
      </c>
      <c r="E102" s="178" t="s">
        <v>222</v>
      </c>
      <c r="F102" s="104">
        <v>186406</v>
      </c>
      <c r="G102" s="104">
        <v>186406</v>
      </c>
      <c r="H102" s="118">
        <f t="shared" si="19"/>
        <v>0</v>
      </c>
      <c r="I102" s="110">
        <v>16317</v>
      </c>
      <c r="J102" s="111">
        <v>0</v>
      </c>
      <c r="K102" s="55">
        <f t="shared" si="20"/>
        <v>0</v>
      </c>
      <c r="L102" s="104">
        <v>186406</v>
      </c>
      <c r="M102" s="119">
        <f t="shared" si="21"/>
        <v>0</v>
      </c>
      <c r="N102" s="110">
        <v>16317</v>
      </c>
      <c r="O102" s="120">
        <f t="shared" si="22"/>
        <v>0</v>
      </c>
      <c r="P102" s="111">
        <v>0</v>
      </c>
      <c r="Q102" s="28">
        <f t="shared" si="23"/>
        <v>0</v>
      </c>
      <c r="R102" s="58">
        <f t="shared" si="24"/>
        <v>0</v>
      </c>
      <c r="S102" s="79">
        <f t="shared" si="25"/>
        <v>0</v>
      </c>
      <c r="T102" s="34">
        <f t="shared" si="26"/>
        <v>0</v>
      </c>
      <c r="U102" s="1">
        <v>0</v>
      </c>
    </row>
    <row r="103" spans="1:22" ht="24" customHeight="1">
      <c r="A103" s="81">
        <v>53</v>
      </c>
      <c r="B103" s="121" t="s">
        <v>168</v>
      </c>
      <c r="C103" s="103" t="s">
        <v>210</v>
      </c>
      <c r="D103" s="103" t="s">
        <v>194</v>
      </c>
      <c r="E103" s="178" t="s">
        <v>222</v>
      </c>
      <c r="F103" s="104">
        <v>193670</v>
      </c>
      <c r="G103" s="104">
        <v>193670</v>
      </c>
      <c r="H103" s="118">
        <f t="shared" si="19"/>
        <v>0</v>
      </c>
      <c r="I103" s="110">
        <v>17282</v>
      </c>
      <c r="J103" s="111">
        <v>0</v>
      </c>
      <c r="K103" s="55">
        <f t="shared" si="20"/>
        <v>0</v>
      </c>
      <c r="L103" s="104">
        <v>193670</v>
      </c>
      <c r="M103" s="119">
        <f t="shared" si="21"/>
        <v>0</v>
      </c>
      <c r="N103" s="110">
        <v>17282</v>
      </c>
      <c r="O103" s="120">
        <f t="shared" si="22"/>
        <v>0</v>
      </c>
      <c r="P103" s="111">
        <v>0</v>
      </c>
      <c r="Q103" s="28">
        <f t="shared" si="23"/>
        <v>0</v>
      </c>
      <c r="R103" s="58">
        <f t="shared" si="24"/>
        <v>0</v>
      </c>
      <c r="S103" s="79">
        <f t="shared" si="25"/>
        <v>0</v>
      </c>
      <c r="T103" s="34">
        <f t="shared" si="26"/>
        <v>0</v>
      </c>
      <c r="U103" s="1">
        <v>11</v>
      </c>
    </row>
    <row r="104" spans="1:22" ht="24" customHeight="1">
      <c r="A104" s="81">
        <v>54</v>
      </c>
      <c r="B104" s="121" t="s">
        <v>169</v>
      </c>
      <c r="C104" s="103" t="s">
        <v>210</v>
      </c>
      <c r="D104" s="103" t="s">
        <v>194</v>
      </c>
      <c r="E104" s="178" t="s">
        <v>222</v>
      </c>
      <c r="F104" s="104">
        <v>197762</v>
      </c>
      <c r="G104" s="104">
        <v>197762</v>
      </c>
      <c r="H104" s="118">
        <f t="shared" si="19"/>
        <v>0</v>
      </c>
      <c r="I104" s="110">
        <v>16765</v>
      </c>
      <c r="J104" s="111">
        <v>0</v>
      </c>
      <c r="K104" s="55">
        <f t="shared" si="20"/>
        <v>0</v>
      </c>
      <c r="L104" s="104">
        <v>197817</v>
      </c>
      <c r="M104" s="119">
        <f t="shared" si="21"/>
        <v>55</v>
      </c>
      <c r="N104" s="110">
        <v>16765</v>
      </c>
      <c r="O104" s="120">
        <f t="shared" si="22"/>
        <v>0</v>
      </c>
      <c r="P104" s="111">
        <v>100</v>
      </c>
      <c r="Q104" s="28">
        <f t="shared" si="23"/>
        <v>0.55000000000000004</v>
      </c>
      <c r="R104" s="58">
        <f t="shared" si="24"/>
        <v>55</v>
      </c>
      <c r="S104" s="79">
        <f t="shared" si="25"/>
        <v>100</v>
      </c>
      <c r="T104" s="34">
        <f t="shared" si="26"/>
        <v>0.55000000000000004</v>
      </c>
      <c r="U104" s="1">
        <v>13</v>
      </c>
    </row>
    <row r="105" spans="1:22" ht="24" customHeight="1">
      <c r="A105" s="81">
        <v>55</v>
      </c>
      <c r="B105" s="121" t="s">
        <v>104</v>
      </c>
      <c r="C105" s="103" t="s">
        <v>210</v>
      </c>
      <c r="D105" s="31" t="s">
        <v>194</v>
      </c>
      <c r="E105" s="31" t="s">
        <v>212</v>
      </c>
      <c r="F105" s="104">
        <v>72938.399999999994</v>
      </c>
      <c r="G105" s="104">
        <v>72938.399999999994</v>
      </c>
      <c r="H105" s="118">
        <f t="shared" si="19"/>
        <v>0</v>
      </c>
      <c r="I105" s="110">
        <v>4933</v>
      </c>
      <c r="J105" s="111">
        <v>0</v>
      </c>
      <c r="K105" s="78">
        <f t="shared" si="20"/>
        <v>0</v>
      </c>
      <c r="L105" s="104">
        <v>72973.899999999994</v>
      </c>
      <c r="M105" s="112">
        <f t="shared" si="21"/>
        <v>35.5</v>
      </c>
      <c r="N105" s="110">
        <v>4937</v>
      </c>
      <c r="O105" s="107">
        <f t="shared" si="22"/>
        <v>4</v>
      </c>
      <c r="P105" s="111">
        <v>57.59</v>
      </c>
      <c r="Q105" s="28">
        <f t="shared" si="23"/>
        <v>0.61642646292759151</v>
      </c>
      <c r="R105" s="58">
        <f t="shared" si="24"/>
        <v>35.5</v>
      </c>
      <c r="S105" s="79">
        <f t="shared" si="25"/>
        <v>57.59</v>
      </c>
      <c r="T105" s="34">
        <f t="shared" si="26"/>
        <v>0.61642646292759151</v>
      </c>
      <c r="U105" s="1">
        <v>35</v>
      </c>
    </row>
    <row r="106" spans="1:22" ht="24" customHeight="1">
      <c r="A106" s="81">
        <v>56</v>
      </c>
      <c r="B106" s="121" t="s">
        <v>105</v>
      </c>
      <c r="C106" s="103" t="s">
        <v>210</v>
      </c>
      <c r="D106" s="31" t="s">
        <v>194</v>
      </c>
      <c r="E106" s="31" t="s">
        <v>212</v>
      </c>
      <c r="F106" s="35">
        <v>71785.7</v>
      </c>
      <c r="G106" s="35">
        <v>71785.7</v>
      </c>
      <c r="H106" s="122">
        <f t="shared" si="19"/>
        <v>0</v>
      </c>
      <c r="I106" s="110">
        <v>4950</v>
      </c>
      <c r="J106" s="111">
        <v>0</v>
      </c>
      <c r="K106" s="78">
        <f t="shared" si="20"/>
        <v>0</v>
      </c>
      <c r="L106" s="35">
        <v>71827.8</v>
      </c>
      <c r="M106" s="112">
        <f t="shared" si="21"/>
        <v>42.100000000005821</v>
      </c>
      <c r="N106" s="110">
        <v>4956</v>
      </c>
      <c r="O106" s="107">
        <f t="shared" si="22"/>
        <v>6</v>
      </c>
      <c r="P106" s="111">
        <v>80.27</v>
      </c>
      <c r="Q106" s="28">
        <f t="shared" si="23"/>
        <v>0.5244798804037103</v>
      </c>
      <c r="R106" s="58">
        <f t="shared" si="24"/>
        <v>42.100000000005821</v>
      </c>
      <c r="S106" s="79">
        <f t="shared" si="25"/>
        <v>80.27</v>
      </c>
      <c r="T106" s="34">
        <f t="shared" si="26"/>
        <v>0.5244798804037103</v>
      </c>
      <c r="U106" s="1">
        <v>43</v>
      </c>
    </row>
    <row r="107" spans="1:22" ht="24" customHeight="1">
      <c r="A107" s="81">
        <v>57</v>
      </c>
      <c r="B107" s="121" t="s">
        <v>106</v>
      </c>
      <c r="C107" s="103" t="s">
        <v>210</v>
      </c>
      <c r="D107" s="31" t="s">
        <v>194</v>
      </c>
      <c r="E107" s="31" t="s">
        <v>212</v>
      </c>
      <c r="F107" s="104">
        <v>69639.600000000006</v>
      </c>
      <c r="G107" s="104">
        <v>69639.600000000006</v>
      </c>
      <c r="H107" s="122">
        <f t="shared" si="19"/>
        <v>0</v>
      </c>
      <c r="I107" s="110">
        <v>4972</v>
      </c>
      <c r="J107" s="111">
        <v>0</v>
      </c>
      <c r="K107" s="78">
        <f t="shared" si="20"/>
        <v>0</v>
      </c>
      <c r="L107" s="104">
        <v>69672.7</v>
      </c>
      <c r="M107" s="112">
        <f t="shared" si="21"/>
        <v>33.099999999991269</v>
      </c>
      <c r="N107" s="110">
        <v>4978</v>
      </c>
      <c r="O107" s="107">
        <f t="shared" si="22"/>
        <v>6</v>
      </c>
      <c r="P107" s="111">
        <v>63.91</v>
      </c>
      <c r="Q107" s="28">
        <f t="shared" si="23"/>
        <v>0.51791581912050177</v>
      </c>
      <c r="R107" s="58">
        <f t="shared" si="24"/>
        <v>33.099999999991269</v>
      </c>
      <c r="S107" s="79">
        <f t="shared" si="25"/>
        <v>63.91</v>
      </c>
      <c r="T107" s="34">
        <f t="shared" si="26"/>
        <v>0.51791581912050177</v>
      </c>
      <c r="U107" s="1">
        <v>43</v>
      </c>
    </row>
    <row r="108" spans="1:22" ht="24" customHeight="1">
      <c r="A108" s="81">
        <v>58</v>
      </c>
      <c r="B108" s="121" t="s">
        <v>107</v>
      </c>
      <c r="C108" s="103" t="s">
        <v>210</v>
      </c>
      <c r="D108" s="31" t="s">
        <v>194</v>
      </c>
      <c r="E108" s="31" t="s">
        <v>212</v>
      </c>
      <c r="F108" s="104">
        <v>71915.899999999994</v>
      </c>
      <c r="G108" s="104">
        <v>71915.899999999994</v>
      </c>
      <c r="H108" s="122">
        <f t="shared" si="19"/>
        <v>0</v>
      </c>
      <c r="I108" s="110">
        <v>4974</v>
      </c>
      <c r="J108" s="111">
        <v>0</v>
      </c>
      <c r="K108" s="78">
        <f t="shared" si="20"/>
        <v>0</v>
      </c>
      <c r="L108" s="104">
        <v>71962.7</v>
      </c>
      <c r="M108" s="112">
        <f t="shared" si="21"/>
        <v>46.80000000000291</v>
      </c>
      <c r="N108" s="110">
        <v>4979</v>
      </c>
      <c r="O108" s="107">
        <f t="shared" si="22"/>
        <v>5</v>
      </c>
      <c r="P108" s="111">
        <v>72.569999999999993</v>
      </c>
      <c r="Q108" s="28">
        <f t="shared" si="23"/>
        <v>0.64489458453910586</v>
      </c>
      <c r="R108" s="58">
        <f t="shared" si="24"/>
        <v>46.80000000000291</v>
      </c>
      <c r="S108" s="79">
        <f t="shared" si="25"/>
        <v>72.569999999999993</v>
      </c>
      <c r="T108" s="34">
        <f t="shared" si="26"/>
        <v>0.64489458453910586</v>
      </c>
      <c r="U108" s="1">
        <v>33</v>
      </c>
    </row>
    <row r="109" spans="1:22" ht="24" customHeight="1">
      <c r="A109" s="81">
        <v>59</v>
      </c>
      <c r="B109" s="121" t="s">
        <v>108</v>
      </c>
      <c r="C109" s="103" t="s">
        <v>210</v>
      </c>
      <c r="D109" s="31" t="s">
        <v>194</v>
      </c>
      <c r="E109" s="31" t="s">
        <v>212</v>
      </c>
      <c r="F109" s="104">
        <v>71015.199999999997</v>
      </c>
      <c r="G109" s="104">
        <v>71015.199999999997</v>
      </c>
      <c r="H109" s="122">
        <f t="shared" si="19"/>
        <v>0</v>
      </c>
      <c r="I109" s="110">
        <v>4941</v>
      </c>
      <c r="J109" s="111">
        <v>0</v>
      </c>
      <c r="K109" s="78">
        <f t="shared" si="20"/>
        <v>0</v>
      </c>
      <c r="L109" s="104">
        <v>71053.5</v>
      </c>
      <c r="M109" s="112">
        <f t="shared" si="21"/>
        <v>38.30000000000291</v>
      </c>
      <c r="N109" s="110">
        <v>4947</v>
      </c>
      <c r="O109" s="107">
        <f t="shared" si="22"/>
        <v>6</v>
      </c>
      <c r="P109" s="111">
        <v>53.29</v>
      </c>
      <c r="Q109" s="28">
        <f t="shared" si="23"/>
        <v>0.71870895102276056</v>
      </c>
      <c r="R109" s="58">
        <f t="shared" si="24"/>
        <v>38.30000000000291</v>
      </c>
      <c r="S109" s="79">
        <f t="shared" si="25"/>
        <v>53.29</v>
      </c>
      <c r="T109" s="34">
        <f t="shared" si="26"/>
        <v>0.71870895102276056</v>
      </c>
      <c r="U109" s="1">
        <v>36</v>
      </c>
    </row>
    <row r="110" spans="1:22" ht="24" customHeight="1">
      <c r="A110" s="81">
        <v>60</v>
      </c>
      <c r="B110" s="121" t="s">
        <v>109</v>
      </c>
      <c r="C110" s="103" t="s">
        <v>210</v>
      </c>
      <c r="D110" s="31" t="s">
        <v>194</v>
      </c>
      <c r="E110" s="31" t="s">
        <v>212</v>
      </c>
      <c r="F110" s="104">
        <v>72883.899999999994</v>
      </c>
      <c r="G110" s="104">
        <v>72883.899999999994</v>
      </c>
      <c r="H110" s="118">
        <f t="shared" si="19"/>
        <v>0</v>
      </c>
      <c r="I110" s="110">
        <v>5030</v>
      </c>
      <c r="J110" s="111">
        <v>0</v>
      </c>
      <c r="K110" s="55">
        <f t="shared" si="20"/>
        <v>0</v>
      </c>
      <c r="L110" s="104">
        <v>72925.2</v>
      </c>
      <c r="M110" s="119">
        <f t="shared" si="21"/>
        <v>41.30000000000291</v>
      </c>
      <c r="N110" s="110">
        <v>5035</v>
      </c>
      <c r="O110" s="120">
        <f t="shared" si="22"/>
        <v>5</v>
      </c>
      <c r="P110" s="111">
        <v>58.62</v>
      </c>
      <c r="Q110" s="28">
        <f t="shared" si="23"/>
        <v>0.70453770044358432</v>
      </c>
      <c r="R110" s="58">
        <f t="shared" si="24"/>
        <v>41.30000000000291</v>
      </c>
      <c r="S110" s="79">
        <f t="shared" si="25"/>
        <v>58.62</v>
      </c>
      <c r="T110" s="34">
        <f t="shared" si="26"/>
        <v>0.70453770044358432</v>
      </c>
      <c r="U110" s="1">
        <v>44</v>
      </c>
    </row>
    <row r="111" spans="1:22" ht="24" customHeight="1">
      <c r="A111" s="81">
        <v>61</v>
      </c>
      <c r="B111" s="121" t="s">
        <v>176</v>
      </c>
      <c r="C111" s="103" t="s">
        <v>210</v>
      </c>
      <c r="D111" s="31" t="s">
        <v>194</v>
      </c>
      <c r="E111" s="31" t="s">
        <v>212</v>
      </c>
      <c r="F111" s="104">
        <v>54333</v>
      </c>
      <c r="G111" s="104">
        <v>54333</v>
      </c>
      <c r="H111" s="118">
        <f t="shared" si="19"/>
        <v>0</v>
      </c>
      <c r="I111" s="110">
        <v>4380</v>
      </c>
      <c r="J111" s="111">
        <v>0</v>
      </c>
      <c r="K111" s="55">
        <f t="shared" si="20"/>
        <v>0</v>
      </c>
      <c r="L111" s="104">
        <v>54386.9</v>
      </c>
      <c r="M111" s="119">
        <f t="shared" si="21"/>
        <v>53.900000000001455</v>
      </c>
      <c r="N111" s="110">
        <v>4386</v>
      </c>
      <c r="O111" s="120">
        <f t="shared" si="22"/>
        <v>6</v>
      </c>
      <c r="P111" s="111">
        <v>73.819999999999993</v>
      </c>
      <c r="Q111" s="28">
        <f t="shared" si="23"/>
        <v>0.73015442969386968</v>
      </c>
      <c r="R111" s="58">
        <f t="shared" si="24"/>
        <v>53.900000000001455</v>
      </c>
      <c r="S111" s="79">
        <f t="shared" si="25"/>
        <v>73.819999999999993</v>
      </c>
      <c r="T111" s="34">
        <f t="shared" si="26"/>
        <v>0.73015442969386968</v>
      </c>
      <c r="U111" s="1">
        <v>38</v>
      </c>
    </row>
    <row r="112" spans="1:22" ht="24" customHeight="1">
      <c r="A112" s="81">
        <v>62</v>
      </c>
      <c r="B112" s="121" t="s">
        <v>177</v>
      </c>
      <c r="C112" s="103" t="s">
        <v>210</v>
      </c>
      <c r="D112" s="31" t="s">
        <v>194</v>
      </c>
      <c r="E112" s="31" t="s">
        <v>212</v>
      </c>
      <c r="F112" s="104">
        <v>53673.4</v>
      </c>
      <c r="G112" s="104">
        <v>53673.4</v>
      </c>
      <c r="H112" s="118">
        <f t="shared" si="19"/>
        <v>0</v>
      </c>
      <c r="I112" s="110">
        <v>4434</v>
      </c>
      <c r="J112" s="111">
        <v>0</v>
      </c>
      <c r="K112" s="55">
        <f t="shared" si="20"/>
        <v>0</v>
      </c>
      <c r="L112" s="104">
        <v>53704.6</v>
      </c>
      <c r="M112" s="119">
        <f t="shared" si="21"/>
        <v>31.19999999999709</v>
      </c>
      <c r="N112" s="110">
        <v>4439</v>
      </c>
      <c r="O112" s="120">
        <f t="shared" si="22"/>
        <v>5</v>
      </c>
      <c r="P112" s="111">
        <v>65.739999999999995</v>
      </c>
      <c r="Q112" s="28">
        <f t="shared" si="23"/>
        <v>0.47459689686639933</v>
      </c>
      <c r="R112" s="58">
        <f t="shared" si="24"/>
        <v>31.19999999999709</v>
      </c>
      <c r="S112" s="79">
        <f t="shared" si="25"/>
        <v>65.739999999999995</v>
      </c>
      <c r="T112" s="34">
        <f t="shared" si="26"/>
        <v>0.47459689686639933</v>
      </c>
      <c r="U112" s="1">
        <v>30</v>
      </c>
    </row>
    <row r="113" spans="1:21" ht="24" customHeight="1">
      <c r="A113" s="81">
        <v>63</v>
      </c>
      <c r="B113" s="121" t="s">
        <v>178</v>
      </c>
      <c r="C113" s="103" t="s">
        <v>210</v>
      </c>
      <c r="D113" s="31" t="s">
        <v>194</v>
      </c>
      <c r="E113" s="31" t="s">
        <v>212</v>
      </c>
      <c r="F113" s="104">
        <v>52234.6</v>
      </c>
      <c r="G113" s="104">
        <v>52234.6</v>
      </c>
      <c r="H113" s="118">
        <f t="shared" si="19"/>
        <v>0</v>
      </c>
      <c r="I113" s="110">
        <v>4176</v>
      </c>
      <c r="J113" s="111">
        <v>0</v>
      </c>
      <c r="K113" s="55">
        <f t="shared" si="20"/>
        <v>0</v>
      </c>
      <c r="L113" s="104">
        <v>52261.3</v>
      </c>
      <c r="M113" s="119">
        <f t="shared" si="21"/>
        <v>26.700000000004366</v>
      </c>
      <c r="N113" s="110">
        <v>4180</v>
      </c>
      <c r="O113" s="120">
        <f t="shared" si="22"/>
        <v>4</v>
      </c>
      <c r="P113" s="111">
        <v>44.7</v>
      </c>
      <c r="Q113" s="28">
        <f t="shared" si="23"/>
        <v>0.59731543624170835</v>
      </c>
      <c r="R113" s="58">
        <f t="shared" si="24"/>
        <v>26.700000000004366</v>
      </c>
      <c r="S113" s="79">
        <f t="shared" si="25"/>
        <v>44.7</v>
      </c>
      <c r="T113" s="34">
        <f t="shared" si="26"/>
        <v>0.59731543624170835</v>
      </c>
      <c r="U113" s="1">
        <v>46</v>
      </c>
    </row>
    <row r="114" spans="1:21" ht="24" customHeight="1">
      <c r="A114" s="81">
        <v>64</v>
      </c>
      <c r="B114" s="121" t="s">
        <v>179</v>
      </c>
      <c r="C114" s="103" t="s">
        <v>210</v>
      </c>
      <c r="D114" s="31" t="s">
        <v>194</v>
      </c>
      <c r="E114" s="31" t="s">
        <v>212</v>
      </c>
      <c r="F114" s="104">
        <v>53033.7</v>
      </c>
      <c r="G114" s="104">
        <v>53033.7</v>
      </c>
      <c r="H114" s="118">
        <f t="shared" si="19"/>
        <v>0</v>
      </c>
      <c r="I114" s="110">
        <v>4345</v>
      </c>
      <c r="J114" s="111">
        <v>0</v>
      </c>
      <c r="K114" s="55">
        <f t="shared" si="20"/>
        <v>0</v>
      </c>
      <c r="L114" s="104">
        <v>53052.3</v>
      </c>
      <c r="M114" s="119">
        <f t="shared" si="21"/>
        <v>18.600000000005821</v>
      </c>
      <c r="N114" s="110">
        <v>4348</v>
      </c>
      <c r="O114" s="120">
        <f t="shared" si="22"/>
        <v>3</v>
      </c>
      <c r="P114" s="111">
        <v>25.75</v>
      </c>
      <c r="Q114" s="28">
        <f t="shared" si="23"/>
        <v>0.72233009708760465</v>
      </c>
      <c r="R114" s="58">
        <f t="shared" si="24"/>
        <v>18.600000000005821</v>
      </c>
      <c r="S114" s="79">
        <f t="shared" si="25"/>
        <v>25.75</v>
      </c>
      <c r="T114" s="34">
        <f t="shared" si="26"/>
        <v>0.72233009708760465</v>
      </c>
      <c r="U114" s="1">
        <v>44</v>
      </c>
    </row>
    <row r="115" spans="1:21" ht="24" customHeight="1">
      <c r="A115" s="81">
        <v>65</v>
      </c>
      <c r="B115" s="121" t="s">
        <v>180</v>
      </c>
      <c r="C115" s="103" t="s">
        <v>210</v>
      </c>
      <c r="D115" s="31" t="s">
        <v>194</v>
      </c>
      <c r="E115" s="31" t="s">
        <v>212</v>
      </c>
      <c r="F115" s="104">
        <v>53406.9</v>
      </c>
      <c r="G115" s="104">
        <v>53406.9</v>
      </c>
      <c r="H115" s="118">
        <f t="shared" si="19"/>
        <v>0</v>
      </c>
      <c r="I115" s="110">
        <v>4283</v>
      </c>
      <c r="J115" s="111">
        <v>0</v>
      </c>
      <c r="K115" s="55">
        <f t="shared" si="20"/>
        <v>0</v>
      </c>
      <c r="L115" s="104">
        <v>53426.9</v>
      </c>
      <c r="M115" s="119">
        <f t="shared" si="21"/>
        <v>20</v>
      </c>
      <c r="N115" s="110">
        <v>4287</v>
      </c>
      <c r="O115" s="120">
        <f t="shared" si="22"/>
        <v>4</v>
      </c>
      <c r="P115" s="111">
        <v>43.64</v>
      </c>
      <c r="Q115" s="28">
        <f t="shared" si="23"/>
        <v>0.45829514207149402</v>
      </c>
      <c r="R115" s="58">
        <f t="shared" si="24"/>
        <v>20</v>
      </c>
      <c r="S115" s="79">
        <f t="shared" si="25"/>
        <v>43.64</v>
      </c>
      <c r="T115" s="34">
        <f t="shared" si="26"/>
        <v>0.45829514207149402</v>
      </c>
      <c r="U115" s="1">
        <v>45</v>
      </c>
    </row>
    <row r="116" spans="1:21" ht="24" customHeight="1">
      <c r="A116" s="81">
        <v>66</v>
      </c>
      <c r="B116" s="121" t="s">
        <v>110</v>
      </c>
      <c r="C116" s="103" t="s">
        <v>210</v>
      </c>
      <c r="D116" s="31" t="s">
        <v>194</v>
      </c>
      <c r="E116" s="31" t="s">
        <v>212</v>
      </c>
      <c r="F116" s="104">
        <v>36721.599999999999</v>
      </c>
      <c r="G116" s="104">
        <v>36721.599999999999</v>
      </c>
      <c r="H116" s="118">
        <f t="shared" si="19"/>
        <v>0</v>
      </c>
      <c r="I116" s="110">
        <v>2944</v>
      </c>
      <c r="J116" s="111">
        <v>0</v>
      </c>
      <c r="K116" s="55">
        <f t="shared" si="20"/>
        <v>0</v>
      </c>
      <c r="L116" s="104">
        <v>36756.6</v>
      </c>
      <c r="M116" s="119">
        <f t="shared" si="21"/>
        <v>35</v>
      </c>
      <c r="N116" s="110">
        <v>2950</v>
      </c>
      <c r="O116" s="120">
        <f t="shared" si="22"/>
        <v>6</v>
      </c>
      <c r="P116" s="111">
        <v>71.19</v>
      </c>
      <c r="Q116" s="28">
        <f t="shared" si="23"/>
        <v>0.49164208456243857</v>
      </c>
      <c r="R116" s="58">
        <f t="shared" si="24"/>
        <v>35</v>
      </c>
      <c r="S116" s="79">
        <f t="shared" si="25"/>
        <v>71.19</v>
      </c>
      <c r="T116" s="34">
        <f t="shared" si="26"/>
        <v>0.49164208456243857</v>
      </c>
      <c r="U116" s="1">
        <v>51</v>
      </c>
    </row>
    <row r="117" spans="1:21" ht="22.2" customHeight="1">
      <c r="A117" s="123" t="s">
        <v>28</v>
      </c>
      <c r="B117" s="123"/>
      <c r="C117" s="123"/>
      <c r="D117" s="123"/>
      <c r="E117" s="123"/>
      <c r="F117" s="40"/>
      <c r="G117" s="123"/>
      <c r="H117" s="124">
        <f>SUM(H51:H116)</f>
        <v>1588.8000000000466</v>
      </c>
      <c r="I117" s="125"/>
      <c r="J117" s="126">
        <f>SUM(J51:J116)</f>
        <v>2835.66</v>
      </c>
      <c r="K117" s="39"/>
      <c r="L117" s="40"/>
      <c r="M117" s="40">
        <f>SUM(M51:M116)</f>
        <v>2721.9999999999563</v>
      </c>
      <c r="N117" s="127"/>
      <c r="O117" s="128">
        <f>SUM(O51:O116)</f>
        <v>551.79000000000451</v>
      </c>
      <c r="P117" s="128">
        <f>SUM(P51:P116)</f>
        <v>4475.0899999999992</v>
      </c>
      <c r="Q117" s="28">
        <f>IFERROR(M117/P117,0)</f>
        <v>0.60825592334454881</v>
      </c>
      <c r="R117" s="129">
        <f>SUM(R51:R116)</f>
        <v>4310.8000000000029</v>
      </c>
      <c r="S117" s="79">
        <f>J117+P117</f>
        <v>7310.7499999999991</v>
      </c>
      <c r="T117" s="34">
        <f>IFERROR(R117/S117,0)</f>
        <v>0.58965222446397481</v>
      </c>
      <c r="U117" s="130">
        <f>SUM(U51:U116)</f>
        <v>1564</v>
      </c>
    </row>
    <row r="118" spans="1:21" ht="22.2" customHeight="1" thickBot="1">
      <c r="A118" s="206" t="s">
        <v>111</v>
      </c>
      <c r="B118" s="207"/>
      <c r="C118" s="207"/>
      <c r="D118" s="207"/>
      <c r="E118" s="207"/>
      <c r="F118" s="207"/>
      <c r="G118" s="207"/>
      <c r="H118" s="207"/>
      <c r="I118" s="207"/>
      <c r="J118" s="207"/>
      <c r="K118" s="207"/>
      <c r="L118" s="207"/>
      <c r="M118" s="207"/>
      <c r="N118" s="207"/>
      <c r="O118" s="208"/>
      <c r="P118" s="131"/>
      <c r="Q118" s="132"/>
      <c r="R118" s="133"/>
    </row>
    <row r="119" spans="1:21" ht="22.2" customHeight="1">
      <c r="A119" s="209" t="s">
        <v>3</v>
      </c>
      <c r="B119" s="211" t="s">
        <v>4</v>
      </c>
      <c r="C119" s="174"/>
      <c r="D119" s="174"/>
      <c r="E119" s="174"/>
      <c r="F119" s="213" t="s">
        <v>5</v>
      </c>
      <c r="G119" s="214"/>
      <c r="H119" s="214"/>
      <c r="I119" s="214"/>
      <c r="J119" s="215"/>
      <c r="K119" s="216" t="s">
        <v>6</v>
      </c>
      <c r="L119" s="217"/>
      <c r="M119" s="217"/>
      <c r="N119" s="218"/>
      <c r="O119" s="48"/>
      <c r="P119" s="219" t="s">
        <v>7</v>
      </c>
      <c r="Q119" s="194" t="s">
        <v>8</v>
      </c>
      <c r="R119" s="37"/>
    </row>
    <row r="120" spans="1:21" ht="27.6" customHeight="1" thickBot="1">
      <c r="A120" s="210"/>
      <c r="B120" s="212"/>
      <c r="C120" s="173"/>
      <c r="D120" s="173"/>
      <c r="E120" s="173"/>
      <c r="F120" s="49" t="s">
        <v>11</v>
      </c>
      <c r="G120" s="49" t="s">
        <v>12</v>
      </c>
      <c r="H120" s="49" t="s">
        <v>13</v>
      </c>
      <c r="I120" s="6" t="s">
        <v>14</v>
      </c>
      <c r="J120" s="6" t="s">
        <v>8</v>
      </c>
      <c r="K120" s="49" t="s">
        <v>12</v>
      </c>
      <c r="L120" s="49" t="s">
        <v>13</v>
      </c>
      <c r="M120" s="49" t="s">
        <v>14</v>
      </c>
      <c r="N120" s="7" t="s">
        <v>8</v>
      </c>
      <c r="O120" s="50" t="s">
        <v>15</v>
      </c>
      <c r="P120" s="220"/>
      <c r="Q120" s="195"/>
      <c r="R120" s="37"/>
    </row>
    <row r="121" spans="1:21" ht="22.2" customHeight="1">
      <c r="A121" s="76">
        <v>1</v>
      </c>
      <c r="B121" s="186" t="s">
        <v>112</v>
      </c>
      <c r="C121" s="31"/>
      <c r="D121" s="31"/>
      <c r="E121" s="31"/>
      <c r="F121" s="35">
        <v>122564</v>
      </c>
      <c r="G121" s="35">
        <v>122564</v>
      </c>
      <c r="H121" s="17">
        <f>G121-F121</f>
        <v>0</v>
      </c>
      <c r="I121" s="33">
        <v>0</v>
      </c>
      <c r="J121" s="10">
        <f>IFERROR(I121/H121,0)</f>
        <v>0</v>
      </c>
      <c r="K121" s="35">
        <v>122808</v>
      </c>
      <c r="L121" s="19">
        <f>K121-G121</f>
        <v>244</v>
      </c>
      <c r="M121" s="33">
        <v>41.89</v>
      </c>
      <c r="N121" s="28">
        <f t="shared" ref="N121:N142" si="27">IFERROR(M121/L121,0)</f>
        <v>0.17168032786885246</v>
      </c>
      <c r="O121" s="18">
        <f t="shared" ref="O121:P142" si="28">H121+L121</f>
        <v>244</v>
      </c>
      <c r="P121" s="22">
        <f>I121+M121</f>
        <v>41.89</v>
      </c>
      <c r="Q121" s="71">
        <f>IFERROR(O121/P121,0)</f>
        <v>5.8247791835760321</v>
      </c>
      <c r="R121" s="37"/>
    </row>
    <row r="122" spans="1:21" ht="22.2" customHeight="1">
      <c r="A122" s="76">
        <v>2</v>
      </c>
      <c r="B122" s="186" t="s">
        <v>113</v>
      </c>
      <c r="C122" s="31"/>
      <c r="D122" s="31"/>
      <c r="E122" s="31"/>
      <c r="F122" s="35">
        <v>4319.18</v>
      </c>
      <c r="G122" s="35">
        <v>4319.18</v>
      </c>
      <c r="H122" s="17">
        <f t="shared" ref="H122:H142" si="29">G122-F122</f>
        <v>0</v>
      </c>
      <c r="I122" s="33">
        <v>0</v>
      </c>
      <c r="J122" s="10">
        <f t="shared" ref="J122:J142" si="30">IFERROR(I122/H122,0)</f>
        <v>0</v>
      </c>
      <c r="K122" s="35">
        <v>4319.18</v>
      </c>
      <c r="L122" s="19">
        <f>K122-G122</f>
        <v>0</v>
      </c>
      <c r="M122" s="33">
        <v>0</v>
      </c>
      <c r="N122" s="28">
        <f t="shared" si="27"/>
        <v>0</v>
      </c>
      <c r="O122" s="18">
        <f t="shared" si="28"/>
        <v>0</v>
      </c>
      <c r="P122" s="22">
        <f t="shared" si="28"/>
        <v>0</v>
      </c>
      <c r="Q122" s="71">
        <f t="shared" ref="Q122:Q142" si="31">IFERROR(O122/P122,0)</f>
        <v>0</v>
      </c>
      <c r="R122" s="134"/>
    </row>
    <row r="123" spans="1:21" ht="22.2" customHeight="1">
      <c r="A123" s="76">
        <v>3</v>
      </c>
      <c r="B123" s="186" t="s">
        <v>114</v>
      </c>
      <c r="C123" s="31"/>
      <c r="D123" s="31"/>
      <c r="E123" s="31"/>
      <c r="F123" s="35">
        <v>180.5</v>
      </c>
      <c r="G123" s="35">
        <v>180.5</v>
      </c>
      <c r="H123" s="17">
        <f t="shared" si="29"/>
        <v>0</v>
      </c>
      <c r="I123" s="33">
        <v>0</v>
      </c>
      <c r="J123" s="10">
        <f t="shared" si="30"/>
        <v>0</v>
      </c>
      <c r="K123" s="35">
        <v>180.5</v>
      </c>
      <c r="L123" s="19">
        <f t="shared" ref="L123:L141" si="32">K123-G123</f>
        <v>0</v>
      </c>
      <c r="M123" s="33">
        <v>0</v>
      </c>
      <c r="N123" s="28">
        <f t="shared" si="27"/>
        <v>0</v>
      </c>
      <c r="O123" s="18">
        <f t="shared" si="28"/>
        <v>0</v>
      </c>
      <c r="P123" s="22">
        <f t="shared" si="28"/>
        <v>0</v>
      </c>
      <c r="Q123" s="71">
        <f t="shared" si="31"/>
        <v>0</v>
      </c>
      <c r="R123" s="37"/>
    </row>
    <row r="124" spans="1:21" ht="22.2" customHeight="1">
      <c r="A124" s="76">
        <v>4</v>
      </c>
      <c r="B124" s="186" t="s">
        <v>115</v>
      </c>
      <c r="C124" s="31"/>
      <c r="D124" s="31"/>
      <c r="E124" s="31"/>
      <c r="F124" s="136">
        <v>142245</v>
      </c>
      <c r="G124" s="136">
        <v>142245</v>
      </c>
      <c r="H124" s="17">
        <f t="shared" si="29"/>
        <v>0</v>
      </c>
      <c r="I124" s="33">
        <v>0</v>
      </c>
      <c r="J124" s="10">
        <f t="shared" si="30"/>
        <v>0</v>
      </c>
      <c r="K124" s="136">
        <v>142245</v>
      </c>
      <c r="L124" s="19">
        <f t="shared" si="32"/>
        <v>0</v>
      </c>
      <c r="M124" s="33">
        <v>0</v>
      </c>
      <c r="N124" s="28">
        <f t="shared" si="27"/>
        <v>0</v>
      </c>
      <c r="O124" s="18">
        <f t="shared" si="28"/>
        <v>0</v>
      </c>
      <c r="P124" s="22">
        <f t="shared" si="28"/>
        <v>0</v>
      </c>
      <c r="Q124" s="71">
        <f t="shared" si="31"/>
        <v>0</v>
      </c>
      <c r="R124" s="137"/>
    </row>
    <row r="125" spans="1:21" ht="22.2" customHeight="1">
      <c r="A125" s="76">
        <v>5</v>
      </c>
      <c r="B125" s="186" t="s">
        <v>116</v>
      </c>
      <c r="C125" s="31"/>
      <c r="D125" s="31"/>
      <c r="E125" s="31"/>
      <c r="F125" s="35">
        <v>44558.9</v>
      </c>
      <c r="G125" s="35">
        <v>44558.9</v>
      </c>
      <c r="H125" s="17">
        <f t="shared" si="29"/>
        <v>0</v>
      </c>
      <c r="I125" s="33">
        <v>0</v>
      </c>
      <c r="J125" s="10">
        <f t="shared" si="30"/>
        <v>0</v>
      </c>
      <c r="K125" s="35">
        <v>44558.9</v>
      </c>
      <c r="L125" s="19">
        <f t="shared" si="32"/>
        <v>0</v>
      </c>
      <c r="M125" s="33">
        <v>0</v>
      </c>
      <c r="N125" s="28">
        <f t="shared" si="27"/>
        <v>0</v>
      </c>
      <c r="O125" s="18">
        <f t="shared" si="28"/>
        <v>0</v>
      </c>
      <c r="P125" s="22">
        <f t="shared" si="28"/>
        <v>0</v>
      </c>
      <c r="Q125" s="71">
        <f t="shared" si="31"/>
        <v>0</v>
      </c>
      <c r="R125" s="77"/>
    </row>
    <row r="126" spans="1:21" ht="22.2" customHeight="1">
      <c r="A126" s="76">
        <v>6</v>
      </c>
      <c r="B126" s="186" t="s">
        <v>117</v>
      </c>
      <c r="C126" s="31"/>
      <c r="D126" s="31"/>
      <c r="E126" s="31"/>
      <c r="F126" s="35">
        <v>100820</v>
      </c>
      <c r="G126" s="35">
        <v>100820</v>
      </c>
      <c r="H126" s="17">
        <f t="shared" si="29"/>
        <v>0</v>
      </c>
      <c r="I126" s="33">
        <v>0</v>
      </c>
      <c r="J126" s="10">
        <f t="shared" si="30"/>
        <v>0</v>
      </c>
      <c r="K126" s="35">
        <v>100820</v>
      </c>
      <c r="L126" s="19">
        <f t="shared" si="32"/>
        <v>0</v>
      </c>
      <c r="M126" s="33">
        <v>0</v>
      </c>
      <c r="N126" s="28">
        <f t="shared" si="27"/>
        <v>0</v>
      </c>
      <c r="O126" s="18">
        <f t="shared" si="28"/>
        <v>0</v>
      </c>
      <c r="P126" s="22">
        <f t="shared" si="28"/>
        <v>0</v>
      </c>
      <c r="Q126" s="71">
        <f t="shared" si="31"/>
        <v>0</v>
      </c>
      <c r="R126" s="37"/>
    </row>
    <row r="127" spans="1:21" ht="22.2" customHeight="1">
      <c r="A127" s="76">
        <v>7</v>
      </c>
      <c r="B127" s="186" t="s">
        <v>118</v>
      </c>
      <c r="C127" s="31"/>
      <c r="D127" s="31"/>
      <c r="E127" s="31"/>
      <c r="F127" s="35">
        <v>152282.79999999999</v>
      </c>
      <c r="G127" s="35">
        <v>152282.79999999999</v>
      </c>
      <c r="H127" s="17">
        <f t="shared" si="29"/>
        <v>0</v>
      </c>
      <c r="I127" s="33">
        <v>0</v>
      </c>
      <c r="J127" s="10">
        <f t="shared" si="30"/>
        <v>0</v>
      </c>
      <c r="K127" s="35">
        <v>152282.79999999999</v>
      </c>
      <c r="L127" s="19">
        <f t="shared" si="32"/>
        <v>0</v>
      </c>
      <c r="M127" s="33">
        <v>0</v>
      </c>
      <c r="N127" s="28">
        <f t="shared" si="27"/>
        <v>0</v>
      </c>
      <c r="O127" s="18">
        <f t="shared" si="28"/>
        <v>0</v>
      </c>
      <c r="P127" s="22">
        <f>I127+M127</f>
        <v>0</v>
      </c>
      <c r="Q127" s="71">
        <f t="shared" si="31"/>
        <v>0</v>
      </c>
      <c r="R127" s="37"/>
    </row>
    <row r="128" spans="1:21" ht="22.2" customHeight="1">
      <c r="A128" s="76">
        <v>8</v>
      </c>
      <c r="B128" s="187" t="s">
        <v>119</v>
      </c>
      <c r="C128" s="138"/>
      <c r="D128" s="138"/>
      <c r="E128" s="138"/>
      <c r="F128" s="136">
        <v>40895.199999999997</v>
      </c>
      <c r="G128" s="136">
        <v>40895.199999999997</v>
      </c>
      <c r="H128" s="17">
        <f t="shared" si="29"/>
        <v>0</v>
      </c>
      <c r="I128" s="33">
        <v>0</v>
      </c>
      <c r="J128" s="10">
        <f t="shared" si="30"/>
        <v>0</v>
      </c>
      <c r="K128" s="136">
        <v>40895.199999999997</v>
      </c>
      <c r="L128" s="19">
        <f t="shared" si="32"/>
        <v>0</v>
      </c>
      <c r="M128" s="33">
        <v>0</v>
      </c>
      <c r="N128" s="28">
        <f t="shared" si="27"/>
        <v>0</v>
      </c>
      <c r="O128" s="18">
        <f t="shared" si="28"/>
        <v>0</v>
      </c>
      <c r="P128" s="22">
        <f>I128+M128</f>
        <v>0</v>
      </c>
      <c r="Q128" s="71">
        <f t="shared" si="31"/>
        <v>0</v>
      </c>
      <c r="R128" s="37"/>
    </row>
    <row r="129" spans="1:20" ht="22.2" customHeight="1">
      <c r="A129" s="76">
        <v>9</v>
      </c>
      <c r="B129" s="187" t="s">
        <v>120</v>
      </c>
      <c r="C129" s="138"/>
      <c r="D129" s="138"/>
      <c r="E129" s="138"/>
      <c r="F129" s="35">
        <v>34200</v>
      </c>
      <c r="G129" s="35">
        <v>34200</v>
      </c>
      <c r="H129" s="17">
        <f t="shared" si="29"/>
        <v>0</v>
      </c>
      <c r="I129" s="33">
        <v>0</v>
      </c>
      <c r="J129" s="10">
        <f t="shared" si="30"/>
        <v>0</v>
      </c>
      <c r="K129" s="35">
        <v>34200</v>
      </c>
      <c r="L129" s="19">
        <f t="shared" si="32"/>
        <v>0</v>
      </c>
      <c r="M129" s="33">
        <v>0</v>
      </c>
      <c r="N129" s="28">
        <f t="shared" si="27"/>
        <v>0</v>
      </c>
      <c r="O129" s="18">
        <f t="shared" si="28"/>
        <v>0</v>
      </c>
      <c r="P129" s="22">
        <f t="shared" si="28"/>
        <v>0</v>
      </c>
      <c r="Q129" s="71">
        <f t="shared" si="31"/>
        <v>0</v>
      </c>
      <c r="R129" s="37"/>
    </row>
    <row r="130" spans="1:20" ht="22.2" customHeight="1">
      <c r="A130" s="76">
        <v>10</v>
      </c>
      <c r="B130" s="186" t="s">
        <v>121</v>
      </c>
      <c r="C130" s="31"/>
      <c r="D130" s="31"/>
      <c r="E130" s="31"/>
      <c r="F130" s="35">
        <v>156864</v>
      </c>
      <c r="G130" s="35">
        <v>156864</v>
      </c>
      <c r="H130" s="17">
        <f t="shared" si="29"/>
        <v>0</v>
      </c>
      <c r="I130" s="33">
        <v>0</v>
      </c>
      <c r="J130" s="10">
        <f t="shared" si="30"/>
        <v>0</v>
      </c>
      <c r="K130" s="35">
        <v>157092</v>
      </c>
      <c r="L130" s="19">
        <f t="shared" si="32"/>
        <v>228</v>
      </c>
      <c r="M130" s="33">
        <v>28.78</v>
      </c>
      <c r="N130" s="28">
        <f t="shared" si="27"/>
        <v>0.12622807017543861</v>
      </c>
      <c r="O130" s="18">
        <f t="shared" si="28"/>
        <v>228</v>
      </c>
      <c r="P130" s="22">
        <f t="shared" si="28"/>
        <v>28.78</v>
      </c>
      <c r="Q130" s="71">
        <f t="shared" si="31"/>
        <v>7.9221681723419035</v>
      </c>
      <c r="R130" s="137"/>
    </row>
    <row r="131" spans="1:20" ht="23.4" customHeight="1">
      <c r="A131" s="76">
        <v>11</v>
      </c>
      <c r="B131" s="187" t="s">
        <v>122</v>
      </c>
      <c r="C131" s="138"/>
      <c r="D131" s="138"/>
      <c r="E131" s="138"/>
      <c r="F131" s="35">
        <v>36866</v>
      </c>
      <c r="G131" s="35">
        <v>36866</v>
      </c>
      <c r="H131" s="17">
        <f t="shared" si="29"/>
        <v>0</v>
      </c>
      <c r="I131" s="33">
        <v>0</v>
      </c>
      <c r="J131" s="10">
        <f t="shared" si="30"/>
        <v>0</v>
      </c>
      <c r="K131" s="35">
        <v>36866</v>
      </c>
      <c r="L131" s="19">
        <f t="shared" si="32"/>
        <v>0</v>
      </c>
      <c r="M131" s="33">
        <v>0</v>
      </c>
      <c r="N131" s="28">
        <f t="shared" si="27"/>
        <v>0</v>
      </c>
      <c r="O131" s="18">
        <f t="shared" si="28"/>
        <v>0</v>
      </c>
      <c r="P131" s="22">
        <f t="shared" si="28"/>
        <v>0</v>
      </c>
      <c r="Q131" s="71">
        <f t="shared" si="31"/>
        <v>0</v>
      </c>
      <c r="R131" s="37"/>
      <c r="T131" s="38"/>
    </row>
    <row r="132" spans="1:20" ht="22.2" customHeight="1">
      <c r="A132" s="76">
        <v>12</v>
      </c>
      <c r="B132" s="187" t="s">
        <v>123</v>
      </c>
      <c r="C132" s="138"/>
      <c r="D132" s="138"/>
      <c r="E132" s="138"/>
      <c r="F132" s="35">
        <v>16963</v>
      </c>
      <c r="G132" s="35">
        <v>16963</v>
      </c>
      <c r="H132" s="17">
        <f t="shared" si="29"/>
        <v>0</v>
      </c>
      <c r="I132" s="33">
        <v>0</v>
      </c>
      <c r="J132" s="78">
        <f t="shared" si="30"/>
        <v>0</v>
      </c>
      <c r="K132" s="35">
        <v>17180</v>
      </c>
      <c r="L132" s="19">
        <f t="shared" si="32"/>
        <v>217</v>
      </c>
      <c r="M132" s="33">
        <v>45.7</v>
      </c>
      <c r="N132" s="28">
        <f t="shared" si="27"/>
        <v>0.21059907834101385</v>
      </c>
      <c r="O132" s="18">
        <f t="shared" si="28"/>
        <v>217</v>
      </c>
      <c r="P132" s="79">
        <f t="shared" si="28"/>
        <v>45.7</v>
      </c>
      <c r="Q132" s="71">
        <f t="shared" si="31"/>
        <v>4.7483588621444195</v>
      </c>
      <c r="R132" s="37"/>
      <c r="T132" s="45"/>
    </row>
    <row r="133" spans="1:20" ht="21.6" customHeight="1">
      <c r="A133" s="76">
        <v>13</v>
      </c>
      <c r="B133" s="171" t="s">
        <v>124</v>
      </c>
      <c r="C133" s="138"/>
      <c r="D133" s="138"/>
      <c r="E133" s="138"/>
      <c r="F133" s="35">
        <v>890.2</v>
      </c>
      <c r="G133" s="35">
        <v>890.2</v>
      </c>
      <c r="H133" s="17">
        <f t="shared" si="29"/>
        <v>0</v>
      </c>
      <c r="I133" s="35">
        <v>0</v>
      </c>
      <c r="J133" s="78">
        <f t="shared" si="30"/>
        <v>0</v>
      </c>
      <c r="K133" s="35">
        <v>890.2</v>
      </c>
      <c r="L133" s="19">
        <f t="shared" si="32"/>
        <v>0</v>
      </c>
      <c r="M133" s="35">
        <v>0</v>
      </c>
      <c r="N133" s="28">
        <f t="shared" si="27"/>
        <v>0</v>
      </c>
      <c r="O133" s="18">
        <f t="shared" si="28"/>
        <v>0</v>
      </c>
      <c r="P133" s="79">
        <f t="shared" si="28"/>
        <v>0</v>
      </c>
      <c r="Q133" s="71">
        <f t="shared" si="31"/>
        <v>0</v>
      </c>
      <c r="R133" s="37"/>
      <c r="T133" s="45"/>
    </row>
    <row r="134" spans="1:20" ht="21.6" customHeight="1">
      <c r="A134" s="76">
        <v>14</v>
      </c>
      <c r="B134" s="171" t="s">
        <v>174</v>
      </c>
      <c r="C134" s="138"/>
      <c r="D134" s="138"/>
      <c r="E134" s="138"/>
      <c r="F134" s="35">
        <v>3503</v>
      </c>
      <c r="G134" s="35">
        <v>3503</v>
      </c>
      <c r="H134" s="17">
        <f t="shared" si="29"/>
        <v>0</v>
      </c>
      <c r="I134" s="35">
        <v>0</v>
      </c>
      <c r="J134" s="78">
        <f t="shared" si="30"/>
        <v>0</v>
      </c>
      <c r="K134" s="35">
        <v>3503</v>
      </c>
      <c r="L134" s="19">
        <f t="shared" si="32"/>
        <v>0</v>
      </c>
      <c r="M134" s="141">
        <v>0</v>
      </c>
      <c r="N134" s="28">
        <f t="shared" si="27"/>
        <v>0</v>
      </c>
      <c r="O134" s="18">
        <f t="shared" si="28"/>
        <v>0</v>
      </c>
      <c r="P134" s="79">
        <f t="shared" si="28"/>
        <v>0</v>
      </c>
      <c r="Q134" s="71">
        <f t="shared" si="31"/>
        <v>0</v>
      </c>
      <c r="R134" s="37"/>
      <c r="T134" s="45"/>
    </row>
    <row r="135" spans="1:20" ht="25.2" customHeight="1">
      <c r="A135" s="76">
        <v>15</v>
      </c>
      <c r="B135" s="187" t="s">
        <v>127</v>
      </c>
      <c r="C135" s="138"/>
      <c r="D135" s="138"/>
      <c r="E135" s="138"/>
      <c r="F135" s="35">
        <v>0</v>
      </c>
      <c r="G135" s="35">
        <v>0</v>
      </c>
      <c r="H135" s="17">
        <f t="shared" si="29"/>
        <v>0</v>
      </c>
      <c r="I135" s="33">
        <v>0</v>
      </c>
      <c r="J135" s="78">
        <f t="shared" si="30"/>
        <v>0</v>
      </c>
      <c r="K135" s="35">
        <v>0</v>
      </c>
      <c r="L135" s="19">
        <f t="shared" si="32"/>
        <v>0</v>
      </c>
      <c r="M135" s="33">
        <v>0</v>
      </c>
      <c r="N135" s="28">
        <f t="shared" si="27"/>
        <v>0</v>
      </c>
      <c r="O135" s="18">
        <f t="shared" si="28"/>
        <v>0</v>
      </c>
      <c r="P135" s="79">
        <f t="shared" si="28"/>
        <v>0</v>
      </c>
      <c r="Q135" s="71">
        <f t="shared" si="31"/>
        <v>0</v>
      </c>
      <c r="R135" s="77"/>
      <c r="T135" s="45"/>
    </row>
    <row r="136" spans="1:20" ht="25.2" customHeight="1">
      <c r="A136" s="76">
        <v>16</v>
      </c>
      <c r="B136" s="187" t="s">
        <v>183</v>
      </c>
      <c r="C136" s="138"/>
      <c r="D136" s="138"/>
      <c r="E136" s="138"/>
      <c r="F136" s="35">
        <v>295805</v>
      </c>
      <c r="G136" s="35">
        <v>295805</v>
      </c>
      <c r="H136" s="17">
        <f t="shared" si="29"/>
        <v>0</v>
      </c>
      <c r="I136" s="33">
        <v>0</v>
      </c>
      <c r="J136" s="78">
        <f t="shared" si="30"/>
        <v>0</v>
      </c>
      <c r="K136" s="35">
        <v>295805</v>
      </c>
      <c r="L136" s="19">
        <f t="shared" si="32"/>
        <v>0</v>
      </c>
      <c r="M136" s="33">
        <v>0</v>
      </c>
      <c r="N136" s="28">
        <f t="shared" si="27"/>
        <v>0</v>
      </c>
      <c r="O136" s="18">
        <f t="shared" si="28"/>
        <v>0</v>
      </c>
      <c r="P136" s="79">
        <f t="shared" si="28"/>
        <v>0</v>
      </c>
      <c r="Q136" s="71">
        <f t="shared" si="31"/>
        <v>0</v>
      </c>
      <c r="R136" s="77"/>
      <c r="T136" s="45"/>
    </row>
    <row r="137" spans="1:20" ht="25.2" customHeight="1">
      <c r="A137" s="76">
        <v>17</v>
      </c>
      <c r="B137" s="187" t="s">
        <v>184</v>
      </c>
      <c r="C137" s="138"/>
      <c r="D137" s="138"/>
      <c r="E137" s="138"/>
      <c r="F137" s="35">
        <v>77139.3</v>
      </c>
      <c r="G137" s="35">
        <v>77139.3</v>
      </c>
      <c r="H137" s="17">
        <f t="shared" si="29"/>
        <v>0</v>
      </c>
      <c r="I137" s="33">
        <v>0</v>
      </c>
      <c r="J137" s="78">
        <f t="shared" si="30"/>
        <v>0</v>
      </c>
      <c r="K137" s="35">
        <v>77139.3</v>
      </c>
      <c r="L137" s="19">
        <f t="shared" si="32"/>
        <v>0</v>
      </c>
      <c r="M137" s="33">
        <v>0</v>
      </c>
      <c r="N137" s="28">
        <f t="shared" si="27"/>
        <v>0</v>
      </c>
      <c r="O137" s="18">
        <f t="shared" si="28"/>
        <v>0</v>
      </c>
      <c r="P137" s="79">
        <f t="shared" si="28"/>
        <v>0</v>
      </c>
      <c r="Q137" s="71">
        <f t="shared" si="31"/>
        <v>0</v>
      </c>
      <c r="R137" s="77"/>
      <c r="T137" s="45"/>
    </row>
    <row r="138" spans="1:20" ht="25.2" customHeight="1">
      <c r="A138" s="76">
        <v>18</v>
      </c>
      <c r="B138" s="187" t="s">
        <v>185</v>
      </c>
      <c r="C138" s="138"/>
      <c r="D138" s="138"/>
      <c r="E138" s="138"/>
      <c r="F138" s="35">
        <v>113495.8</v>
      </c>
      <c r="G138" s="35">
        <v>113495.8</v>
      </c>
      <c r="H138" s="17">
        <f t="shared" si="29"/>
        <v>0</v>
      </c>
      <c r="I138" s="33">
        <v>0</v>
      </c>
      <c r="J138" s="78">
        <f t="shared" si="30"/>
        <v>0</v>
      </c>
      <c r="K138" s="35">
        <v>113495.8</v>
      </c>
      <c r="L138" s="19">
        <f t="shared" si="32"/>
        <v>0</v>
      </c>
      <c r="M138" s="33">
        <v>0</v>
      </c>
      <c r="N138" s="28">
        <f t="shared" si="27"/>
        <v>0</v>
      </c>
      <c r="O138" s="18">
        <f t="shared" si="28"/>
        <v>0</v>
      </c>
      <c r="P138" s="79">
        <f t="shared" si="28"/>
        <v>0</v>
      </c>
      <c r="Q138" s="71">
        <f t="shared" si="31"/>
        <v>0</v>
      </c>
      <c r="R138" s="77"/>
      <c r="T138" s="45"/>
    </row>
    <row r="139" spans="1:20" ht="25.2" customHeight="1">
      <c r="A139" s="76">
        <v>19</v>
      </c>
      <c r="B139" s="187" t="s">
        <v>187</v>
      </c>
      <c r="C139" s="138"/>
      <c r="D139" s="138"/>
      <c r="E139" s="138"/>
      <c r="F139" s="35">
        <v>59801.4</v>
      </c>
      <c r="G139" s="35">
        <v>59801.4</v>
      </c>
      <c r="H139" s="35">
        <f t="shared" si="29"/>
        <v>0</v>
      </c>
      <c r="I139" s="33">
        <v>0</v>
      </c>
      <c r="J139" s="78">
        <f t="shared" si="30"/>
        <v>0</v>
      </c>
      <c r="K139" s="35">
        <v>59801.4</v>
      </c>
      <c r="L139" s="56">
        <f t="shared" si="32"/>
        <v>0</v>
      </c>
      <c r="M139" s="33">
        <v>0</v>
      </c>
      <c r="N139" s="28">
        <f t="shared" si="27"/>
        <v>0</v>
      </c>
      <c r="O139" s="84">
        <f t="shared" si="28"/>
        <v>0</v>
      </c>
      <c r="P139" s="79">
        <f t="shared" si="28"/>
        <v>0</v>
      </c>
      <c r="Q139" s="34">
        <f t="shared" si="31"/>
        <v>0</v>
      </c>
      <c r="R139" s="77"/>
      <c r="T139" s="45"/>
    </row>
    <row r="140" spans="1:20" ht="25.2" customHeight="1">
      <c r="A140" s="76">
        <v>20</v>
      </c>
      <c r="B140" s="187" t="s">
        <v>188</v>
      </c>
      <c r="C140" s="138"/>
      <c r="D140" s="138"/>
      <c r="E140" s="138"/>
      <c r="F140" s="35">
        <v>485627</v>
      </c>
      <c r="G140" s="35">
        <v>485627</v>
      </c>
      <c r="H140" s="35">
        <f t="shared" si="29"/>
        <v>0</v>
      </c>
      <c r="I140" s="33">
        <v>0</v>
      </c>
      <c r="J140" s="78">
        <f t="shared" si="30"/>
        <v>0</v>
      </c>
      <c r="K140" s="35">
        <v>485627</v>
      </c>
      <c r="L140" s="56">
        <f t="shared" si="32"/>
        <v>0</v>
      </c>
      <c r="M140" s="33">
        <v>0</v>
      </c>
      <c r="N140" s="28">
        <f t="shared" si="27"/>
        <v>0</v>
      </c>
      <c r="O140" s="84">
        <f t="shared" si="28"/>
        <v>0</v>
      </c>
      <c r="P140" s="79">
        <f t="shared" si="28"/>
        <v>0</v>
      </c>
      <c r="Q140" s="34">
        <f t="shared" si="31"/>
        <v>0</v>
      </c>
      <c r="R140" s="77"/>
      <c r="T140" s="45"/>
    </row>
    <row r="141" spans="1:20" ht="25.2" customHeight="1">
      <c r="A141" s="76">
        <v>21</v>
      </c>
      <c r="B141" s="187" t="s">
        <v>189</v>
      </c>
      <c r="C141" s="138"/>
      <c r="D141" s="138"/>
      <c r="E141" s="138"/>
      <c r="F141" s="35">
        <v>46458.2</v>
      </c>
      <c r="G141" s="35">
        <v>46458.2</v>
      </c>
      <c r="H141" s="35">
        <f t="shared" si="29"/>
        <v>0</v>
      </c>
      <c r="I141" s="33">
        <v>0</v>
      </c>
      <c r="J141" s="78">
        <f t="shared" si="30"/>
        <v>0</v>
      </c>
      <c r="K141" s="35">
        <v>46458.2</v>
      </c>
      <c r="L141" s="56">
        <f t="shared" si="32"/>
        <v>0</v>
      </c>
      <c r="M141" s="33">
        <v>0</v>
      </c>
      <c r="N141" s="28">
        <f t="shared" si="27"/>
        <v>0</v>
      </c>
      <c r="O141" s="84">
        <f t="shared" si="28"/>
        <v>0</v>
      </c>
      <c r="P141" s="79">
        <f t="shared" si="28"/>
        <v>0</v>
      </c>
      <c r="Q141" s="34">
        <f t="shared" si="31"/>
        <v>0</v>
      </c>
      <c r="R141" s="77"/>
      <c r="T141" s="45"/>
    </row>
    <row r="142" spans="1:20" ht="25.2" customHeight="1">
      <c r="A142" s="144">
        <v>22</v>
      </c>
      <c r="B142" s="187" t="s">
        <v>213</v>
      </c>
      <c r="C142" s="138"/>
      <c r="D142" s="138"/>
      <c r="E142" s="138"/>
      <c r="F142" s="35">
        <v>99823.4</v>
      </c>
      <c r="G142" s="35">
        <v>99823.4</v>
      </c>
      <c r="H142" s="35">
        <f t="shared" si="29"/>
        <v>0</v>
      </c>
      <c r="I142" s="33">
        <v>0</v>
      </c>
      <c r="J142" s="78">
        <f t="shared" si="30"/>
        <v>0</v>
      </c>
      <c r="K142" s="35">
        <v>99823.4</v>
      </c>
      <c r="L142" s="35">
        <v>99823.4</v>
      </c>
      <c r="M142" s="33">
        <v>0</v>
      </c>
      <c r="N142" s="28">
        <f t="shared" si="27"/>
        <v>0</v>
      </c>
      <c r="O142" s="84">
        <f t="shared" si="28"/>
        <v>99823.4</v>
      </c>
      <c r="P142" s="79">
        <f t="shared" si="28"/>
        <v>0</v>
      </c>
      <c r="Q142" s="34">
        <f t="shared" si="31"/>
        <v>0</v>
      </c>
      <c r="R142" s="77"/>
      <c r="T142" s="45"/>
    </row>
    <row r="143" spans="1:20" ht="18">
      <c r="A143" s="196" t="s">
        <v>28</v>
      </c>
      <c r="B143" s="197"/>
      <c r="C143" s="175"/>
      <c r="D143" s="175"/>
      <c r="E143" s="175"/>
      <c r="F143" s="123"/>
      <c r="G143" s="123"/>
      <c r="H143" s="40">
        <f>SUM(H121:H142)</f>
        <v>0</v>
      </c>
      <c r="I143" s="40">
        <f>SUM(I121:I142)</f>
        <v>0</v>
      </c>
      <c r="J143" s="39"/>
      <c r="K143" s="39"/>
      <c r="L143" s="40">
        <f>SUM(L121:L142)</f>
        <v>100512.4</v>
      </c>
      <c r="M143" s="40">
        <f>SUM(M121:M142)</f>
        <v>116.37</v>
      </c>
      <c r="N143" s="145"/>
      <c r="O143" s="146">
        <f>SUM(O121:O142)</f>
        <v>100512.4</v>
      </c>
      <c r="P143" s="147">
        <f>SUM(P121:P142)</f>
        <v>116.37</v>
      </c>
      <c r="Q143" s="34"/>
      <c r="R143" s="37"/>
      <c r="S143" s="72"/>
    </row>
    <row r="144" spans="1:20" ht="21.6" thickBot="1">
      <c r="A144" s="148"/>
      <c r="B144" s="149"/>
      <c r="C144" s="149"/>
      <c r="D144" s="149"/>
      <c r="E144" s="149"/>
      <c r="F144" s="149"/>
      <c r="G144" s="149"/>
      <c r="H144" s="149" t="s">
        <v>139</v>
      </c>
      <c r="I144" s="150">
        <f>I19+I25+I34+I40+I47+J117+I143</f>
        <v>5917.61</v>
      </c>
      <c r="J144" s="149"/>
      <c r="K144" s="149"/>
      <c r="L144" s="151" t="s">
        <v>140</v>
      </c>
      <c r="M144" s="150">
        <f>M19+M25+M34+M40+M47+P117+M143</f>
        <v>8741.41</v>
      </c>
      <c r="N144" s="198" t="s">
        <v>141</v>
      </c>
      <c r="O144" s="198"/>
      <c r="P144" s="198"/>
      <c r="Q144" s="198"/>
      <c r="R144" s="152"/>
    </row>
    <row r="145" spans="1:19" ht="15">
      <c r="B145" s="153"/>
      <c r="C145" s="153"/>
      <c r="D145" s="153"/>
      <c r="E145" s="153"/>
      <c r="F145" s="152"/>
      <c r="G145" s="152"/>
      <c r="H145" s="152"/>
      <c r="I145" s="152"/>
      <c r="J145" s="152"/>
      <c r="K145" s="152"/>
      <c r="L145" s="152"/>
      <c r="M145" s="154"/>
      <c r="N145" s="155" t="s">
        <v>142</v>
      </c>
      <c r="O145" s="199">
        <f>Q2</f>
        <v>46229</v>
      </c>
      <c r="P145" s="200"/>
      <c r="Q145" s="156"/>
      <c r="R145" s="157">
        <f>P143-Q151</f>
        <v>116.37</v>
      </c>
    </row>
    <row r="146" spans="1:19" ht="18">
      <c r="B146" s="158" t="s">
        <v>143</v>
      </c>
      <c r="C146" s="158"/>
      <c r="D146" s="158"/>
      <c r="E146" s="158"/>
      <c r="F146" s="159">
        <f>I144</f>
        <v>5917.61</v>
      </c>
      <c r="G146" s="160"/>
      <c r="H146" s="160"/>
      <c r="I146" s="159"/>
      <c r="J146" s="160"/>
      <c r="K146" s="160"/>
      <c r="L146" s="160"/>
      <c r="M146" s="45"/>
      <c r="N146" s="188" t="s">
        <v>144</v>
      </c>
      <c r="O146" s="189"/>
      <c r="P146" s="190"/>
      <c r="Q146" s="161">
        <f>S117</f>
        <v>7310.7499999999991</v>
      </c>
      <c r="R146" s="152"/>
    </row>
    <row r="147" spans="1:19" ht="18">
      <c r="B147" s="158" t="s">
        <v>145</v>
      </c>
      <c r="C147" s="158"/>
      <c r="D147" s="158"/>
      <c r="E147" s="158"/>
      <c r="F147" s="159">
        <f>M144</f>
        <v>8741.41</v>
      </c>
      <c r="G147" s="160"/>
      <c r="H147" s="160"/>
      <c r="I147" s="159"/>
      <c r="J147" s="159"/>
      <c r="K147" s="160"/>
      <c r="L147" s="160"/>
      <c r="M147" s="45"/>
      <c r="N147" s="188" t="s">
        <v>146</v>
      </c>
      <c r="O147" s="189"/>
      <c r="P147" s="190"/>
      <c r="Q147" s="161">
        <f>P19</f>
        <v>3717.45</v>
      </c>
      <c r="R147" s="152"/>
    </row>
    <row r="148" spans="1:19" ht="18">
      <c r="B148" s="158" t="s">
        <v>28</v>
      </c>
      <c r="C148" s="158"/>
      <c r="D148" s="158"/>
      <c r="E148" s="158"/>
      <c r="F148" s="159">
        <f>F146+F147</f>
        <v>14659.02</v>
      </c>
      <c r="G148" s="160"/>
      <c r="H148" s="160"/>
      <c r="I148" s="160"/>
      <c r="J148" s="159"/>
      <c r="K148" s="160"/>
      <c r="L148" s="160"/>
      <c r="N148" s="188" t="s">
        <v>147</v>
      </c>
      <c r="O148" s="189"/>
      <c r="P148" s="190"/>
      <c r="Q148" s="161">
        <f>P34</f>
        <v>2013.3600000000001</v>
      </c>
    </row>
    <row r="149" spans="1:19" ht="18">
      <c r="F149" s="45"/>
      <c r="G149" s="45"/>
      <c r="H149" s="45"/>
      <c r="I149" s="45"/>
      <c r="J149" s="45"/>
      <c r="K149" s="160" t="s">
        <v>94</v>
      </c>
      <c r="L149" s="45"/>
      <c r="N149" s="188" t="s">
        <v>148</v>
      </c>
      <c r="O149" s="189"/>
      <c r="P149" s="190"/>
      <c r="Q149" s="161">
        <f>P40</f>
        <v>325.32</v>
      </c>
    </row>
    <row r="150" spans="1:19" ht="25.2" customHeight="1">
      <c r="B150" s="162" t="s">
        <v>149</v>
      </c>
      <c r="C150" s="162"/>
      <c r="D150" s="162"/>
      <c r="E150" s="162"/>
      <c r="F150" s="193"/>
      <c r="G150" s="193"/>
      <c r="H150" s="193"/>
      <c r="I150" s="193"/>
      <c r="J150" s="193"/>
      <c r="K150" s="193"/>
      <c r="L150" s="193"/>
      <c r="M150" s="193"/>
      <c r="N150" s="188" t="s">
        <v>150</v>
      </c>
      <c r="O150" s="189"/>
      <c r="P150" s="190"/>
      <c r="Q150" s="161">
        <f>P47</f>
        <v>772.63</v>
      </c>
    </row>
    <row r="151" spans="1:19" ht="18">
      <c r="F151" s="45"/>
      <c r="G151" s="45"/>
      <c r="H151" s="26"/>
      <c r="I151" s="26"/>
      <c r="J151" s="45"/>
      <c r="K151" s="160"/>
      <c r="L151" s="45"/>
      <c r="N151" s="188" t="s">
        <v>151</v>
      </c>
      <c r="O151" s="189"/>
      <c r="P151" s="190"/>
      <c r="Q151" s="161">
        <f>P125+P126+P127+P128</f>
        <v>0</v>
      </c>
    </row>
    <row r="152" spans="1:19" ht="18">
      <c r="H152" s="38"/>
      <c r="I152" s="45"/>
      <c r="J152" s="45"/>
      <c r="K152" s="160"/>
      <c r="L152" s="45"/>
      <c r="N152" s="188" t="s">
        <v>152</v>
      </c>
      <c r="O152" s="189"/>
      <c r="P152" s="190"/>
      <c r="Q152" s="161">
        <f>R145</f>
        <v>116.37</v>
      </c>
    </row>
    <row r="153" spans="1:19" ht="18.600000000000001" thickBot="1">
      <c r="F153" s="38"/>
      <c r="G153" s="38"/>
      <c r="J153" s="163"/>
      <c r="K153" s="160"/>
      <c r="N153" s="188" t="s">
        <v>153</v>
      </c>
      <c r="O153" s="189"/>
      <c r="P153" s="190"/>
      <c r="Q153" s="164">
        <f>P25</f>
        <v>403.14</v>
      </c>
      <c r="S153" s="38"/>
    </row>
    <row r="154" spans="1:19" ht="16.8" thickBot="1">
      <c r="F154" s="38"/>
      <c r="G154" s="38"/>
      <c r="H154" s="38"/>
      <c r="I154" s="38"/>
      <c r="K154" s="38"/>
      <c r="N154" s="191" t="s">
        <v>154</v>
      </c>
      <c r="O154" s="192"/>
      <c r="P154" s="192"/>
      <c r="Q154" s="165">
        <f>SUM(Q146:Q153)</f>
        <v>14659.019999999999</v>
      </c>
    </row>
    <row r="155" spans="1:19">
      <c r="F155" s="38"/>
      <c r="G155" s="38"/>
      <c r="H155" s="159"/>
      <c r="I155" s="159"/>
      <c r="K155" s="38"/>
      <c r="L155" s="38"/>
    </row>
    <row r="156" spans="1:19">
      <c r="F156" s="38"/>
      <c r="G156" s="38"/>
      <c r="H156" s="38"/>
      <c r="I156" s="38"/>
      <c r="K156" s="160"/>
    </row>
    <row r="157" spans="1:19">
      <c r="A157" s="159"/>
      <c r="B157" s="159"/>
      <c r="C157" s="159"/>
      <c r="D157" s="159"/>
      <c r="E157" s="159"/>
      <c r="F157" s="159"/>
      <c r="G157" s="159"/>
      <c r="H157" s="159"/>
      <c r="I157" s="159"/>
      <c r="J157" s="38"/>
      <c r="K157" s="38"/>
      <c r="Q157" s="45"/>
    </row>
    <row r="158" spans="1:19">
      <c r="A158" s="159"/>
    </row>
  </sheetData>
  <mergeCells count="72">
    <mergeCell ref="A1:Q1"/>
    <mergeCell ref="A2:O2"/>
    <mergeCell ref="A3:A4"/>
    <mergeCell ref="B3:B4"/>
    <mergeCell ref="F3:J3"/>
    <mergeCell ref="K3:O3"/>
    <mergeCell ref="P3:P4"/>
    <mergeCell ref="Q3:Q4"/>
    <mergeCell ref="R3:R4"/>
    <mergeCell ref="S3:S4"/>
    <mergeCell ref="A19:B19"/>
    <mergeCell ref="A20:O20"/>
    <mergeCell ref="A21:A22"/>
    <mergeCell ref="B21:B22"/>
    <mergeCell ref="F21:J21"/>
    <mergeCell ref="K21:N21"/>
    <mergeCell ref="P21:P22"/>
    <mergeCell ref="Q21:Q22"/>
    <mergeCell ref="A25:B25"/>
    <mergeCell ref="A26:O26"/>
    <mergeCell ref="A27:A28"/>
    <mergeCell ref="B27:B28"/>
    <mergeCell ref="F27:J27"/>
    <mergeCell ref="K27:N27"/>
    <mergeCell ref="P27:P28"/>
    <mergeCell ref="Q27:Q28"/>
    <mergeCell ref="A34:B34"/>
    <mergeCell ref="A35:O35"/>
    <mergeCell ref="A36:A37"/>
    <mergeCell ref="B36:B37"/>
    <mergeCell ref="F36:J36"/>
    <mergeCell ref="K36:N36"/>
    <mergeCell ref="P36:P37"/>
    <mergeCell ref="Q36:Q37"/>
    <mergeCell ref="A40:B40"/>
    <mergeCell ref="A41:O41"/>
    <mergeCell ref="A42:A43"/>
    <mergeCell ref="B42:B43"/>
    <mergeCell ref="F42:J42"/>
    <mergeCell ref="K42:N42"/>
    <mergeCell ref="P42:P43"/>
    <mergeCell ref="Q42:Q43"/>
    <mergeCell ref="A47:B47"/>
    <mergeCell ref="A48:O48"/>
    <mergeCell ref="A49:A50"/>
    <mergeCell ref="B49:B50"/>
    <mergeCell ref="F49:K49"/>
    <mergeCell ref="L49:Q49"/>
    <mergeCell ref="N147:P147"/>
    <mergeCell ref="R49:R50"/>
    <mergeCell ref="S49:S50"/>
    <mergeCell ref="T49:T50"/>
    <mergeCell ref="U49:U50"/>
    <mergeCell ref="A118:O118"/>
    <mergeCell ref="A119:A120"/>
    <mergeCell ref="B119:B120"/>
    <mergeCell ref="F119:J119"/>
    <mergeCell ref="K119:N119"/>
    <mergeCell ref="P119:P120"/>
    <mergeCell ref="Q119:Q120"/>
    <mergeCell ref="A143:B143"/>
    <mergeCell ref="N144:Q144"/>
    <mergeCell ref="O145:P145"/>
    <mergeCell ref="N146:P146"/>
    <mergeCell ref="N153:P153"/>
    <mergeCell ref="N154:P154"/>
    <mergeCell ref="N148:P148"/>
    <mergeCell ref="N149:P149"/>
    <mergeCell ref="F150:M150"/>
    <mergeCell ref="N150:P150"/>
    <mergeCell ref="N151:P151"/>
    <mergeCell ref="N152:P152"/>
  </mergeCells>
  <conditionalFormatting sqref="Q7:Q20 Q23:Q24 Q29:Q33 Q38:Q39 Q44:Q46">
    <cfRule type="cellIs" dxfId="1" priority="2" operator="greaterThan">
      <formula>40</formula>
    </cfRule>
  </conditionalFormatting>
  <conditionalFormatting sqref="T51:T117">
    <cfRule type="cellIs" dxfId="0" priority="1" operator="lessThan">
      <formula>0.5</formula>
    </cfRule>
  </conditionalFormatting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LAKSHMAN ADAPA</dc:creator>
  <cp:lastModifiedBy>CALIBER DHOPTALA</cp:lastModifiedBy>
  <dcterms:created xsi:type="dcterms:W3CDTF">2015-06-05T18:17:20Z</dcterms:created>
  <dcterms:modified xsi:type="dcterms:W3CDTF">2026-07-27T03:45:58Z</dcterms:modified>
</cp:coreProperties>
</file>